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15" windowWidth="19635" windowHeight="71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Sheet1!$A$1:$CZ$960</definedName>
  </definedNames>
  <calcPr calcId="145621"/>
</workbook>
</file>

<file path=xl/calcChain.xml><?xml version="1.0" encoding="utf-8"?>
<calcChain xmlns="http://schemas.openxmlformats.org/spreadsheetml/2006/main">
  <c r="BD959" i="1" l="1"/>
  <c r="BD958" i="1"/>
  <c r="BD957" i="1"/>
  <c r="BD956" i="1"/>
  <c r="BD955" i="1"/>
  <c r="BD954" i="1"/>
  <c r="BD953" i="1"/>
  <c r="BD952" i="1"/>
  <c r="BD951" i="1"/>
  <c r="BD950" i="1"/>
  <c r="BD949" i="1"/>
  <c r="BD948" i="1"/>
  <c r="BD947" i="1"/>
  <c r="BD946" i="1"/>
  <c r="BD945" i="1"/>
  <c r="BD944" i="1"/>
  <c r="BD943" i="1"/>
  <c r="BD942" i="1"/>
  <c r="BD941" i="1"/>
  <c r="BD940" i="1"/>
  <c r="BD939" i="1"/>
  <c r="BD938" i="1"/>
  <c r="BD937" i="1"/>
  <c r="BD936" i="1"/>
  <c r="BD935" i="1"/>
  <c r="BD934" i="1"/>
  <c r="BD933" i="1"/>
  <c r="BD932" i="1"/>
  <c r="BD931" i="1"/>
  <c r="BD930" i="1"/>
  <c r="BD929" i="1"/>
  <c r="BD928" i="1"/>
  <c r="BD927" i="1"/>
  <c r="BD926" i="1"/>
  <c r="BD925" i="1"/>
  <c r="BD924" i="1"/>
  <c r="BD923" i="1"/>
  <c r="BD922" i="1"/>
  <c r="BD921" i="1"/>
  <c r="BD920" i="1"/>
  <c r="BD919" i="1"/>
  <c r="BD918" i="1"/>
  <c r="BD917" i="1"/>
  <c r="BD916" i="1"/>
  <c r="BD915" i="1"/>
  <c r="BD914" i="1"/>
  <c r="BD913" i="1"/>
  <c r="BD912" i="1"/>
  <c r="BD911" i="1"/>
  <c r="BD910" i="1"/>
  <c r="BD909" i="1"/>
  <c r="BD897" i="1"/>
  <c r="BD896" i="1"/>
  <c r="BD895" i="1"/>
  <c r="BD894" i="1"/>
  <c r="BD893" i="1"/>
  <c r="BD892" i="1"/>
  <c r="BD891" i="1"/>
  <c r="BD890" i="1"/>
  <c r="BD889" i="1"/>
  <c r="BD888" i="1"/>
  <c r="BD887" i="1"/>
  <c r="BD886" i="1"/>
  <c r="BD885" i="1"/>
  <c r="BD884" i="1"/>
  <c r="BD883" i="1"/>
  <c r="BD882" i="1"/>
  <c r="BD881" i="1"/>
  <c r="BD880" i="1"/>
  <c r="BD879" i="1"/>
  <c r="BD878" i="1"/>
  <c r="BD877" i="1"/>
  <c r="BD876" i="1"/>
  <c r="BD875" i="1"/>
  <c r="BD874" i="1"/>
  <c r="BD873" i="1"/>
  <c r="BD872" i="1"/>
  <c r="BD871" i="1"/>
  <c r="BD870" i="1"/>
  <c r="BD869" i="1"/>
  <c r="BD868" i="1"/>
  <c r="BD867" i="1"/>
  <c r="BD866" i="1"/>
  <c r="BD865" i="1"/>
  <c r="BD864" i="1"/>
  <c r="BD863" i="1"/>
  <c r="BD862" i="1"/>
  <c r="BD861" i="1"/>
  <c r="BD860" i="1"/>
  <c r="BD859" i="1"/>
  <c r="BD858" i="1"/>
  <c r="BD857" i="1"/>
  <c r="BD908" i="1"/>
  <c r="BD907" i="1"/>
  <c r="BD906" i="1"/>
  <c r="BD905" i="1"/>
  <c r="BD904" i="1"/>
  <c r="BD903" i="1"/>
  <c r="BD902" i="1"/>
  <c r="BD901" i="1"/>
  <c r="BD900" i="1"/>
  <c r="BD899" i="1"/>
  <c r="BD898" i="1"/>
  <c r="BD845" i="1"/>
  <c r="BD844" i="1"/>
  <c r="BD843" i="1"/>
  <c r="BD842" i="1"/>
  <c r="BD841" i="1"/>
  <c r="BD840" i="1"/>
  <c r="BD856" i="1"/>
  <c r="BD855" i="1"/>
  <c r="BD960" i="1"/>
  <c r="BD854" i="1"/>
  <c r="BD853" i="1"/>
  <c r="BD852" i="1"/>
  <c r="BD851" i="1"/>
  <c r="BD850" i="1"/>
  <c r="BD849" i="1"/>
  <c r="BD848" i="1"/>
  <c r="BD847" i="1"/>
  <c r="BD846" i="1"/>
  <c r="BD839" i="1"/>
  <c r="BD838" i="1"/>
  <c r="BD837" i="1"/>
  <c r="BD836" i="1"/>
  <c r="BD835" i="1"/>
  <c r="BD834" i="1"/>
  <c r="BD833" i="1"/>
  <c r="BD832" i="1"/>
  <c r="BD831" i="1"/>
  <c r="BD830" i="1"/>
  <c r="BD829" i="1"/>
  <c r="BD828" i="1"/>
  <c r="BD827" i="1"/>
  <c r="BD826" i="1"/>
  <c r="BD825" i="1"/>
  <c r="BD824" i="1"/>
  <c r="BD823" i="1"/>
  <c r="BD822" i="1"/>
  <c r="BD821" i="1"/>
  <c r="BD820" i="1"/>
  <c r="BD819" i="1"/>
  <c r="BD818" i="1"/>
  <c r="BD817" i="1"/>
  <c r="BD816" i="1"/>
  <c r="BD815" i="1"/>
  <c r="BD814" i="1"/>
  <c r="BD813" i="1"/>
  <c r="BD812" i="1"/>
  <c r="BD811" i="1"/>
  <c r="BD810" i="1"/>
  <c r="BD809" i="1"/>
  <c r="BD808" i="1"/>
  <c r="BD807" i="1"/>
  <c r="BD806" i="1"/>
  <c r="BD805" i="1"/>
  <c r="BD804" i="1"/>
  <c r="BD803" i="1"/>
  <c r="BD802" i="1"/>
  <c r="BD801" i="1"/>
  <c r="BD800" i="1"/>
  <c r="BD799" i="1"/>
  <c r="BD798" i="1"/>
  <c r="BD797" i="1"/>
  <c r="BD796" i="1"/>
  <c r="BD795" i="1"/>
  <c r="BD794" i="1"/>
  <c r="BD793" i="1"/>
  <c r="BD792" i="1"/>
  <c r="BD791" i="1"/>
  <c r="BD790" i="1"/>
  <c r="BD789" i="1"/>
  <c r="BD788" i="1"/>
  <c r="BD787" i="1"/>
  <c r="BD786" i="1"/>
  <c r="BD785" i="1"/>
  <c r="BD784" i="1"/>
  <c r="BD783" i="1"/>
  <c r="BD782" i="1"/>
  <c r="BD781" i="1"/>
  <c r="BD780" i="1"/>
  <c r="BD779" i="1"/>
  <c r="BD778" i="1"/>
  <c r="BD777" i="1"/>
  <c r="BD776" i="1"/>
  <c r="BD775" i="1"/>
  <c r="BD774" i="1"/>
  <c r="BD773" i="1"/>
  <c r="BD772" i="1"/>
  <c r="BD771" i="1"/>
  <c r="BD770" i="1"/>
  <c r="BD769" i="1"/>
  <c r="BD768" i="1"/>
  <c r="BD767" i="1"/>
  <c r="BD766" i="1"/>
  <c r="BD765" i="1"/>
  <c r="BD764" i="1"/>
  <c r="BD763" i="1"/>
  <c r="BD762" i="1"/>
  <c r="BD761" i="1"/>
  <c r="BD760" i="1"/>
  <c r="BD759" i="1"/>
  <c r="BD758" i="1"/>
  <c r="BD757" i="1"/>
  <c r="BD756" i="1"/>
  <c r="BD755" i="1"/>
  <c r="BD754" i="1"/>
  <c r="BD753" i="1"/>
  <c r="BD752" i="1"/>
  <c r="BD751" i="1"/>
  <c r="BD750" i="1"/>
  <c r="BD749" i="1"/>
  <c r="BD748" i="1"/>
  <c r="BD747" i="1"/>
  <c r="BD746" i="1"/>
  <c r="BD745" i="1"/>
  <c r="BD744" i="1"/>
  <c r="BD743" i="1"/>
  <c r="BD742" i="1"/>
  <c r="BD741" i="1"/>
  <c r="BD740" i="1"/>
  <c r="BD739" i="1"/>
  <c r="BD738" i="1"/>
  <c r="BD737" i="1"/>
  <c r="BD736" i="1"/>
  <c r="BD735" i="1"/>
  <c r="BD734" i="1"/>
  <c r="BD733" i="1"/>
  <c r="BD732" i="1"/>
  <c r="BD731" i="1"/>
  <c r="BD730" i="1"/>
  <c r="BD729" i="1"/>
  <c r="BD728" i="1"/>
  <c r="BD727" i="1"/>
  <c r="BD726" i="1"/>
  <c r="BD725" i="1"/>
  <c r="BD724" i="1"/>
  <c r="BD723" i="1"/>
  <c r="BD722" i="1"/>
  <c r="BD721" i="1"/>
  <c r="BD720" i="1"/>
  <c r="BD719" i="1"/>
  <c r="BD718" i="1"/>
  <c r="BD717" i="1"/>
  <c r="BD716" i="1"/>
  <c r="BD715" i="1"/>
  <c r="BD714" i="1"/>
  <c r="BD713" i="1"/>
  <c r="BD712" i="1"/>
  <c r="BD711" i="1"/>
  <c r="BD710" i="1"/>
  <c r="BD709" i="1"/>
  <c r="BD708" i="1"/>
  <c r="BD707" i="1"/>
  <c r="BD706" i="1"/>
  <c r="BD705" i="1"/>
  <c r="BD704" i="1"/>
  <c r="BD703" i="1"/>
  <c r="BD702" i="1"/>
  <c r="BD701" i="1"/>
  <c r="BD700" i="1"/>
  <c r="BD699" i="1"/>
  <c r="BD698" i="1"/>
  <c r="BD697" i="1"/>
  <c r="BD696" i="1"/>
  <c r="BD695" i="1"/>
  <c r="BD694" i="1"/>
  <c r="BD693" i="1"/>
  <c r="BD692" i="1"/>
  <c r="BD691" i="1"/>
  <c r="BD690" i="1"/>
  <c r="BD689" i="1"/>
  <c r="BD688" i="1"/>
  <c r="BD687" i="1"/>
  <c r="BD686" i="1"/>
  <c r="BD685" i="1"/>
  <c r="BD684" i="1"/>
  <c r="BD683" i="1"/>
  <c r="BD682" i="1"/>
  <c r="BD681" i="1"/>
  <c r="BD680" i="1"/>
  <c r="BD679" i="1"/>
  <c r="BD678" i="1"/>
  <c r="BD677" i="1"/>
  <c r="BD676" i="1"/>
  <c r="BD675" i="1"/>
  <c r="BD674" i="1"/>
  <c r="BD673" i="1"/>
  <c r="BD672" i="1"/>
  <c r="BD671" i="1"/>
  <c r="BD670" i="1"/>
  <c r="BD669" i="1"/>
  <c r="BD668" i="1"/>
  <c r="BD667" i="1"/>
  <c r="BD666" i="1"/>
  <c r="BD665" i="1"/>
  <c r="BD664" i="1"/>
  <c r="BD663" i="1"/>
  <c r="BD662" i="1"/>
  <c r="BD661" i="1"/>
  <c r="BD660" i="1"/>
  <c r="BD659" i="1"/>
  <c r="BD658" i="1"/>
  <c r="BD657" i="1"/>
  <c r="BD656" i="1"/>
  <c r="BD655" i="1"/>
  <c r="BD654" i="1"/>
  <c r="BD653" i="1"/>
  <c r="BD652" i="1"/>
  <c r="BD651" i="1"/>
  <c r="BD650" i="1"/>
  <c r="BD649" i="1"/>
  <c r="BD648" i="1"/>
  <c r="BD647" i="1"/>
  <c r="BD646" i="1"/>
  <c r="BD645" i="1"/>
  <c r="BD644" i="1"/>
  <c r="BD643" i="1"/>
  <c r="BD642" i="1"/>
  <c r="BD641" i="1"/>
  <c r="BD640" i="1"/>
  <c r="BD639" i="1"/>
  <c r="BD638" i="1"/>
  <c r="BD3" i="1"/>
  <c r="BD543" i="1"/>
  <c r="BD542" i="1"/>
  <c r="BD541" i="1"/>
  <c r="BD540" i="1"/>
  <c r="BD539" i="1"/>
  <c r="BD538" i="1"/>
  <c r="BD537" i="1"/>
  <c r="BD536" i="1"/>
  <c r="BD535" i="1"/>
  <c r="BD534" i="1"/>
  <c r="BD533" i="1"/>
  <c r="BD532" i="1"/>
  <c r="BD531" i="1"/>
  <c r="BD530" i="1"/>
  <c r="BD529" i="1"/>
  <c r="BD637" i="1"/>
  <c r="BD636" i="1"/>
  <c r="BD635" i="1"/>
  <c r="BD634" i="1"/>
  <c r="BD633" i="1"/>
  <c r="BD632" i="1"/>
  <c r="BD631" i="1"/>
  <c r="BD630" i="1"/>
  <c r="BD528" i="1"/>
  <c r="BD527" i="1"/>
  <c r="BD526" i="1"/>
  <c r="BD525" i="1"/>
  <c r="BD524" i="1"/>
  <c r="BD523" i="1"/>
  <c r="BD522" i="1"/>
  <c r="BD521" i="1"/>
  <c r="BD520" i="1"/>
  <c r="BD519" i="1"/>
  <c r="BD518" i="1"/>
  <c r="BD517" i="1"/>
  <c r="BD516" i="1"/>
  <c r="BD515" i="1"/>
  <c r="BD514" i="1"/>
  <c r="BD513" i="1"/>
  <c r="BD512" i="1"/>
  <c r="BD511" i="1"/>
  <c r="BD510" i="1"/>
  <c r="BD509" i="1"/>
  <c r="BD508" i="1"/>
  <c r="BD507" i="1"/>
  <c r="BD506" i="1"/>
  <c r="BD505" i="1"/>
  <c r="BD504" i="1"/>
  <c r="BD503" i="1"/>
  <c r="BD502" i="1"/>
  <c r="BD501" i="1"/>
  <c r="BD500" i="1"/>
  <c r="BD499" i="1"/>
  <c r="BD498" i="1"/>
  <c r="BD497" i="1"/>
  <c r="BD496" i="1"/>
  <c r="BD495" i="1"/>
  <c r="BD494" i="1"/>
  <c r="BD493" i="1"/>
  <c r="BD492" i="1"/>
  <c r="BD491" i="1"/>
  <c r="BD490" i="1"/>
  <c r="BD489" i="1"/>
  <c r="BD488" i="1"/>
  <c r="BD487" i="1"/>
  <c r="BD486" i="1"/>
  <c r="BD485" i="1"/>
  <c r="BD484" i="1"/>
  <c r="BD483" i="1"/>
  <c r="BD482" i="1"/>
  <c r="BD481" i="1"/>
  <c r="BD480" i="1"/>
  <c r="BD479" i="1"/>
  <c r="BD478" i="1"/>
  <c r="BD477" i="1"/>
  <c r="BD476" i="1"/>
  <c r="BD475" i="1"/>
  <c r="BD474" i="1"/>
  <c r="BD473" i="1"/>
  <c r="BD472" i="1"/>
  <c r="BD471" i="1"/>
  <c r="BD470" i="1"/>
  <c r="BD469" i="1"/>
  <c r="BD468" i="1"/>
  <c r="BD467" i="1"/>
  <c r="BD466" i="1"/>
  <c r="BD465" i="1"/>
  <c r="BD464" i="1"/>
  <c r="BD463" i="1"/>
  <c r="BD462" i="1"/>
  <c r="BD461" i="1"/>
  <c r="BD460" i="1"/>
  <c r="BD459" i="1"/>
  <c r="BD458" i="1"/>
  <c r="BD457" i="1"/>
  <c r="BD456" i="1"/>
  <c r="BD455" i="1"/>
  <c r="BD454" i="1"/>
  <c r="BD453" i="1"/>
  <c r="BD452" i="1"/>
  <c r="BD451" i="1"/>
  <c r="BD450" i="1"/>
  <c r="BD449" i="1"/>
  <c r="BD448" i="1"/>
  <c r="BD447" i="1"/>
  <c r="BD446" i="1"/>
  <c r="BD445" i="1"/>
  <c r="BD444" i="1"/>
  <c r="BD443" i="1"/>
  <c r="BD442" i="1"/>
  <c r="BD441" i="1"/>
  <c r="BD440" i="1"/>
  <c r="BD439" i="1"/>
  <c r="BD438" i="1"/>
  <c r="BD419" i="1"/>
  <c r="BD629" i="1"/>
  <c r="BD628" i="1"/>
  <c r="BD418" i="1"/>
  <c r="BD437" i="1"/>
  <c r="BD417" i="1"/>
  <c r="BD416" i="1"/>
  <c r="BD415" i="1"/>
  <c r="BD414" i="1"/>
  <c r="BD413" i="1"/>
  <c r="BD627" i="1"/>
  <c r="BD626" i="1"/>
  <c r="BD625" i="1"/>
  <c r="BD624" i="1"/>
  <c r="BD412" i="1"/>
  <c r="BD411" i="1"/>
  <c r="BD410" i="1"/>
  <c r="BD409" i="1"/>
  <c r="BD408" i="1"/>
  <c r="BD407" i="1"/>
  <c r="BD406" i="1"/>
  <c r="BD405" i="1"/>
  <c r="BD404" i="1"/>
  <c r="BD403" i="1"/>
  <c r="BD402" i="1"/>
  <c r="BD401" i="1"/>
  <c r="BD400" i="1"/>
  <c r="BD399" i="1"/>
  <c r="BD398" i="1"/>
  <c r="BD397" i="1"/>
  <c r="BD396" i="1"/>
  <c r="BD395" i="1"/>
  <c r="BD394" i="1"/>
  <c r="BD393" i="1"/>
  <c r="BD392" i="1"/>
  <c r="BD391" i="1"/>
  <c r="BD390" i="1"/>
  <c r="BD389" i="1"/>
  <c r="BD388" i="1"/>
  <c r="BD387" i="1"/>
  <c r="BD386" i="1"/>
  <c r="BD385" i="1"/>
  <c r="BD384" i="1"/>
  <c r="BD383" i="1"/>
  <c r="BD382" i="1"/>
  <c r="BD381" i="1"/>
  <c r="BD380" i="1"/>
  <c r="BD379" i="1"/>
  <c r="BD623" i="1"/>
  <c r="BD622" i="1"/>
  <c r="BD378" i="1"/>
  <c r="BD377" i="1"/>
  <c r="BD376" i="1"/>
  <c r="BD375" i="1"/>
  <c r="BD374" i="1"/>
  <c r="BD373" i="1"/>
  <c r="BD372" i="1"/>
  <c r="BD371" i="1"/>
  <c r="BD370" i="1"/>
  <c r="BD369" i="1"/>
  <c r="BD368" i="1"/>
  <c r="BD367" i="1"/>
  <c r="BD366" i="1"/>
  <c r="BD365" i="1"/>
  <c r="BD364" i="1"/>
  <c r="BD363" i="1"/>
  <c r="BD362" i="1"/>
  <c r="BD361" i="1"/>
  <c r="BD360" i="1"/>
  <c r="BD359" i="1"/>
  <c r="BD358" i="1"/>
  <c r="BD357" i="1"/>
  <c r="BD356" i="1"/>
  <c r="BD355" i="1"/>
  <c r="BD354" i="1"/>
  <c r="BD353" i="1"/>
  <c r="BD352" i="1"/>
  <c r="BD351" i="1"/>
  <c r="BD350" i="1"/>
  <c r="BD349" i="1"/>
  <c r="BD348" i="1"/>
  <c r="BD347" i="1"/>
  <c r="BD346" i="1"/>
  <c r="BD345" i="1"/>
  <c r="BD344" i="1"/>
  <c r="BD621" i="1"/>
  <c r="BD343" i="1"/>
  <c r="BD342" i="1"/>
  <c r="BD341" i="1"/>
  <c r="BD340" i="1"/>
  <c r="BD339" i="1"/>
  <c r="BD338" i="1"/>
  <c r="BD337" i="1"/>
  <c r="BD336" i="1"/>
  <c r="BD335" i="1"/>
  <c r="BD334" i="1"/>
  <c r="BD333" i="1"/>
  <c r="BD332" i="1"/>
  <c r="BD331" i="1"/>
  <c r="BD330" i="1"/>
  <c r="BD329" i="1"/>
  <c r="BD328" i="1"/>
  <c r="BD327" i="1"/>
  <c r="BD326" i="1"/>
  <c r="BD325" i="1"/>
  <c r="BD324" i="1"/>
  <c r="BD323" i="1"/>
  <c r="BD322" i="1"/>
  <c r="BD321" i="1"/>
  <c r="BD320" i="1"/>
  <c r="BD319" i="1"/>
  <c r="BD318" i="1"/>
  <c r="BD317" i="1"/>
  <c r="BD316" i="1"/>
  <c r="BD315" i="1"/>
  <c r="BD314" i="1"/>
  <c r="BD313" i="1"/>
  <c r="BD312" i="1"/>
  <c r="BD311" i="1"/>
  <c r="BD310" i="1"/>
  <c r="BD309" i="1"/>
  <c r="BD308" i="1"/>
  <c r="BD307" i="1"/>
  <c r="BD306" i="1"/>
  <c r="BD305" i="1"/>
  <c r="BD304" i="1"/>
  <c r="BD303" i="1"/>
  <c r="BD302" i="1"/>
  <c r="BD301" i="1"/>
  <c r="BD300" i="1"/>
  <c r="BD299" i="1"/>
  <c r="BD298" i="1"/>
  <c r="BD297" i="1"/>
  <c r="BD296" i="1"/>
  <c r="BD620" i="1"/>
  <c r="BD619" i="1"/>
  <c r="BD618" i="1"/>
  <c r="BD295" i="1"/>
  <c r="BD294" i="1"/>
  <c r="BD293" i="1"/>
  <c r="BD617" i="1"/>
  <c r="BD616" i="1"/>
  <c r="BD615" i="1"/>
  <c r="BD614" i="1"/>
  <c r="BD613" i="1"/>
  <c r="BD612" i="1"/>
  <c r="BD288" i="1"/>
  <c r="BD287" i="1"/>
  <c r="BD286" i="1"/>
  <c r="BD285" i="1"/>
  <c r="BD284" i="1"/>
  <c r="BD283" i="1"/>
  <c r="BD282" i="1"/>
  <c r="BD281" i="1"/>
  <c r="BD280" i="1"/>
  <c r="BD279" i="1"/>
  <c r="BD278" i="1"/>
  <c r="BD277" i="1"/>
  <c r="BD276" i="1"/>
  <c r="BD275" i="1"/>
  <c r="BD274" i="1"/>
  <c r="BD273" i="1"/>
  <c r="BD272" i="1"/>
  <c r="BD271" i="1"/>
  <c r="BD270" i="1"/>
  <c r="BD269" i="1"/>
  <c r="BD268" i="1"/>
  <c r="BD267" i="1"/>
  <c r="BD266" i="1"/>
  <c r="BD265" i="1"/>
  <c r="BD264" i="1"/>
  <c r="BD263" i="1"/>
  <c r="BD262" i="1"/>
  <c r="BD261" i="1"/>
  <c r="BD260" i="1"/>
  <c r="BD259" i="1"/>
  <c r="BD611" i="1"/>
  <c r="BD258" i="1"/>
  <c r="BD610" i="1"/>
  <c r="BD257" i="1"/>
  <c r="BD256" i="1"/>
  <c r="BD255" i="1"/>
  <c r="BD254" i="1"/>
  <c r="BD253" i="1"/>
  <c r="BD252" i="1"/>
  <c r="BD251" i="1"/>
  <c r="BD250" i="1"/>
  <c r="BD249" i="1"/>
  <c r="BD248" i="1"/>
  <c r="BD247" i="1"/>
  <c r="BD246" i="1"/>
  <c r="BD245" i="1"/>
  <c r="BD244" i="1"/>
  <c r="BD243" i="1"/>
  <c r="BD242" i="1"/>
  <c r="BD241" i="1"/>
  <c r="BD240" i="1"/>
  <c r="BD239" i="1"/>
  <c r="BD238" i="1"/>
  <c r="BD237" i="1"/>
  <c r="BD236" i="1"/>
  <c r="BD235" i="1"/>
  <c r="BD234" i="1"/>
  <c r="BD233" i="1"/>
  <c r="BD232" i="1"/>
  <c r="BD231" i="1"/>
  <c r="BD230" i="1"/>
  <c r="BD229" i="1"/>
  <c r="BD228" i="1"/>
  <c r="BD227" i="1"/>
  <c r="BD226" i="1"/>
  <c r="BD225" i="1"/>
  <c r="BD224" i="1"/>
  <c r="BD223" i="1"/>
  <c r="BD222" i="1"/>
  <c r="BD221" i="1"/>
  <c r="BD220" i="1"/>
  <c r="BD219" i="1"/>
  <c r="BD218" i="1"/>
  <c r="BD217" i="1"/>
  <c r="BD216" i="1"/>
  <c r="BD215" i="1"/>
  <c r="BD214" i="1"/>
  <c r="BD213" i="1"/>
  <c r="BD212" i="1"/>
  <c r="BD211" i="1"/>
  <c r="BD210" i="1"/>
  <c r="BD209" i="1"/>
  <c r="BD208" i="1"/>
  <c r="BD207" i="1"/>
  <c r="BD206" i="1"/>
  <c r="BD205" i="1"/>
  <c r="BD204" i="1"/>
  <c r="BD203" i="1"/>
  <c r="BD202" i="1"/>
  <c r="BD201" i="1"/>
  <c r="BD200" i="1"/>
  <c r="BD199" i="1"/>
  <c r="BD198" i="1"/>
  <c r="BD197" i="1"/>
  <c r="BD196" i="1"/>
  <c r="BD195" i="1"/>
  <c r="BD194" i="1"/>
  <c r="BD193" i="1"/>
  <c r="BD192" i="1"/>
  <c r="BD191" i="1"/>
  <c r="BD190" i="1"/>
  <c r="BD189" i="1"/>
  <c r="BD188" i="1"/>
  <c r="BD187" i="1"/>
  <c r="BD186" i="1"/>
  <c r="BD185" i="1"/>
  <c r="BD184" i="1"/>
  <c r="BD183" i="1"/>
  <c r="BD182" i="1"/>
  <c r="BD181" i="1"/>
  <c r="BD180" i="1"/>
  <c r="BD179" i="1"/>
  <c r="BD178" i="1"/>
  <c r="BD177" i="1"/>
  <c r="BD176" i="1"/>
  <c r="BD175" i="1"/>
  <c r="BD174" i="1"/>
  <c r="BD173" i="1"/>
  <c r="BD172" i="1"/>
  <c r="BD171" i="1"/>
  <c r="BD170" i="1"/>
  <c r="BD169" i="1"/>
  <c r="BD168" i="1"/>
  <c r="BD167" i="1"/>
  <c r="BD166" i="1"/>
  <c r="BD165" i="1"/>
  <c r="BD164" i="1"/>
  <c r="BD163" i="1"/>
  <c r="BD162" i="1"/>
  <c r="BD161" i="1"/>
  <c r="BD160" i="1"/>
  <c r="BD159" i="1"/>
  <c r="BD158" i="1"/>
  <c r="BD157" i="1"/>
  <c r="BD156" i="1"/>
  <c r="BD155" i="1"/>
  <c r="BD154" i="1"/>
  <c r="BD153" i="1"/>
  <c r="BD152" i="1"/>
  <c r="BD151" i="1"/>
  <c r="BD2" i="1"/>
  <c r="BD150" i="1"/>
  <c r="BD149" i="1"/>
  <c r="BD148" i="1"/>
  <c r="BD147" i="1"/>
  <c r="BD146" i="1"/>
  <c r="BD145" i="1"/>
  <c r="BD144" i="1"/>
  <c r="BD143" i="1"/>
  <c r="BD142" i="1"/>
  <c r="BD141" i="1"/>
  <c r="BD140" i="1"/>
  <c r="BD139" i="1"/>
  <c r="BD138" i="1"/>
  <c r="BD137" i="1"/>
  <c r="BD136" i="1"/>
  <c r="BD135" i="1"/>
  <c r="BD134" i="1"/>
  <c r="BD133" i="1"/>
  <c r="BD132" i="1"/>
  <c r="BD131" i="1"/>
  <c r="BD130" i="1"/>
  <c r="BD129" i="1"/>
  <c r="BD609" i="1"/>
  <c r="BD608" i="1"/>
  <c r="BD607" i="1"/>
  <c r="BD606" i="1"/>
  <c r="BD605" i="1"/>
  <c r="BD604" i="1"/>
  <c r="BD603" i="1"/>
  <c r="BD602" i="1"/>
  <c r="BD601" i="1"/>
  <c r="BD600" i="1"/>
  <c r="BD599" i="1"/>
  <c r="BD598" i="1"/>
  <c r="BD597" i="1"/>
  <c r="BD128" i="1"/>
  <c r="BD127" i="1"/>
  <c r="BD596" i="1"/>
  <c r="BD126" i="1"/>
  <c r="BD125" i="1"/>
  <c r="BD124" i="1"/>
  <c r="BD123" i="1"/>
  <c r="BD122" i="1"/>
  <c r="BD121" i="1"/>
  <c r="BD120" i="1"/>
  <c r="BD119" i="1"/>
  <c r="BD118" i="1"/>
  <c r="BD117" i="1"/>
  <c r="BD116" i="1"/>
  <c r="BD115" i="1"/>
  <c r="BD114" i="1"/>
  <c r="BD113" i="1"/>
  <c r="BD112" i="1"/>
  <c r="BD436" i="1"/>
  <c r="BD111" i="1"/>
  <c r="BD110" i="1"/>
  <c r="BD435" i="1"/>
  <c r="BD434" i="1"/>
  <c r="BD433" i="1"/>
  <c r="BD432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BD95" i="1"/>
  <c r="BD595" i="1"/>
  <c r="BD94" i="1"/>
  <c r="BD93" i="1"/>
  <c r="BD92" i="1"/>
  <c r="BD91" i="1"/>
  <c r="BD90" i="1"/>
  <c r="BD89" i="1"/>
  <c r="BD88" i="1"/>
  <c r="BD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594" i="1"/>
  <c r="BD593" i="1"/>
  <c r="BD592" i="1"/>
  <c r="BD591" i="1"/>
  <c r="BD63" i="1"/>
  <c r="BD62" i="1"/>
  <c r="BD61" i="1"/>
  <c r="BD60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431" i="1"/>
  <c r="BD430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429" i="1"/>
  <c r="BD428" i="1"/>
  <c r="BD427" i="1"/>
  <c r="BD426" i="1"/>
  <c r="BD425" i="1"/>
  <c r="BD424" i="1"/>
  <c r="BD423" i="1"/>
  <c r="BD422" i="1"/>
  <c r="BD421" i="1"/>
  <c r="BD420" i="1"/>
  <c r="BD590" i="1"/>
  <c r="BD589" i="1"/>
  <c r="BD588" i="1"/>
  <c r="BD292" i="1"/>
  <c r="BD291" i="1"/>
  <c r="BD290" i="1"/>
  <c r="BD289" i="1"/>
  <c r="BD587" i="1"/>
  <c r="BD586" i="1"/>
  <c r="BD585" i="1"/>
  <c r="BD584" i="1"/>
  <c r="BD583" i="1"/>
  <c r="BD582" i="1"/>
  <c r="BD581" i="1"/>
  <c r="BD580" i="1"/>
  <c r="BD579" i="1"/>
  <c r="BD578" i="1"/>
  <c r="BD577" i="1"/>
  <c r="BD576" i="1"/>
  <c r="BD575" i="1"/>
  <c r="BD574" i="1"/>
  <c r="BD573" i="1"/>
  <c r="BD572" i="1"/>
  <c r="BD571" i="1"/>
  <c r="BD570" i="1"/>
  <c r="BD569" i="1"/>
  <c r="BD568" i="1"/>
  <c r="BD567" i="1"/>
  <c r="BD566" i="1"/>
  <c r="BD565" i="1"/>
  <c r="BD564" i="1"/>
  <c r="BD563" i="1"/>
  <c r="BD562" i="1"/>
  <c r="BD561" i="1"/>
  <c r="BD560" i="1"/>
  <c r="BD559" i="1"/>
  <c r="BD558" i="1"/>
  <c r="BD557" i="1"/>
  <c r="BD556" i="1"/>
  <c r="BD555" i="1"/>
  <c r="BD554" i="1"/>
  <c r="BD553" i="1"/>
  <c r="BD552" i="1"/>
  <c r="BD551" i="1"/>
  <c r="BD550" i="1"/>
  <c r="BD549" i="1"/>
  <c r="BD548" i="1"/>
  <c r="BD547" i="1"/>
  <c r="BD546" i="1"/>
  <c r="BD545" i="1"/>
  <c r="BD544" i="1"/>
  <c r="BD5" i="1"/>
  <c r="BD4" i="1"/>
</calcChain>
</file>

<file path=xl/sharedStrings.xml><?xml version="1.0" encoding="utf-8"?>
<sst xmlns="http://schemas.openxmlformats.org/spreadsheetml/2006/main" count="41208" uniqueCount="10349">
  <si>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</si>
  <si>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</si>
  <si>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</si>
  <si>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</si>
  <si>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</si>
  <si>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</si>
  <si>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</si>
  <si>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</si>
  <si>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</si>
  <si>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</si>
  <si>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</si>
  <si>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</si>
  <si>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</si>
  <si>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</si>
  <si>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</si>
  <si>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</si>
  <si>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</si>
  <si>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</si>
  <si>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</si>
  <si>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</si>
  <si>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</si>
  <si>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</si>
  <si>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</si>
  <si>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</si>
  <si>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</si>
  <si>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</si>
  <si>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</si>
  <si>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</si>
  <si>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</si>
  <si>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</si>
  <si>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</si>
  <si>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</si>
  <si>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</si>
  <si>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</si>
  <si>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</si>
  <si>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</si>
  <si>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</si>
  <si>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</si>
  <si>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</si>
  <si>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</si>
  <si>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</si>
  <si>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catalogNumber</t>
  </si>
  <si>
    <t>companyName</t>
  </si>
  <si>
    <t>deviceDescription</t>
  </si>
  <si>
    <t>BrandName1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</si>
  <si>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</si>
  <si>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</si>
  <si>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</si>
  <si>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</si>
  <si>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</si>
  <si>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</si>
  <si>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</si>
  <si>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</si>
  <si>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</si>
  <si>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</si>
  <si>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</si>
  <si>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</si>
  <si>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</si>
  <si>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</si>
  <si>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</si>
  <si>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</si>
  <si>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</si>
  <si>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</si>
  <si>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</si>
  <si>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</si>
  <si>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</si>
  <si>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</si>
  <si>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</si>
  <si>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</si>
  <si>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</si>
  <si>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</si>
  <si>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</si>
  <si>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</si>
  <si>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</si>
  <si>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</si>
  <si>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</si>
  <si>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</si>
  <si>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</si>
  <si>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</si>
  <si>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</si>
  <si>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</si>
  <si>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</si>
  <si>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</si>
  <si>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</si>
  <si>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</si>
  <si>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</si>
  <si>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</si>
  <si>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</si>
  <si>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</si>
  <si>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</si>
  <si>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</si>
  <si>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</si>
  <si>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</si>
  <si>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</si>
  <si>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</si>
  <si>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</si>
  <si>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</si>
  <si>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</si>
  <si>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</si>
  <si>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</si>
  <si>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</si>
  <si>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</si>
  <si>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PDG</t>
  </si>
  <si>
    <t>016-249</t>
  </si>
  <si>
    <t>SZG</t>
  </si>
  <si>
    <t>ok</t>
  </si>
  <si>
    <t>Data Enrichment | UNSPSC Classification</t>
  </si>
  <si>
    <t>ARGON MEDICAL DEVICES INC</t>
  </si>
  <si>
    <t>ARGON MEDICAL</t>
  </si>
  <si>
    <t>0011600</t>
  </si>
  <si>
    <t>11600</t>
  </si>
  <si>
    <t>001-1-600</t>
  </si>
  <si>
    <t>ARGON</t>
  </si>
  <si>
    <t>ARGON_0011600</t>
  </si>
  <si>
    <t>Vesselpaws Red Mini 1/10</t>
  </si>
  <si>
    <t>PRODIGO1072599</t>
  </si>
  <si>
    <t>ARGON MEDICAL DEVICES, INC.</t>
  </si>
  <si>
    <t>Vesselpaws, Red Mini</t>
  </si>
  <si>
    <t>42291802  Surgical clamps or clips or forceps</t>
  </si>
  <si>
    <t>VESSELPAWS MINI RED OCCLUSION CLAMPS - VESSELPAWS MINI RED OCCLUSION CLAMP SINGLE USE STERILE</t>
  </si>
  <si>
    <t>CLAMP, SURGICAL, OCCLUSION, MINI, RED, STERILE, VESSELPAWS, LATEX, DISPOSABLE</t>
  </si>
  <si>
    <t>CLAMP, SURG, OCCL, MINI, RED, STRL, VESSELPAWS, LTX, DISP</t>
  </si>
  <si>
    <t>CLAMP</t>
  </si>
  <si>
    <t>SURGICAL</t>
  </si>
  <si>
    <t>OCCLUSION</t>
  </si>
  <si>
    <t>MINI</t>
  </si>
  <si>
    <t>RED</t>
  </si>
  <si>
    <t>STERILE</t>
  </si>
  <si>
    <t>VESSELPAWS</t>
  </si>
  <si>
    <t>LATEX</t>
  </si>
  <si>
    <t>DISPOSABLE</t>
  </si>
  <si>
    <t>https://www.graylinemedical.com/products/argon-medical-devices-vesselpaws-mini-red-occlusion-clamps-vesselpaws-mini-red-occlusion-clamp-single-use-sterile-001-1-600</t>
  </si>
  <si>
    <t>https://accessgudid.nlm.nih.gov/devices/00886333222988</t>
  </si>
  <si>
    <t>0011620</t>
  </si>
  <si>
    <t>11620</t>
  </si>
  <si>
    <t>001-1-620</t>
  </si>
  <si>
    <t>ARGON_0011620</t>
  </si>
  <si>
    <t>Vesselpaws Blue Maxi 3/10</t>
  </si>
  <si>
    <t>PRODIGO1072600</t>
  </si>
  <si>
    <t>Vesselpaws, Blue Maxi</t>
  </si>
  <si>
    <t>VESSELPAWS BLUE MAXI</t>
  </si>
  <si>
    <t>CLAMP, SURGICAL, OCCLUSION, MAXI, BLUE, STERILE, VESSELPAWS, LATEX, DISPOSABLE</t>
  </si>
  <si>
    <t>CLAMP, SURG, OCCL, MAXI, BLU, STRL, VESSELPAWS, LTX, DISP</t>
  </si>
  <si>
    <t>MAXI</t>
  </si>
  <si>
    <t>BLUE</t>
  </si>
  <si>
    <t>https://accessgudid.nlm.nih.gov/devices/00886333222995</t>
  </si>
  <si>
    <t>008416A</t>
  </si>
  <si>
    <t>8416A</t>
  </si>
  <si>
    <t>ARGON_008416A</t>
  </si>
  <si>
    <t>Transvenous Pacing Electrode Tray W/ Bipolar Pacing Electrode 5FR 115CM</t>
  </si>
  <si>
    <t>PRODIGO1073269</t>
  </si>
  <si>
    <t>Transvenous Pacing Electrode Tray w/ Bipolar Pacing Electrode 5F 115cm</t>
  </si>
  <si>
    <t>Transvenous Pacing Electrode Tray</t>
  </si>
  <si>
    <t>42141824  Electrotherapy electrode accessories</t>
  </si>
  <si>
    <t>TRANSVENOUS PACING ELECTRODE TRAY W/BIPOLAR PACING ELECTRODE 5F X 115CM</t>
  </si>
  <si>
    <t>ELECTRODE TRAY, BIPOLAR, 5 FRX110 CM, TRANSVENOUS PACING, STERILE, LATEX</t>
  </si>
  <si>
    <t>ELECTRODE TRAY, BPLR, 5 FRX110 CM, TRNSVEN PACE, STRL, LTX</t>
  </si>
  <si>
    <t>ELECTRODE TRAY</t>
  </si>
  <si>
    <t>BIPOLAR</t>
  </si>
  <si>
    <t>5 FRX110 CM</t>
  </si>
  <si>
    <t>TRANSVENOUS PACING</t>
  </si>
  <si>
    <t>https://www.argonmedical.com/product/temporary-pacing-electrode-trays/, https://www.esutures.com/product/1-expired/206-argon/1013-pacing-catheters/46359430-argon-transvenous-pacing-electrode-tray-wbipolar-pacing-electrode-5f-x-115cm-008416A/</t>
  </si>
  <si>
    <t>https://accessgudid.nlm.nih.gov/devices/00886333217632</t>
  </si>
  <si>
    <t>039821599A</t>
  </si>
  <si>
    <t>39821599A</t>
  </si>
  <si>
    <t>ARGON_039821599A</t>
  </si>
  <si>
    <t>I.V. Accessories Macro-Drip Chamber With 15 Micron Screen Filter &amp; 60 Line</t>
  </si>
  <si>
    <t>PRODIGO1072938</t>
  </si>
  <si>
    <t>IV Accessories Macro-Drip Chamber</t>
  </si>
  <si>
    <t>42221609  Intravenous or arterial tubing administration sets</t>
  </si>
  <si>
    <t>A4222</t>
  </si>
  <si>
    <t>INFUSION SUPPLIES FOR EXTERNAL DRUG INFUSION PUMP, PER CASSETTE OR BAG (LIST DRUGS SEPARATELY)</t>
  </si>
  <si>
    <t>FLUID ADMINISTRATION SETS</t>
  </si>
  <si>
    <t>IV FLUID ADMINISTRATION SET, 15 MC, 60 IN, MACRO IV SPIKE, NON VENTED MACRO DRIP CHAMBER, SCREEN FILTER, STERILE, LATEX</t>
  </si>
  <si>
    <t>IV FLUID ADMINISTRATION SET, 15 MC, 60 IN, MACR IV SPIKE, N VENTED MACR DRIP CHMBR, SCRN FILTER, STRL, LTX</t>
  </si>
  <si>
    <t>IV FLUID ADMINISTRATION SET, 15 MC, 60 IN, MACR IV SPIKE, STRL</t>
  </si>
  <si>
    <t>IV FLUID ADMINISTRATION SET</t>
  </si>
  <si>
    <t>15 MC</t>
  </si>
  <si>
    <t>60 IN</t>
  </si>
  <si>
    <t>MACRO IV SPIKE, NON VENTED MACRO DRIP CHAMBER, SCREEN FILTER</t>
  </si>
  <si>
    <t>https://www.aaawholesalecompany.com/mdl-arm039821599a.html</t>
  </si>
  <si>
    <t>https://accessgudid.nlm.nih.gov/devices/00886333200740</t>
  </si>
  <si>
    <t>039823599A</t>
  </si>
  <si>
    <t>39823599A</t>
  </si>
  <si>
    <t>ARGON_039823599A</t>
  </si>
  <si>
    <t>Trifurcate Set 3Way Fluid Administration Set With 6 Main Line</t>
  </si>
  <si>
    <t>PRODIGO1072939</t>
  </si>
  <si>
    <t>"Trifurcate Set 3Way Fluid Administration Set w/6"" Main Line"</t>
  </si>
  <si>
    <t>Trifurcate Set 3Way Fluid Administration Set</t>
  </si>
  <si>
    <t>SET ADMIN TRIFURCATED TRANSDUCER 6IN - TRANSDUCER TRIFURCATED ADMINISTRATION SET 6</t>
  </si>
  <si>
    <t>IV FLUID ADMINISTRATION SET, TRIFURCATED, 6 IN, 3 WAY, TRANSDUCER, STERILE, LATEX</t>
  </si>
  <si>
    <t>IV FLUID ADMINISTRATION SET, TRIFURCATED, 6 IN, 3 W, TRANSDUCER, STRL, LTX</t>
  </si>
  <si>
    <t>IV FLUID ADMINISTRATION SET, TRIFURCATED, 6 IN, 3 W, TRANSDUCER</t>
  </si>
  <si>
    <t>TRIFURCATED</t>
  </si>
  <si>
    <t>6 IN</t>
  </si>
  <si>
    <t>3 WAY, TRANSDUCER</t>
  </si>
  <si>
    <t>https://www.graylinemedical.com/products/argon-medical-devices-inc-set-admin-trifurcated-transducer-6in-transducer-trifurcated-administration-set-6-00-039823599a</t>
  </si>
  <si>
    <t>https://accessgudid.nlm.nih.gov/devices/00886333200757</t>
  </si>
  <si>
    <t>039829999A</t>
  </si>
  <si>
    <t>39829999A</t>
  </si>
  <si>
    <t>ARGON_039829999A</t>
  </si>
  <si>
    <t>Contrast Media Set Vented Spike I.V. Set With 72 Line</t>
  </si>
  <si>
    <t>PRODIGO1072940</t>
  </si>
  <si>
    <t>"Contrast Media Set Vented Spike IV Set with 72"" Line"</t>
  </si>
  <si>
    <t>Contrast Media Set Vented Spike IV Set</t>
  </si>
  <si>
    <t>CONTRAST MEDIA IV SPIKE 72 (183CM) CONTRAST MANAGEMENT SPIKE WITH VENTED UNIVERSAL SPIKE</t>
  </si>
  <si>
    <t>IV FLUID ADMINISTRATION SET, CONTRAST MEDIA SPIKE, 72 IN, VENTED UNIVERSAL SPIKE, STERILE, LATEX</t>
  </si>
  <si>
    <t>IV FLUID ADMINISTRATION SET, CNTRST MEDIA SPIKE, 72 IN, VENTED UNIV SPIKE, STRL, LTX</t>
  </si>
  <si>
    <t>IV FLUID ADMINISTRATION SET, CNTRST MEDIA SPIKE, 72 IN, VENTED</t>
  </si>
  <si>
    <t>CONTRAST MEDIA SPIKE</t>
  </si>
  <si>
    <t>72 IN</t>
  </si>
  <si>
    <t>VENTED UNIVERSAL SPIKE</t>
  </si>
  <si>
    <t>https://assets-global.website-files.com/609d867d872392abfec460b4/6144f7a4c075fa2e7a51bfd8_Argon%20Catalog_US-compressed.pdf</t>
  </si>
  <si>
    <t>https://accessgudid.nlm.nih.gov/devices/00886333200764</t>
  </si>
  <si>
    <t>039830000A</t>
  </si>
  <si>
    <t>39830000A</t>
  </si>
  <si>
    <t>ARGON_039830000A</t>
  </si>
  <si>
    <t>I.V. Vented 72 W/ Chamber</t>
  </si>
  <si>
    <t>PRODIGO1072941</t>
  </si>
  <si>
    <t>"Vented IV Set with 72"" Line with Chamber"</t>
  </si>
  <si>
    <t>Vented IV Set</t>
  </si>
  <si>
    <t>VENTED IV SET WITH 72 LINE WITH CHAMBER</t>
  </si>
  <si>
    <t>IV FLUID ADMINISTRATION SET, VENTED, 72 IN, CHAMBER, STERILE, LATEX</t>
  </si>
  <si>
    <t>IV FLUID ADMINISTRATION SET, VENTED, 72 IN, CHMBR, STRL, LTX</t>
  </si>
  <si>
    <t>VENTED</t>
  </si>
  <si>
    <t>CHAMBER</t>
  </si>
  <si>
    <t>https://accessgudid.nlm.nih.gov/devices/00886333200771</t>
  </si>
  <si>
    <t>ADG</t>
  </si>
  <si>
    <t>SOURCED</t>
  </si>
  <si>
    <t>OK</t>
  </si>
  <si>
    <t>040100001A</t>
  </si>
  <si>
    <t>40100001A</t>
  </si>
  <si>
    <t>ARGON_040100001A</t>
  </si>
  <si>
    <t>Pressure Monitoring Line - Pressure Opaque PE Tubing 6 Line 15.2CM W/Male &amp; Female Luer Lock Connectors</t>
  </si>
  <si>
    <t>PRODIGO1072945</t>
  </si>
  <si>
    <t>"Pressure Monitoring Lines Pressure Opaque PE Tubing 6"" Line (15.2cm) w/Male &amp; Female Luer Lock Connectors"</t>
  </si>
  <si>
    <t>Pressure Monitoring Lines</t>
  </si>
  <si>
    <t>42181908  Intracompartmental pressure monitoring sets</t>
  </si>
  <si>
    <t>Pressure Monitoring Line with Female/Male Luers Opaque 6IN Polyethylene Sterile Latex</t>
  </si>
  <si>
    <t>LINE, PRESSURE MONITORING, OPAQUE, 6 IN, TUBING, WITH FEMALE MALE LUER LOCK CONNECTOR, POLYETHYLENE, STERILE, LATEX</t>
  </si>
  <si>
    <t>LINE, PRESSURE MONITORING, OPQ, 6 IN, TBNG, W/ FEMALE M LUER LCK CONN, POLYETH, STRL, LTX</t>
  </si>
  <si>
    <t>LINE, PRESSURE MONITORING, OPQ, 6 IN, FEMALE M LUER LCK, POLYETH</t>
  </si>
  <si>
    <t>LINE</t>
  </si>
  <si>
    <t>PRESSURE MONITORING</t>
  </si>
  <si>
    <t>OPAQUE</t>
  </si>
  <si>
    <t>TUBING, WITH FEMALE MALE LUER LOCK CONNECTOR</t>
  </si>
  <si>
    <t>POLYETHYLENE</t>
  </si>
  <si>
    <t>15.2 CM</t>
  </si>
  <si>
    <t>https://assets-global.website-files.com/609d867d872392abfec460b4/6144f7a4c075fa2e7a51bfd8_Argon%20Catalog_US-compressed.pdf, https://accessgudid.nlm.nih.gov/devices/00886333200788</t>
  </si>
  <si>
    <t>040100005A</t>
  </si>
  <si>
    <t>40100005A</t>
  </si>
  <si>
    <t>ARGON_040100005A</t>
  </si>
  <si>
    <t>Pressure Monitoring Line - 6  M/F Pressure Monitoring Injection Line</t>
  </si>
  <si>
    <t>PRODIGO1072946</t>
  </si>
  <si>
    <t>"Pressure Monitoring Lines 6""  M/F"</t>
  </si>
  <si>
    <t>Pressure Monitoring Line with Female/Male Luers injection 6IN Pvc Sterile Latex</t>
  </si>
  <si>
    <t>LINE, PRESSURE MONITORING, INJECTION, 6 IN, TUBING, WITH FEMALE MALE LUER LOCK CONNECTOR, PVC, STERILE, LATEX</t>
  </si>
  <si>
    <t>LINE, PRESSURE MONITORING, INJ, 6 IN, TBNG, W/ FEMALE M LUER LCK CONN, PVC, STRL, LTX</t>
  </si>
  <si>
    <t>LINE, PRESSURE MONITORING, INJ, 6 IN, FEMALE M LUER LCK, PVC</t>
  </si>
  <si>
    <t>INJECTION</t>
  </si>
  <si>
    <t>PVC</t>
  </si>
  <si>
    <t>https://assets-global.website-files.com/609d867d872392abfec460b4/6144f7a4c075fa2e7a51bfd8_Argon%20Catalog_US-compressed.pdf, https://accessgudid.nlm.nih.gov/devices/00886333200795</t>
  </si>
  <si>
    <t>040101001A</t>
  </si>
  <si>
    <t>40101001A</t>
  </si>
  <si>
    <t>ARGON_040101001A</t>
  </si>
  <si>
    <t>Pressure Monitoring Line - Pressure Opaque PE Tubing 12 Line W/ Male And Female Luer Lock Connectors</t>
  </si>
  <si>
    <t>PRODIGO1072947</t>
  </si>
  <si>
    <t>Pressure Monitoring Lines Pressure Opaque PE Tubing 1 Ft. Line w/ Male &amp; Female Luer Lock Connectors</t>
  </si>
  <si>
    <t>Pressure Monitoring Line with Female/Male Luers Opaque 12IN Polyethylene Sterile Latex</t>
  </si>
  <si>
    <t>LINE, PRESSURE MONITORING, OPAQUE, 12 IN, TUBING, WITH FEMALE MALE LUER LOCK CONNECTOR, POLYETHYLENE, STERILE, LATEX</t>
  </si>
  <si>
    <t>LINE, PRESSURE MONITORING, OPQ, 12 IN, TBNG, W/ FEMALE M LUER LCK CONN, POLYETH, STRL, LTX</t>
  </si>
  <si>
    <t>LINE, PRESSURE MONITORING, OPQ, 12 IN, FEMALE M LUER LCK, POLYETH</t>
  </si>
  <si>
    <t>12 IN</t>
  </si>
  <si>
    <t>1 FT</t>
  </si>
  <si>
    <t>https://assets-global.website-files.com/609d867d872392abfec460b4/6144f7a4c075fa2e7a51bfd8_Argon%20Catalog_US-compressed.pdf, https://accessgudid.nlm.nih.gov/devices/00886333200818</t>
  </si>
  <si>
    <t>040101005A</t>
  </si>
  <si>
    <t>40101005A</t>
  </si>
  <si>
    <t>ARGON_040101005A</t>
  </si>
  <si>
    <t>Pressure Monitoring Line - 12 M/F Pressure Monitoring Injection Line</t>
  </si>
  <si>
    <t>PRODIGO1072948</t>
  </si>
  <si>
    <t>Pressure Monitoring Lines 1 Ft. M/F</t>
  </si>
  <si>
    <t>Pressure Monitoring Line with Female/Male Luers injection 12IN Pvc Sterile Latex</t>
  </si>
  <si>
    <t>LINE, PRESSURE MONITORING, INJECTION, 12 IN, TUBING, WITH FEMALE MALE LUER LOCK CONNECTOR, PVC, STERILE, LATEX</t>
  </si>
  <si>
    <t>LINE, PRESSURE MONITORING, INJ, 12 IN, TBNG, W/ FEMALE M LUER LCK CONN, PVC, STRL, LTX</t>
  </si>
  <si>
    <t>LINE, PRESSURE MONITORING, INJ, 12 IN, FEMALE M LUER LCK, PVC</t>
  </si>
  <si>
    <t>https://assets-global.website-files.com/609d867d872392abfec460b4/6144f7a4c075fa2e7a51bfd8_Argon%20Catalog_US-compressed.pdf, https://accessgudid.nlm.nih.gov/devices/00886333200825</t>
  </si>
  <si>
    <t>040102001A</t>
  </si>
  <si>
    <t>40102001A</t>
  </si>
  <si>
    <t>ARGON_040102001A</t>
  </si>
  <si>
    <t>Pressure Monitoring Line - Pressure Opaque PE Tubing 2 Line With Male And Female Luer Lock Connectors</t>
  </si>
  <si>
    <t>PRODIGO1072949</t>
  </si>
  <si>
    <t>Pressure Opaque PE Tubing 2Ft. Line with Male and Female Luer Lock Connectors</t>
  </si>
  <si>
    <t>Pressure Opaque PE Tubing</t>
  </si>
  <si>
    <t>Pressure Monitoring Line with Female/Male Luers Opaque 2 FT Polyethylene Sterile Latex</t>
  </si>
  <si>
    <t>LINE, PRESSURE MONITORING, OPAQUE, 2 FT, TUBING, WITH FEMALE MALE LUER LOCK CONNECTOR, POLYETHYLENE, STERILE, LATEX</t>
  </si>
  <si>
    <t>LINE, PRESSURE MONITORING, OPQ, 2 FT, TBNG, W/ FEMALE M LUER LCK CONN, POLYETH, STRL, LTX</t>
  </si>
  <si>
    <t>LINE, PRESSURE MONITORING, OPQ, 2 FT, FEMALE M LUER LCK, POLYETH</t>
  </si>
  <si>
    <t>2 FT</t>
  </si>
  <si>
    <t>https://assets-global.website-files.com/609d867d872392abfec460b4/6144f7a4c075fa2e7a51bfd8_Argon%20Catalog_US-compressed.pdf, https://accessgudid.nlm.nih.gov/devices/00886333200849</t>
  </si>
  <si>
    <t>040103001A</t>
  </si>
  <si>
    <t>40103001A</t>
  </si>
  <si>
    <t>ARGON_040103001A</t>
  </si>
  <si>
    <t>Pressure Monitoring Line - Pressure Opaque PE Tubing 3 Line With Male And Female Luer Lock Connectors</t>
  </si>
  <si>
    <t>PRODIGO1072950</t>
  </si>
  <si>
    <t>Pressure Opaque PE Tubing 3Ft. Line with Male and Female Luer Lock Connectors</t>
  </si>
  <si>
    <t>Pressure Monitoring Line with Female/Male Luers Opaque 3 FT Polyethylene Sterile Latex</t>
  </si>
  <si>
    <t>LINE, PRESSURE MONITORING, OPAQUE, 3 FT, TUBING, WITH FEMALE MALE LUER LOCK CONNECTOR, POLYETHYLENE, STERILE, LATEX</t>
  </si>
  <si>
    <t>LINE, PRESSURE MONITORING, OPQ, 3 FT, TBNG, W/ FEMALE M LUER LCK CONN, POLYETH, STRL, LTX</t>
  </si>
  <si>
    <t>LINE, PRESSURE MONITORING, OPQ, 3 FT, FEMALE M LUER LCK, POLYETH</t>
  </si>
  <si>
    <t>3 FT</t>
  </si>
  <si>
    <t>040103005A</t>
  </si>
  <si>
    <t>40103005A</t>
  </si>
  <si>
    <t>ARGON_040103005A</t>
  </si>
  <si>
    <t>Pressure Monitoring Line - 3 M/F Pressure Monitoring Injection Line</t>
  </si>
  <si>
    <t>PRODIGO1072951</t>
  </si>
  <si>
    <t>Pressure Monitoring Lines 3Ft. M/F Pressure Monitoring Injection Line</t>
  </si>
  <si>
    <t>Pressure Monitoring Line with Female/Male Luers injection 3 FT Pvc Sterile Latex</t>
  </si>
  <si>
    <t>LINE, PRESSURE MONITORING, INJECTION, 3 FT, TUBING, WITH FEMALE MALE LUER LOCK CONNECTOR, PVC, STERILE, LATEX</t>
  </si>
  <si>
    <t>LINE, PRESSURE MONITORING, INJ, 3 FT, TBNG, W/ FEMALE M LUER LCK CONN, PVC, STRL, LTX</t>
  </si>
  <si>
    <t>LINE, PRESSURE MONITORING, INJ, 3 FT, FEMALE M LUER LCK, PVC</t>
  </si>
  <si>
    <t>https://assets-global.website-files.com/609d867d872392abfec460b4/6144f7a4c075fa2e7a51bfd8_Argon%20Catalog_US-compressed.pdf, https://accessgudid.nlm.nih.gov/devices/00886333200887</t>
  </si>
  <si>
    <t>040104001A</t>
  </si>
  <si>
    <t>40104001A</t>
  </si>
  <si>
    <t>ARGON_040104001A</t>
  </si>
  <si>
    <t>Pressure Monitoring Line - Pressure Opaque PE Tubing 4 Line With Male And Female Luer Lock Connectors</t>
  </si>
  <si>
    <t>PRODIGO1072952</t>
  </si>
  <si>
    <t>Pressure Monitoring Lines Pressure Opaque PE Tubing 4Ft. Line w/Male &amp; Female Luer Lock Connectors</t>
  </si>
  <si>
    <t>Pressure Monitoring Line with Female/Male Luers Opaque 4 FT Polyethylene Sterile Latex</t>
  </si>
  <si>
    <t>LINE, PRESSURE MONITORING, OPAQUE, 4 FT, TUBING, WITH FEMALE MALE LUER LOCK CONNECTOR, POLYETHYLENE, STERILE, LATEX</t>
  </si>
  <si>
    <t>LINE, PRESSURE MONITORING, OPQ, 4 FT, TBNG, W/ FEMALE M LUER LCK CONN, POLYETH, STRL, LTX</t>
  </si>
  <si>
    <t>LINE, PRESSURE MONITORING, OPQ, 4 FT, FEMALE M LUER LCK, POLYETH</t>
  </si>
  <si>
    <t>4 FT</t>
  </si>
  <si>
    <t>https://assets-global.website-files.com/609d867d872392abfec460b4/6144f7a4c075fa2e7a51bfd8_Argon%20Catalog_US-compressed.pdf, https://accessgudid.nlm.nih.gov/devices/00886333200900</t>
  </si>
  <si>
    <t>040106001A</t>
  </si>
  <si>
    <t>40106001A</t>
  </si>
  <si>
    <t>ARGON_040106001A</t>
  </si>
  <si>
    <t>Pressure Monitoring Line - Pressure Opaque PE Tubing 6 183CM Line With Male And Female Luer Lock Connectors</t>
  </si>
  <si>
    <t>PRODIGO1072953</t>
  </si>
  <si>
    <t>Pressure Monitoring Lines Pressure Opaque PE Tubing 6Ft. (183cm) Line w/ Male &amp; Female Luer Lock Connectors</t>
  </si>
  <si>
    <t>Pressure Monitoring Lines Pressure Opaque PE Tubing</t>
  </si>
  <si>
    <t>Pressure Monitoring Line with Female/Male Luers Opaque 6 FT Polyethylene Sterile Latex</t>
  </si>
  <si>
    <t>LINE, PRESSURE MONITORING, OPAQUE, 6 FT, TUBING, WITH FEMALE MALE LUER LOCK CONNECTOR, POLYETHYLENE, STERILE, LATEX</t>
  </si>
  <si>
    <t>LINE, PRESSURE MONITORING, OPQ, 6 FT, TBNG, W/ FEMALE M LUER LCK CONN, POLYETH, STRL, LTX</t>
  </si>
  <si>
    <t>LINE, PRESSURE MONITORING, OPQ, 6 FT, FEMALE M LUER LCK, POLYETH</t>
  </si>
  <si>
    <t>6 FT</t>
  </si>
  <si>
    <t>https://assets-global.website-files.com/609d867d872392abfec460b4/6144f7a4c075fa2e7a51bfd8_Argon%20Catalog_US-compressed.pdf, https://accessgudid.nlm.nih.gov/devices/00886333200962</t>
  </si>
  <si>
    <t>040106005A</t>
  </si>
  <si>
    <t>40106005A</t>
  </si>
  <si>
    <t>ARGON_040106005A</t>
  </si>
  <si>
    <t>Pressure Monitoring Line - 6 M/F Pressure Monitoring Injection Line</t>
  </si>
  <si>
    <t>PRODIGO1072954</t>
  </si>
  <si>
    <t>Pressure Monitoring Injection Line 6Ft. M/F</t>
  </si>
  <si>
    <t>Pressure Monitoring Injection Line</t>
  </si>
  <si>
    <t>Pressure Monitoring Line with Female/Male Luers injection 6 FT Pvc Sterile Latex</t>
  </si>
  <si>
    <t>LINE, PRESSURE MONITORING, INJECTION, 6 FT, TUBING, WITH FEMALE MALE LUER LOCK CONNECTOR, PVC, STERILE, LATEX</t>
  </si>
  <si>
    <t>LINE, PRESSURE MONITORING, INJ, 6 FT, TBNG, W/ FEMALE M LUER LCK CONN, PVC, STRL, LTX</t>
  </si>
  <si>
    <t>LINE, PRESSURE MONITORING, INJ, 6 FT, FEMALE M LUER LCK, PVC</t>
  </si>
  <si>
    <t>https://assets-global.website-files.com/609d867d872392abfec460b4/6144f7a4c075fa2e7a51bfd8_Argon%20Catalog_US-compressed.pdf, https://accessgudid.nlm.nih.gov/devices/00886333200979</t>
  </si>
  <si>
    <t>040108001A</t>
  </si>
  <si>
    <t>40108001A</t>
  </si>
  <si>
    <t>ARGON_040108001A</t>
  </si>
  <si>
    <t>Pressure Monitoring Line - Pressure Opaque PE Tubing 8 Line With Male And Female Luer Lock Connectors</t>
  </si>
  <si>
    <t>PRODIGO1072956</t>
  </si>
  <si>
    <t>Pressure Monitoring Lines Pressure Opaque PE Tubing 8Ft. Line w/Male &amp; Female Luer Lock Connectors</t>
  </si>
  <si>
    <t>Pressure Monitoring Line with Female/Male Luers Opaque 8 FT Polyethylene Sterile Latex</t>
  </si>
  <si>
    <t>LINE, PRESSURE MONITORING, OPAQUE, 8 FT, TUBING, WITH FEMALE MALE LUER LOCK CONNECTOR, POLYETHYLENE, STERILE, LATEX</t>
  </si>
  <si>
    <t>LINE, PRESSURE MONITORING, OPQ, 8 FT, TBNG, W/ FEMALE M LUER LCK CONN, POLYETH, STRL, LTX</t>
  </si>
  <si>
    <t>LINE, PRESSURE MONITORING, OPQ, 8 FT, FEMALE M LUER LCK, POLYETH</t>
  </si>
  <si>
    <t>8 FT</t>
  </si>
  <si>
    <t>https://assets-global.website-files.com/609d867d872392abfec460b4/6144f7a4c075fa2e7a51bfd8_Argon%20Catalog_US-compressed.pdf, https://accessgudid.nlm.nih.gov/devices/00886333201006</t>
  </si>
  <si>
    <t>040200001A</t>
  </si>
  <si>
    <t>40200001A</t>
  </si>
  <si>
    <t>ARGON_040200001A</t>
  </si>
  <si>
    <t>Pressure Monitoring Line - Pressure Opaque PE Tubing 6 Line With Male Luer Lock Connector On Each End</t>
  </si>
  <si>
    <t>PRODIGO1072960</t>
  </si>
  <si>
    <t>"Pressure Monitoring Lines Pressure Opaque PE Tubing 6"" Line w/Male Luer Lock Connectors on each End"</t>
  </si>
  <si>
    <t>Pressure Monitoring Line with Male Luers Opaque 6 IN Polyethylene Sterile Latex</t>
  </si>
  <si>
    <t>LINE, PRESSURE MONITORING, OPAQUE, 6 IN, TUBING, WITH MALE LUER LOCK CONNECTOR ON EACH END, POLYETHYLENE, STERILE, LATEX</t>
  </si>
  <si>
    <t>LINE, PRESSURE MONITORING, OPQ, 6 IN, TBNG, W/ M LUER LCK CONN ON EA END, POLYETH, STRL, LTX</t>
  </si>
  <si>
    <t>LINE, PRESSURE MONITORING, OPQ, 6 IN, M LUER LCK ON END, POLYETH</t>
  </si>
  <si>
    <t>TUBING, WITH MALE LUER LOCK CONNECTOR ON EACH END</t>
  </si>
  <si>
    <t>http://www.med-x.com/pdf/PTMO.pdf, https://accessgudid.nlm.nih.gov/devices/00886333201068</t>
  </si>
  <si>
    <t>040200005A</t>
  </si>
  <si>
    <t>40200005A</t>
  </si>
  <si>
    <t>ARGON_040200005A</t>
  </si>
  <si>
    <t>Pressure Monitoring Line - 6 M/M Pressure Monitoring Injection Line</t>
  </si>
  <si>
    <t>PRODIGO1072961</t>
  </si>
  <si>
    <t>"Pressure Monitoring Lines 6"" M/M"</t>
  </si>
  <si>
    <t>Pressure Monitoring Line with Male Luers injection 6 in Pvc Sterile Latex</t>
  </si>
  <si>
    <t>LINE, PRESSURE MONITORING, INJECTION, 6 IN, TUBING, WITH MALE LUER LOCK CONNECTOR ON EACH END, PVC, STERILE, LATEX</t>
  </si>
  <si>
    <t>LINE, PRESSURE MONITORING, INJ, 6 IN, TBNG, W/ M LUER LCK CONN ON EA END, PVC, STRL, LTX</t>
  </si>
  <si>
    <t>LINE, PRESSURE MONITORING, INJ, 6 IN, M LUER LCK ON EA END, PVC</t>
  </si>
  <si>
    <t>https://assets-global.website-files.com/609d867d872392abfec460b4/6144f7a4c075fa2e7a51bfd8_Argon%20Catalog_US-compressed.pdf, https://accessgudid.nlm.nih.gov/devices/00886333201075</t>
  </si>
  <si>
    <t>040201005A</t>
  </si>
  <si>
    <t>40201005A</t>
  </si>
  <si>
    <t>ARGON_040201005A</t>
  </si>
  <si>
    <t>Pressure Monitoring Line - 12 M/M Pressure Monitoring Injection Line</t>
  </si>
  <si>
    <t>PRODIGO1072962</t>
  </si>
  <si>
    <t>Pressure Monitoring Lines 1 Ft. M/M</t>
  </si>
  <si>
    <t>Pressure Monitoring Line with Male Luers injection 12 in Pvc Sterile Latex</t>
  </si>
  <si>
    <t>LINE, PRESSURE MONITORING, INJECTION, 12 IN, TUBING, WITH MALE LUER LOCK CONNECTOR ON EACH END, PVC, STERILE, LATEX</t>
  </si>
  <si>
    <t>LINE, PRESSURE MONITORING, INJ, 12 IN, TBNG, W/ M LUER LCK CONN ON EA END, PVC, STRL, LTX</t>
  </si>
  <si>
    <t>LINE, PRESSURE MONITORING, INJ, 12 IN, M LUER LCK ON EA END, PVC</t>
  </si>
  <si>
    <t>https://assets-global.website-files.com/609d867d872392abfec460b4/6144f7a4c075fa2e7a51bfd8_Argon%20Catalog_US-compressed.pdf, https://accessgudid.nlm.nih.gov/devices/00886333201082</t>
  </si>
  <si>
    <t>040202001A</t>
  </si>
  <si>
    <t>40202001A</t>
  </si>
  <si>
    <t>ARGON_040202001A</t>
  </si>
  <si>
    <t>Pressure Monitoring Line - Pressure Opaque PE Tubing 2 Line With Male Luer Lock Connector On Each End</t>
  </si>
  <si>
    <t>PRODIGO1072963</t>
  </si>
  <si>
    <t>Pressure Monitoring Lines Pressure Opaque PE Tubing 2Fr. Line w/Male Luer Lock Connectors on Each End</t>
  </si>
  <si>
    <t>Pressure Monitoring Line with Male Luers Opaque 2 FT Polyethylene Sterile Latex</t>
  </si>
  <si>
    <t>LINE, PRESSURE MONITORING, OPAQUE, 2 FT, TUBING, WITH MALE LUER LOCK CONNECTOR ON EACH END, POLYETHYLENE, STERILE, LATEX</t>
  </si>
  <si>
    <t>LINE, PRESSURE MONITORING, OPQ, 2 FT, TBNG, W/ M LUER LCK CONN ON EA END, POLYETH, STRL, LTX</t>
  </si>
  <si>
    <t>LINE, PRESSURE MONITORING, OPQ, 2 FT, M LUER LCK ON END, POLYETH</t>
  </si>
  <si>
    <t>https://assets-global.website-files.com/609d867d872392abfec460b4/6144f7a4c075fa2e7a51bfd8_Argon%20Catalog_US-compressed.pdf, https://accessgudid.nlm.nih.gov/devices/00886333201099</t>
  </si>
  <si>
    <t>040203001A</t>
  </si>
  <si>
    <t>40203001A</t>
  </si>
  <si>
    <t>ARGON_040203001A</t>
  </si>
  <si>
    <t>Pressure Monitoring Line - Pressure Opaque PE Tubing 3 Line With Male Luer Lock Connector On Each End</t>
  </si>
  <si>
    <t>PRODIGO1072964</t>
  </si>
  <si>
    <t>Pressure Monitoring Lines Pressure Opaque PE Tubing 3Ft. Line w/Male Luer Lock Connectors on each End</t>
  </si>
  <si>
    <t>Pressure Monitoring Line with Male Luers Opaque 3 FT Polyethylene Sterile Latex</t>
  </si>
  <si>
    <t>LINE, PRESSURE MONITORING, OPAQUE, 3 FT, TUBING, WITH MALE LUER LOCK CONNECTOR ON EACH END, POLYETHYLENE, STERILE, LATEX</t>
  </si>
  <si>
    <t>LINE, PRESSURE MONITORING, OPQ, 3 FT, TBNG, W/ M LUER LCK CONN ON EA END, POLYETH, STRL, LTX</t>
  </si>
  <si>
    <t>LINE, PRESSURE MONITORING, OPQ, 3 FT, M LUER LCK ON END, POLYETH</t>
  </si>
  <si>
    <t>https://assets-global.website-files.com/609d867d872392abfec460b4/6144f7a4c075fa2e7a51bfd8_Argon%20Catalog_US-compressed.pdf, https://accessgudid.nlm.nih.gov/devices/00886333201112</t>
  </si>
  <si>
    <t>040203005A</t>
  </si>
  <si>
    <t>40203005A</t>
  </si>
  <si>
    <t>ARGON_040203005A</t>
  </si>
  <si>
    <t>Pressure Monitoring Line - 3 M/M Pressure Monitoring Injection Line</t>
  </si>
  <si>
    <t>PRODIGO1072965</t>
  </si>
  <si>
    <t>Pressure Monitoring Lines 3Ft. M/M</t>
  </si>
  <si>
    <t>Pressure Monitoring Line with Male Luers injection 3FT Pvc Sterile Latex</t>
  </si>
  <si>
    <t>LINE, PRESSURE MONITORING, INJECTION, 3 FT, TUBING, WITH MALE LUER LOCK CONNECTOR ON EACH END, PVC, STERILE, LATEX</t>
  </si>
  <si>
    <t>LINE, PRESSURE MONITORING, INJ, 3 FT, TBNG, W/ M LUER LCK CONN ON EA END, PVC, STRL, LTX</t>
  </si>
  <si>
    <t>LINE, PRESSURE MONITORING, INJ, 3 FT, M LUER LCK ON EA END, PVC</t>
  </si>
  <si>
    <t>https://assets-global.website-files.com/609d867d872392abfec460b4/6144f7a4c075fa2e7a51bfd8_Argon%20Catalog_US-compressed.pdf, https://accessgudid.nlm.nih.gov/devices/00886333201129</t>
  </si>
  <si>
    <t>040204001A</t>
  </si>
  <si>
    <t>40204001A</t>
  </si>
  <si>
    <t>ARGON_040204001A</t>
  </si>
  <si>
    <t>Pressure Monitoring Line - Pressure Opaque PE Tubing Tubing 4 Line With Male Luer Lock Connector On Each End</t>
  </si>
  <si>
    <t>PRODIGO1072966</t>
  </si>
  <si>
    <t>Pressure Monitoring Lines Pressure Opaque PE Tubing Tubing 4Ft. Line w/Male Luer Lock Connectors on each End</t>
  </si>
  <si>
    <t>Pressure Monitoring Line with Male Luers Opaque 4 FT Polyethylene Sterile Latex</t>
  </si>
  <si>
    <t>LINE, PRESSURE MONITORING, OPAQUE, 4 FT, TUBING, WITH MALE LUER LOCK CONNECTOR ON EACH END, POLYETHYLENE, STERILE, LATEX</t>
  </si>
  <si>
    <t>LINE, PRESSURE MONITORING, OPQ, 4 FT, TBNG, W/ M LUER LCK CONN ON EA END, POLYETH, STRL, LTX</t>
  </si>
  <si>
    <t>LINE, PRESSURE MONITORING, OPQ, 4 FT, M LUER LCK ON END, POLYETH</t>
  </si>
  <si>
    <t>https://assets-global.website-files.com/609d867d872392abfec460b4/6144f7a4c075fa2e7a51bfd8_Argon%20Catalog_US-compressed.pdf, https://accessgudid.nlm.nih.gov/devices/00886333201150</t>
  </si>
  <si>
    <t>040204005A</t>
  </si>
  <si>
    <t>40204005A</t>
  </si>
  <si>
    <t>ARGON_040204005A</t>
  </si>
  <si>
    <t>Pressure Monitoring Line - 4 122CM M/M Pressure Monitoring Injection Line</t>
  </si>
  <si>
    <t>PRODIGO1072967</t>
  </si>
  <si>
    <t>Pressure Monitoring Lines 4Ft. (122cm) M/M</t>
  </si>
  <si>
    <t>Pressure Monitoring Line with Male Luers injection 4FT Pvc Sterile Latex</t>
  </si>
  <si>
    <t>LINE, PRESSURE MONITORING, INJECTION, 4 FT, TUBING, WITH MALE LUER LOCK CONNECTOR ON EACH END, PVC, STERILE, LATEX</t>
  </si>
  <si>
    <t>LINE, PRESSURE MONITORING, INJ, 4 FT, TBNG, W/ M LUER LCK CONN ON EA END, PVC, STRL, LTX</t>
  </si>
  <si>
    <t>LINE, PRESSURE MONITORING, INJ, 4 FT, M LUER LCK ON EA END, PVC</t>
  </si>
  <si>
    <t>https://assets-global.website-files.com/609d867d872392abfec460b4/6144f7a4c075fa2e7a51bfd8_Argon%20Catalog_US-compressed.pdf, https://accessgudid.nlm.nih.gov/devices/00886333201167</t>
  </si>
  <si>
    <t>040205005A</t>
  </si>
  <si>
    <t>40205005A</t>
  </si>
  <si>
    <t>ARGON_040205005A</t>
  </si>
  <si>
    <t>Pressure Monitoring Line - 5 152CM M/M Pressure Monitoring Injection Line</t>
  </si>
  <si>
    <t>PRODIGO1072968</t>
  </si>
  <si>
    <t>Pressure Monitoring Lines 5Ft. (152cm) M/M</t>
  </si>
  <si>
    <t>Pressure Monitoring Line with Male Luers injection 5FT Pvc Sterile Latex</t>
  </si>
  <si>
    <t>LINE, PRESSURE MONITORING, INJECTION, 5 FT, TUBING, WITH MALE LUER LOCK CONNECTOR ON EACH END, PVC, STERILE, LATEX</t>
  </si>
  <si>
    <t>LINE, PRESSURE MONITORING, INJ, 5 FT, TBNG, W/ M LUER LCK CONN ON EA END, PVC, STRL, LTX</t>
  </si>
  <si>
    <t>LINE, PRESSURE MONITORING, INJ, 5 FT, M LUER LCK ON EA END, PVC</t>
  </si>
  <si>
    <t>5 FT</t>
  </si>
  <si>
    <t>https://assets-global.website-files.com/609d867d872392abfec460b4/6144f7a4c075fa2e7a51bfd8_Argon%20Catalog_US-compressed.pdf, https://accessgudid.nlm.nih.gov/devices/00886333201181</t>
  </si>
  <si>
    <t>THIRD PARTY</t>
  </si>
  <si>
    <t>040206105A</t>
  </si>
  <si>
    <t>40206105A</t>
  </si>
  <si>
    <t>ARGON_040206105A</t>
  </si>
  <si>
    <t>Pressure Monitoring Line - Pressure Monitoring Line 6 M/M W/ Vented Covers</t>
  </si>
  <si>
    <t>PRODIGO1072969</t>
  </si>
  <si>
    <t>Pressure Monitoring Line 6' M/M w/ Vented Covers</t>
  </si>
  <si>
    <t>Pressure Monitoring Line</t>
  </si>
  <si>
    <t>Pressure Monitoring Line 6ft M/M w/ Vented Covers Sterile Latex</t>
  </si>
  <si>
    <t>LINE, PRESSURE MONITORING, 6 FT, WITH VENTED COVER, STERILE, LATEX</t>
  </si>
  <si>
    <t>LINE, PRESSURE MONITORING, 6 FT, W/ VENTED CVR, STRL, LTX</t>
  </si>
  <si>
    <t>LINE, PRESSURE MONITORING, 6 FT, W/ VENTED CVR</t>
  </si>
  <si>
    <t>WITH VENTED COVER</t>
  </si>
  <si>
    <t>https://accessgudid.nlm.nih.gov/devices/00886333201228, https://accessgudid.nlm.nih.gov/devices/00886333201228</t>
  </si>
  <si>
    <t>040208001A</t>
  </si>
  <si>
    <t>40208001A</t>
  </si>
  <si>
    <t>ARGON_040208001A</t>
  </si>
  <si>
    <t>Pressure Monitoring Line - Pressure Opaque PE Tubing 8 Line With Male Luer Lock Connector On Each End</t>
  </si>
  <si>
    <t>PRODIGO1072970</t>
  </si>
  <si>
    <t>Pressure Monitoring Lines Opaque PE Tubing 8Ft. Line w/Male Luer Lock Connectors on each end</t>
  </si>
  <si>
    <t>Pressure Monitoring Lines Opaque PE Tubing</t>
  </si>
  <si>
    <t>Pressure Monitoring Line with Male Luers Opaque 8 FT Polyethylene Sterile Latex</t>
  </si>
  <si>
    <t>LINE, PRESSURE MONITORING, OPAQUE, 8 FT, TUBING, WITH MALE LUER LOCK CONNECTOR ON EACH END, POLYETHYLENE, STERILE, LATEX</t>
  </si>
  <si>
    <t>LINE, PRESSURE MONITORING, OPQ, 8 FT, TBNG, W/ M LUER LCK CONN ON EA END, POLYETH, STRL, LTX</t>
  </si>
  <si>
    <t>LINE, PRESSURE MONITORING, OPQ, 8 FT, M LUER LCK ON END, POLYETH</t>
  </si>
  <si>
    <t>https://assets-global.website-files.com/609d867d872392abfec460b4/6144f7a4c075fa2e7a51bfd8_Argon%20Catalog_US-compressed.pdf, https://accessgudid.nlm.nih.gov/devices/00886333201242</t>
  </si>
  <si>
    <t>040208005A</t>
  </si>
  <si>
    <t>40208005A</t>
  </si>
  <si>
    <t>ARGON_040208005A</t>
  </si>
  <si>
    <t>Pressure Monitoring Line - 8 M/M Pressure Monitoring Injection Line</t>
  </si>
  <si>
    <t>PRODIGO1072971</t>
  </si>
  <si>
    <t>Pressure Monitoring Lines 8Ft. M/M Pressure Monitoring Injection Line</t>
  </si>
  <si>
    <t>Pressure Monitoring Line with Male Luers injection 8FT Pvc Sterile Latex</t>
  </si>
  <si>
    <t>LINE, PRESSURE MONITORING, INJECTION, 8 FT, TUBING, WITH MALE LUER LOCK CONNECTOR ON EACH END, PVC, STERILE, LATEX</t>
  </si>
  <si>
    <t>LINE, PRESSURE MONITORING, INJ, 8 FT, TBNG, W/ M LUER LCK CONN ON EA END, PVC, STRL, LTX</t>
  </si>
  <si>
    <t>LINE, PRESSURE MONITORING, INJ, 8 FT, M LUER LCK ON EA END, PVC</t>
  </si>
  <si>
    <t>https://assets-global.website-files.com/609d867d872392abfec460b4/6144f7a4c075fa2e7a51bfd8_Argon%20Catalog_US-compressed.pdf, https://accessgudid.nlm.nih.gov/devices/00886333201259</t>
  </si>
  <si>
    <t>041074000A</t>
  </si>
  <si>
    <t>41074000A</t>
  </si>
  <si>
    <t>ARGON_041074000A</t>
  </si>
  <si>
    <t>Sample Plug</t>
  </si>
  <si>
    <t>PRODIGO1072972</t>
  </si>
  <si>
    <t>Latex Sampling/Infusion Male Plug Sterile Latex</t>
  </si>
  <si>
    <t>PLUG, PRESSURE MONITORING, SAMPLING, INFUSION MALE, STERILE, LATEX</t>
  </si>
  <si>
    <t>PLUG, PRESSURE MONITORING, SAMPLING, INFUSION M, STRL, LTX</t>
  </si>
  <si>
    <t>PLUG, PRESSURE MONITORING, SAMPLING, INFUSION M</t>
  </si>
  <si>
    <t>PLUG</t>
  </si>
  <si>
    <t>SAMPLING</t>
  </si>
  <si>
    <t>INFUSION MALE</t>
  </si>
  <si>
    <t>http://www.med-x.com/pdf/PTMO.pdf, https://accessgudid.nlm.nih.gov/devices/00886333201303</t>
  </si>
  <si>
    <t>041104002A</t>
  </si>
  <si>
    <t>41104002A</t>
  </si>
  <si>
    <t>ARGON_041104002A</t>
  </si>
  <si>
    <t>Arterial Extensions 4Ft. Pvc Extension Tube With Male Luer Lock And Stopcock</t>
  </si>
  <si>
    <t>PRODIGO1072973</t>
  </si>
  <si>
    <t>Arterial Extension 4Ft. PVC Extension Tube with Male Luer Lock and Stopcock</t>
  </si>
  <si>
    <t>Arterial Extension</t>
  </si>
  <si>
    <t>Arterial Extension 4Ft PVC Extension Tube with Male Luer Lock and 4 WAY Stopcock Sterile Latex</t>
  </si>
  <si>
    <t>TUBE, EXTENSION, 4 FT, ARTERIAL, WITH MALE LUER LOCK, 4 WAY STOPCOCK, PVC, STERILE, LATEX</t>
  </si>
  <si>
    <t>TUBE, EXTN, 4 FT, ART, W/ M LUER LCK, 4 W STOPCOCK, PVC, STRL, LTX</t>
  </si>
  <si>
    <t>TUBE, EXTN, 4 FT, ART, W/ M LUER LCK, 4 W STOPCOCK, PVC</t>
  </si>
  <si>
    <t>TUBE</t>
  </si>
  <si>
    <t>EXTENSION</t>
  </si>
  <si>
    <t>ARTERIAL</t>
  </si>
  <si>
    <t>WITH MALE LUER LOCK, 4 WAY STOPCOCK</t>
  </si>
  <si>
    <t>http://www.med-x.com/pdf/PTMO.pdf, https://accessgudid.nlm.nih.gov/devices/00886333201310</t>
  </si>
  <si>
    <t>041107002A</t>
  </si>
  <si>
    <t>41107002A</t>
  </si>
  <si>
    <t>ARGON_041107002A</t>
  </si>
  <si>
    <t>Arterial Extensions 7Ft. Pvc Extension With Stopcock And Male Luer Lock Adaptor</t>
  </si>
  <si>
    <t>PRODIGO1072974</t>
  </si>
  <si>
    <t>Arterial Extensions 7Ft. PVC Extension w/Stopcock and Male Luer Lock Adaptor</t>
  </si>
  <si>
    <t>Arterial Extensions</t>
  </si>
  <si>
    <t>Arterial Extension 7Ft PVC Extension Tube with Male Luer Lock and 4 WAY Stopcock Sterile Latex</t>
  </si>
  <si>
    <t>TUBE, EXTENSION, 7 FT, ARTERIAL, WITH MALE LUER LOCK, 4 WAY STOPCOCK, PVC, STERILE, LATEX</t>
  </si>
  <si>
    <t>TUBE, EXTN, 7 FT, ART, W/ M LUER LCK, 4 W STOPCOCK, PVC, STRL, LTX</t>
  </si>
  <si>
    <t>TUBE, EXTN, 7 FT, ART, W/ M LUER LCK, 4 W STOPCOCK, PVC</t>
  </si>
  <si>
    <t>7 FT</t>
  </si>
  <si>
    <t>http://www.med-x.com/pdf/PTMO.pdf, https://accessgudid.nlm.nih.gov/devices/00886333201327</t>
  </si>
  <si>
    <t>041112002A</t>
  </si>
  <si>
    <t>41112002A</t>
  </si>
  <si>
    <t>ARGON_041112002A</t>
  </si>
  <si>
    <t>Arterial Extensions 12 Pvc Extension Tube With Male Luer Lock And Stopcock</t>
  </si>
  <si>
    <t>PRODIGO1072975</t>
  </si>
  <si>
    <t>"Arterial Extensions 12"" PVC Extension Tube with Male Luer Lock and Stopcock"</t>
  </si>
  <si>
    <t>"Arterial Extensions 12"" PVC Extension Tube"</t>
  </si>
  <si>
    <t>Arterial Extension 12IN PVC Extension Tube with Male Luer Lock and 4 WAY Stopcock Sterile Latex</t>
  </si>
  <si>
    <t>TUBE, EXTENSION, 12 IN, ARTERIAL, WITH MALE LUER LOCK, 4 WAY STOPCOCK, PVC, STERILE, LATEX</t>
  </si>
  <si>
    <t>TUBE, EXTN, 12 IN, ART, W/ M LUER LCK, 4 W STOPCOCK, PVC, STRL, LTX</t>
  </si>
  <si>
    <t>TUBE, EXTN, 12 IN, ART, W/ M LUER LCK, 4 W STOPCOCK, PVC</t>
  </si>
  <si>
    <t>http://www.med-x.com/pdf/PTMO.pdf, https://accessgudid.nlm.nih.gov/devices/00886333201334</t>
  </si>
  <si>
    <t>041209001A</t>
  </si>
  <si>
    <t>41209001A</t>
  </si>
  <si>
    <t>ARGON_041209001A</t>
  </si>
  <si>
    <t>Stopcock - Clear 4-Way W/ Male Luer Slip</t>
  </si>
  <si>
    <t>PRODIGO1072976</t>
  </si>
  <si>
    <t>Stopcocks Clear Four Way Stopcock w/ Male Luer Slip</t>
  </si>
  <si>
    <t>Stopcocks</t>
  </si>
  <si>
    <t>4-Way Stopcock With Male Luer Slip Sterile Latex</t>
  </si>
  <si>
    <t>STOPCOCK, PRESSURE MONITORING, 4 WAY, WITH MALE LUER SLIP, STERILE, LATEX</t>
  </si>
  <si>
    <t>STOPCOCK, PRESSURE MONITORING, 4 W, W/ M LUER SLIP, STRL, LTX</t>
  </si>
  <si>
    <t>STOPCOCK, PRESSURE MONITORING, 4 W, W/ M LUER SLIP</t>
  </si>
  <si>
    <t>STOPCOCK</t>
  </si>
  <si>
    <t>4 WAY</t>
  </si>
  <si>
    <t>WITH MALE LUER SLIP</t>
  </si>
  <si>
    <t>http://www.med-x.com/pdf/PTMO.pdf, https://accessgudid.nlm.nih.gov/devices/00886333201372</t>
  </si>
  <si>
    <t>041216000A</t>
  </si>
  <si>
    <t>41216000A</t>
  </si>
  <si>
    <t>ARGON_041216000A</t>
  </si>
  <si>
    <t>Stopcock - Clear 1-Way With Male Luer Lock</t>
  </si>
  <si>
    <t>PRODIGO1072977</t>
  </si>
  <si>
    <t>Clear, 1-Way Stopcock w/ Male Luer Lock</t>
  </si>
  <si>
    <t>Stopcock</t>
  </si>
  <si>
    <t>1-Way Stopcock With Male Luer Lock Sterile Latex</t>
  </si>
  <si>
    <t>STOPCOCK, PRESSURE MONITORING, 1 WAY, WITH MALE LUER LOCK, STERILE, LATEX</t>
  </si>
  <si>
    <t>STOPCOCK, PRESSURE MONITORING, 1W, W/ M LUER LCK, STRL, LTX</t>
  </si>
  <si>
    <t>STOPCOCK, PRESSURE MONITORING, 1W, W/ M LUER LCK</t>
  </si>
  <si>
    <t>1 WAY</t>
  </si>
  <si>
    <t>WITH MALE LUER LOCK</t>
  </si>
  <si>
    <t>http://www.med-x.com/pdf/PTMO.pdf, https://accessgudid.nlm.nih.gov/devices/00886333201419</t>
  </si>
  <si>
    <t>041220001A</t>
  </si>
  <si>
    <t>41220001A</t>
  </si>
  <si>
    <t>ARGON_041220001A</t>
  </si>
  <si>
    <t>Stopcock - Double 4-Way W/ Male Luer Lock</t>
  </si>
  <si>
    <t>PRODIGO1072978</t>
  </si>
  <si>
    <t>Stopcocks Double 4 Way Stopcock w/ Male Luer Lock</t>
  </si>
  <si>
    <t>Double 4-Way Bonded Stopcock With Male Luer Lock Sterile Latex</t>
  </si>
  <si>
    <t>STOPCOCK, PRESSURE MONITORING, 4 WAY, DOUBLE, BONDED, WITH MALE LUER LOCK, STERILE, LATEX</t>
  </si>
  <si>
    <t>STOPCOCK, PRESSURE MONITORING, 4 W, DBL, BONDED, W/ M LUER LCK, STRL, LTX</t>
  </si>
  <si>
    <t>STOPCOCK, PRESSURE MONITORING, 4 W, DBL, BONDED, W/ M LUER LCK</t>
  </si>
  <si>
    <t>DOUBLE, BONDED, WITH MALE LUER LOCK</t>
  </si>
  <si>
    <t>http://www.med-x.com/pdf/PTMO.pdf, https://accessgudid.nlm.nih.gov/devices/00886333201440</t>
  </si>
  <si>
    <t>041230001A</t>
  </si>
  <si>
    <t>41230001A</t>
  </si>
  <si>
    <t>ARGON_041230001A</t>
  </si>
  <si>
    <t>Tri-Ject 3-Way Iv Administration Organizer Without Stopcock</t>
  </si>
  <si>
    <t>PRODIGO1072979</t>
  </si>
  <si>
    <t>TRI-JECT 3-Way IV Administration Organizer without Stopcock</t>
  </si>
  <si>
    <t>Triject 3-Way Organizer Without Stopcock Sterile Latex</t>
  </si>
  <si>
    <t>ORGANIZER, PRESSURE MONITORING, 3 WAY, IV ADMINISTRATION, WITHOUT STOPCOCK, STERILE, TRIJECT, LATEX</t>
  </si>
  <si>
    <t>ORGANIZER, PRESSURE MONITORING, 3 W, IV ADMIN, W/O STOPCOCK, STRL, TRIJECT, LTX</t>
  </si>
  <si>
    <t>ORGANIZER, PRESSURE MONITORING, 3 W, IV, W/O STOPCOCK, TRIJECT</t>
  </si>
  <si>
    <t>ORGANIZER</t>
  </si>
  <si>
    <t>3 WAY</t>
  </si>
  <si>
    <t>IV ADMINISTRATION, WITHOUT STOPCOCK</t>
  </si>
  <si>
    <t>TRIJECT</t>
  </si>
  <si>
    <t>http://www.med-x.com/pdf/PTMO.pdf, https://accessgudid.nlm.nih.gov/devices/00886333201457</t>
  </si>
  <si>
    <t>041240002A</t>
  </si>
  <si>
    <t>41240002A</t>
  </si>
  <si>
    <t>ARGON_041240002A</t>
  </si>
  <si>
    <t>Stopcock - Clear 4-Way W/ Rotating Male Luer Lock</t>
  </si>
  <si>
    <t>PRODIGO1072980</t>
  </si>
  <si>
    <t>Stopcocks Clear 4-Way Stopcock w/ Rotating Male Luer Lock</t>
  </si>
  <si>
    <t>4-Way Stopcock With Swivel Male Luer Sterile Latex</t>
  </si>
  <si>
    <t>STOPCOCK, PRESSURE MONITORING, 4 WAY, WITH SWIVEL MALE LUER, CLEAR, STERILE, LATEX</t>
  </si>
  <si>
    <t>STOPCOCK, PRESSURE MONITORING, 4 W, W/ SWVL M LUER, CLR, STRL, LTX</t>
  </si>
  <si>
    <t>STOPCOCK, PRESSURE MONITORING, 4 W, W/ SWVL M LUER, CLR</t>
  </si>
  <si>
    <t>WITH SWIVEL MALE LUER</t>
  </si>
  <si>
    <t>CLEAR</t>
  </si>
  <si>
    <t>http://www.med-x.com/pdf/PTMO.pdf, https://accessgudid.nlm.nih.gov/devices/00886333201464</t>
  </si>
  <si>
    <t>041273501A</t>
  </si>
  <si>
    <t>41273501A</t>
  </si>
  <si>
    <t>ARGON_041273501A</t>
  </si>
  <si>
    <t>Manifold Three Stopcock Manifold</t>
  </si>
  <si>
    <t>PRODIGO1072981</t>
  </si>
  <si>
    <t>Three Stopcock Manifold</t>
  </si>
  <si>
    <t>3-Port Manifold All Female Ports Color Coded Handles Sterile Latex</t>
  </si>
  <si>
    <t>MANIFOLD, PRESSURE MONITORING, 3 PORT, FEMALE, WITH COLOR CODED HANDLE, STERILE, LATEX</t>
  </si>
  <si>
    <t>MANIFOLD, PRESSURE MONITORING, 3 PRT, FEMALE, W/ CLR CODE HNDL, STRL, LTX</t>
  </si>
  <si>
    <t>MANIFOLD, PRESSURE MONITORING, 3 PRT, FEMALE, W/ CLR CODE HNDL</t>
  </si>
  <si>
    <t>MANIFOLD</t>
  </si>
  <si>
    <t>3 PORT</t>
  </si>
  <si>
    <t>FEMALE, WITH COLOR CODED HANDLE</t>
  </si>
  <si>
    <t>http://www.med-x.com/pdf/PTMO.pdf, https://accessgudid.nlm.nih.gov/devices/00886333201488</t>
  </si>
  <si>
    <t>041275501A</t>
  </si>
  <si>
    <t>41275501A</t>
  </si>
  <si>
    <t>ARGON_041275501A</t>
  </si>
  <si>
    <t>Manifolds - Five Stopcock Manifold</t>
  </si>
  <si>
    <t>PRODIGO1072982</t>
  </si>
  <si>
    <t>Five Stopcock Manifold</t>
  </si>
  <si>
    <t>5-Port Manifold All Female Ports Color Coded Handles Sterile Latex</t>
  </si>
  <si>
    <t>MANIFOLD, PRESSURE MONITORING, 5 PORT, FEMALE, WITH COLOR CODED HANDLE, STERILE, LATEX</t>
  </si>
  <si>
    <t>MANIFOLD, PRESSURE MONITORING, 5 PRT, FEMALE, W/ CLR CODE HNDL, STRL, LTX</t>
  </si>
  <si>
    <t>MANIFOLD, PRESSURE MONITORING, 5 PRT, FEMALE, W/ CLR CODE HNDL</t>
  </si>
  <si>
    <t>5 PORT</t>
  </si>
  <si>
    <t>http://www.med-x.com/pdf/PTMO.pdf, https://accessgudid.nlm.nih.gov/devices/00886333201495</t>
  </si>
  <si>
    <t>041278501A</t>
  </si>
  <si>
    <t>41278501A</t>
  </si>
  <si>
    <t>ARGON_041278501A</t>
  </si>
  <si>
    <t>Manifolds - Five Stopcock Manifold W/ Male Luer Lock</t>
  </si>
  <si>
    <t>PRODIGO1072983</t>
  </si>
  <si>
    <t>Five Stopcock Manifold w/ Male Luer Lock</t>
  </si>
  <si>
    <t>5-Port Manifold Female Ports (6) With Male Luer Lock At End Sterile Latex</t>
  </si>
  <si>
    <t>MANIFOLD, PRESSURE MONITORING, 5 PORT, FEMALE, WITH MALE LUER LOCK AT END, STERILE, LATEX</t>
  </si>
  <si>
    <t>MANIFOLD, PRESSURE MONITORING, 5 PRT, FEMALE, W/ M LUER LCK AT END, STRL, LTX</t>
  </si>
  <si>
    <t>MANIFOLD, PRESSURE MONITORING, 5 PRT, FEMALE, M LUER LCK AT END</t>
  </si>
  <si>
    <t>FEMALE, WITH MALE LUER LOCK AT END</t>
  </si>
  <si>
    <t>http://www.med-x.com/pdf/PTMO.pdf, https://accessgudid.nlm.nih.gov/devices/00886333201501</t>
  </si>
  <si>
    <t>041280000A</t>
  </si>
  <si>
    <t>41280000A</t>
  </si>
  <si>
    <t>ARGON_041280000A</t>
  </si>
  <si>
    <t>Rotating Adapter With One Male LL And One Female LL Do Not Exceed To 500 PSI</t>
  </si>
  <si>
    <t>PRODIGO1072984</t>
  </si>
  <si>
    <t>Rotating Adapter with One Male LL and One Female LL</t>
  </si>
  <si>
    <t>Rotating Adapter</t>
  </si>
  <si>
    <t>Rotating Adapter Male L/L And Female L/L Clear Polycarbonate Sterile Latex</t>
  </si>
  <si>
    <t>ADAPTER, PRESSURE MONITORING, ROTATING, WITH ONE MALE AND FEMALE LUER LOCK, POLYCARBONATE, CLEAR, STERILE, LATEX</t>
  </si>
  <si>
    <t>ADAPTER, PRESSURE MONITORING, ROTATING, W/ 1 M &amp; FEMALE LUER LCK, POLYCARB, CLR, STRL, LTX</t>
  </si>
  <si>
    <t>ADAPTER, PRESSURE MONITORING, 1 M &amp; FEMALE LUER LCK, POLYCARB</t>
  </si>
  <si>
    <t>ADAPTER</t>
  </si>
  <si>
    <t>ROTATING</t>
  </si>
  <si>
    <t>WITH ONE MALE AND FEMALE LUER LOCK</t>
  </si>
  <si>
    <t>POLYCARBONATE</t>
  </si>
  <si>
    <t>DO NOT EXCEED TO 500 PSI</t>
  </si>
  <si>
    <t>http://www.med-x.com/pdf/PTMO.pdf, https://accessgudid.nlm.nih.gov/devices/00886333201518</t>
  </si>
  <si>
    <t>041281000A</t>
  </si>
  <si>
    <t>41281000A</t>
  </si>
  <si>
    <t>ARGON_041281000A</t>
  </si>
  <si>
    <t>Rotating Adapter With Doubel Male Luer Lock Do Not Exceed 500 PSI</t>
  </si>
  <si>
    <t>PRODIGO1072985</t>
  </si>
  <si>
    <t>Rotating Adapter with Doubel Male Luer Lock</t>
  </si>
  <si>
    <t>Rotating Adapter Double Male L/L Clear Polycarbonate Sterile Latex</t>
  </si>
  <si>
    <t>ADAPTER, PRESSURE MONITORING, ROTATING, WITH DOUBLE MALE LUER LOCK, POLYCARBONATE, CLEAR, STERILE, LATEX</t>
  </si>
  <si>
    <t>ADAPTER, PRESSURE MONITORING, ROTATING, W/ DBL M LUER LCK, POLYCARB, CLR, STRL, LTX</t>
  </si>
  <si>
    <t>ADAPTER, PRESSURE MONITORING, DBL M LUER LCK, POLYCARB, CLR</t>
  </si>
  <si>
    <t>WITH DOUBLE MALE LUER LOCK</t>
  </si>
  <si>
    <t>http://www.med-x.com/pdf/PTMO.pdf, https://accessgudid.nlm.nih.gov/devices/00886333201525</t>
  </si>
  <si>
    <t>041295000A</t>
  </si>
  <si>
    <t>41295000A</t>
  </si>
  <si>
    <t>ARGON_041295000A</t>
  </si>
  <si>
    <t>Plugs Male/Female Luer Lock Plug</t>
  </si>
  <si>
    <t>PRODIGO1072987</t>
  </si>
  <si>
    <t>Male/Female Luer Lock Plug</t>
  </si>
  <si>
    <t>Male/Female L/L Plug Sterile Latex</t>
  </si>
  <si>
    <t>PLUG, PRESSURE MONITORING, LUER LOCK, MALE/FEMALE, STERILE, LATEX</t>
  </si>
  <si>
    <t>PLUG, PRESSURE MONITORING, LL, M/F, STRL, LTX</t>
  </si>
  <si>
    <t>PLUG, PRESSURE MONITORING, LL, M/F</t>
  </si>
  <si>
    <t>LUER LOCK</t>
  </si>
  <si>
    <t>MALE/FEMALE</t>
  </si>
  <si>
    <t>http://www.med-x.com/pdf/PTMO.pdf, https://accessgudid.nlm.nih.gov/devices/00886333201556</t>
  </si>
  <si>
    <t>041600503A</t>
  </si>
  <si>
    <t>41600503A</t>
  </si>
  <si>
    <t>ARGON_041600503A</t>
  </si>
  <si>
    <t>Hyperbaric Iv Extension Kit</t>
  </si>
  <si>
    <t>PRODIGO1072991</t>
  </si>
  <si>
    <t>Hyperbaric IV Extension Kit</t>
  </si>
  <si>
    <t>Hyperbaric Chamber I/V Kit 3 psi Check Valve Pass Through Device Stopcock and 72in (183cm) Monitoring Line Sterile Latex</t>
  </si>
  <si>
    <t>INTRAVENOUS KIT, EXTENSION, 72 IN, HYPERBARIC CHAMBER, 3 PSI CHECK VALVE, PASS THROUGH DEVICE STOPCOCK, AND MONITORING LINE, STERILE, LATEX</t>
  </si>
  <si>
    <t>INTRAVENOUS KIT, EXTN, 72 IN, HYPRBAR CHMBR, 3 PSI CHECK VLV, PASS THRU DEV STOPCOCK, &amp; MONITORING LN, STRL, LTX</t>
  </si>
  <si>
    <t>INTRAVENOUS KIT, EXTN, 72 IN, HYPRBAR CHMBR, 3 PSI CHECK VLV</t>
  </si>
  <si>
    <t>INTRAVENOUS KIT</t>
  </si>
  <si>
    <t xml:space="preserve">HYPERBARIC CHAMBER, 3 PSI CHECK VALVE, PASS THROUGH DEVICE STOPCOCK, AND MONITORING LINE </t>
  </si>
  <si>
    <t>http://www.med-x.com/pdf/PTMO.pdf, https://accessgudid.nlm.nih.gov/devices/00886333201860</t>
  </si>
  <si>
    <t>0461201</t>
  </si>
  <si>
    <t>461201</t>
  </si>
  <si>
    <t>046-1-201</t>
  </si>
  <si>
    <t>ARGON_0461201</t>
  </si>
  <si>
    <t>Vascuclamp Radiopaque Vascular Clamp Small Angled</t>
  </si>
  <si>
    <t>PRODIGO1072992</t>
  </si>
  <si>
    <t>Vascuclamp</t>
  </si>
  <si>
    <t>Vascuclamp Radiopaque Vascular Clamp Small Angled Sterile Latex</t>
  </si>
  <si>
    <t>CLAMP, SURGICAL, RADIOPAQUE, SMALL, VASCULAR, ANGLED, STERILE, VASCUCLAMP, LATEX</t>
  </si>
  <si>
    <t>CLAMP, SURG, RADIOPAQUE, SM, VASC, ANGLED, STRL, VASCUCLAMP, LTX</t>
  </si>
  <si>
    <t>RADIOPAQUE</t>
  </si>
  <si>
    <t>SMALL</t>
  </si>
  <si>
    <t>VASCULAR</t>
  </si>
  <si>
    <t>ANGLED</t>
  </si>
  <si>
    <t>VASCUCLAMP</t>
  </si>
  <si>
    <t>https://accessgudid.nlm.nih.gov/devices/00886333222391, https://accessgudid.nlm.nih.gov/devices/00886333222391</t>
  </si>
  <si>
    <t>0461300</t>
  </si>
  <si>
    <t>461300</t>
  </si>
  <si>
    <t>046-1-300</t>
  </si>
  <si>
    <t>ARGON_0461300</t>
  </si>
  <si>
    <t>Vascuclamp Radiopaque Vascular Clamp Medium Straight 2 Clamps Per Package</t>
  </si>
  <si>
    <t>PRODIGO1072993</t>
  </si>
  <si>
    <t>Vascuclamp Radiopaque Vascular Clamp Medium Straight (2 Clamps per Package)</t>
  </si>
  <si>
    <t>Vascuclamp Radiopaque Vascular Clamp Medium Straight Sterile Latex</t>
  </si>
  <si>
    <t>CLAMP, SURGICAL, RADIOPAQUE, MEDIUM, VASCULAR, STRAIGHT, STERILE, VASCUCLAMP, LATEX</t>
  </si>
  <si>
    <t>CLAMP, SURG, RADIOPAQUE, MED, VASC, STR, STRL, VASCUCLAMP, LTX</t>
  </si>
  <si>
    <t>MEDIUM</t>
  </si>
  <si>
    <t>STRAIGHT</t>
  </si>
  <si>
    <t>2 CLAMPS PER PACKAGE</t>
  </si>
  <si>
    <t>https://accessgudid.nlm.nih.gov/devices/00886333222407, https://accessgudid.nlm.nih.gov/devices/00886333222407</t>
  </si>
  <si>
    <t>0461400</t>
  </si>
  <si>
    <t>461400</t>
  </si>
  <si>
    <t>046-1-400</t>
  </si>
  <si>
    <t>ARGON_0461400</t>
  </si>
  <si>
    <t>Vascuclamp Radiopaque Vascular Clamp Large Straight 2 Clamps Per Package</t>
  </si>
  <si>
    <t>PRODIGO1072994</t>
  </si>
  <si>
    <t>Vascuclamp Radiopaque Vascular Clamp Large Straight (2 Clamps Per Package)</t>
  </si>
  <si>
    <t>Vascuclamp Radiopaque Vascular Clamp Large Straight Sterile Latex</t>
  </si>
  <si>
    <t>CLAMP, SURGICAL, RADIOPAQUE, LARGE, VASCULAR, STRAIGHT, STERILE, VASCUCLAMP, LATEX</t>
  </si>
  <si>
    <t>CLAMP, SURG, RADIOPAQUE, LG, VASC, STR, STRL, VASCUCLAMP, LTX</t>
  </si>
  <si>
    <t>LARGE</t>
  </si>
  <si>
    <t>https://accessgudid.nlm.nih.gov/devices/00886333222421, https://accessgudid.nlm.nih.gov/devices/00886333222421</t>
  </si>
  <si>
    <t>0461401</t>
  </si>
  <si>
    <t>461401</t>
  </si>
  <si>
    <t>046-1-401</t>
  </si>
  <si>
    <t>ARGON_0461401</t>
  </si>
  <si>
    <t>Vascuclamp Radiopaque Vascular Clamp Large Angled 2 Clamps Per Package</t>
  </si>
  <si>
    <t>PRODIGO1072995</t>
  </si>
  <si>
    <t>Vascuclamp Radiopaque Vascular Clamp Large Angled (2 Clamps Per Package)</t>
  </si>
  <si>
    <t>Vascuclamp Radiopaque Vascular Clamp Large Angled Sterile Latex</t>
  </si>
  <si>
    <t>CLAMP, SURGICAL, RADIOPAQUE, LARGE, VASCULAR, ANGLED, STERILE, VASCUCLAMP, LATEX</t>
  </si>
  <si>
    <t>CLAMP, SURG, RADIOPAQUE, LG, VASC, ANGLED, STRL, VASCUCLAMP, LTX</t>
  </si>
  <si>
    <t>https://accessgudid.nlm.nih.gov/devices/00886333222438, https://accessgudid.nlm.nih.gov/devices/00886333222438</t>
  </si>
  <si>
    <t>049600034A</t>
  </si>
  <si>
    <t>49600034A</t>
  </si>
  <si>
    <t>ARGON_049600034A</t>
  </si>
  <si>
    <t>Manifold 5 Unit W/ Lt. Male Adapter</t>
  </si>
  <si>
    <t>PRODIGO1073011</t>
  </si>
  <si>
    <t>Manifold 5 Unit w/ Lt. Male Adapter</t>
  </si>
  <si>
    <t>Manifold</t>
  </si>
  <si>
    <t>42221612  Intravenous or arterial tubing needleless injection ports or stopcocks or manifolds</t>
  </si>
  <si>
    <t>Manifold 5 Unit w/ Lt. Male Adapter Sterile Latex</t>
  </si>
  <si>
    <t>MANIFOLD, INTRAVENOUS, WITH MALE ADAPTER, 5 UNIT, STERILE, LATEX</t>
  </si>
  <si>
    <t>MANIFOLD, IV, W/ M ADPT, 5 UNIT, STRL, LTX</t>
  </si>
  <si>
    <t>MANIFOLD, IV, W/ M ADPT, 5 UNIT</t>
  </si>
  <si>
    <t>INTRAVENOUS</t>
  </si>
  <si>
    <t>WITH MALE ADAPTER, 5 UNIT</t>
  </si>
  <si>
    <t>W/LT</t>
  </si>
  <si>
    <t>https://accessgudid.nlm.nih.gov/devices/00886333202614</t>
  </si>
  <si>
    <t>UNSOURCED</t>
  </si>
  <si>
    <t>0MCP01020B</t>
  </si>
  <si>
    <t>MCP01020B</t>
  </si>
  <si>
    <t>ARGON_0MCP01020B</t>
  </si>
  <si>
    <t>Band Bag Pack 36X36</t>
  </si>
  <si>
    <t>PRODIGO1073370</t>
  </si>
  <si>
    <t>42192501  Medical equipment covers</t>
  </si>
  <si>
    <t>Band Bag Pack 36X36 Sterile Latex</t>
  </si>
  <si>
    <t>BAG, BAND, 36X36 IN, PACK</t>
  </si>
  <si>
    <t>BAG, BND, 36X36 IN, PK</t>
  </si>
  <si>
    <t>BAG</t>
  </si>
  <si>
    <t>BAND</t>
  </si>
  <si>
    <t>36X36 IN</t>
  </si>
  <si>
    <t>PACK</t>
  </si>
  <si>
    <t>URL NOT FOUND</t>
  </si>
  <si>
    <t>0MCP01037A</t>
  </si>
  <si>
    <t>MCP01037A</t>
  </si>
  <si>
    <t>ARGON_0MCP01037A</t>
  </si>
  <si>
    <t>Radial Drape W/ Oval Fenestration</t>
  </si>
  <si>
    <t>PRODIGO1073371</t>
  </si>
  <si>
    <t>42131701  Surgical drapes</t>
  </si>
  <si>
    <t>Radial Drape W/ Oval Fenestration Sterile Latex</t>
  </si>
  <si>
    <t>DRAPE, SURGICAL, RADIAL, WITH OVAL FENESTRATION</t>
  </si>
  <si>
    <t>DRAPE, SURG, RADIAL, W/ OVL FEN</t>
  </si>
  <si>
    <t>DRAPE</t>
  </si>
  <si>
    <t>RADIAL</t>
  </si>
  <si>
    <t>WITH OVAL FENESTRATION</t>
  </si>
  <si>
    <t>CND</t>
  </si>
  <si>
    <t>124035090</t>
  </si>
  <si>
    <t>ARGON_124035090</t>
  </si>
  <si>
    <t>Worker Guidewire - Amplatz Straight .035 X 90CM - 7.5CM Tip</t>
  </si>
  <si>
    <t>PRODIGO1072601</t>
  </si>
  <si>
    <t>"WorkerGäó Guidewire - Amplatz Straight .035"" x 90cm, 7.5cm Tip"</t>
  </si>
  <si>
    <t>WorkerGäó Guidewire</t>
  </si>
  <si>
    <t>42203404  Vascular imaging guidewires</t>
  </si>
  <si>
    <t>C1769</t>
  </si>
  <si>
    <t>GUIDE WIRE</t>
  </si>
  <si>
    <t>Worker Amplatz Guidewire - Straight 0.035 90cm 7.5cm</t>
  </si>
  <si>
    <t>GUIDEWIRE, VASCULAR, STRAIGHT, 7.5 CM, 0.035 INX90 CM, STERILE, WORKER AMPLATZ, LATEX</t>
  </si>
  <si>
    <t>GUIDEWIRE, VASC, STR, 7.5 CM, 0.035 INX90 CM, STRL, WORKER AMPLATZ, LTX</t>
  </si>
  <si>
    <t>GUIDEWIRE, VASC, STR, 7.5 CM, 0.035 INX90 CM, WORKER AMPLATZ, LTX</t>
  </si>
  <si>
    <t>GUIDEWIRE</t>
  </si>
  <si>
    <t>7.5 CM</t>
  </si>
  <si>
    <t>0.035 INX90 CM</t>
  </si>
  <si>
    <t>WORKER AMPLATZ</t>
  </si>
  <si>
    <t>https://www.argonmedical.com/wp-content/uploads/2022/09/Worker-Amplatz-Brochure.pdf, https://accessgudid.nlm.nih.gov/devices/00886333224487</t>
  </si>
  <si>
    <t>124035150</t>
  </si>
  <si>
    <t>ARGON_124035150</t>
  </si>
  <si>
    <t>Worker Guidewire - Amplatz Straight .035 X 150CM - 7.5CM Tip</t>
  </si>
  <si>
    <t>PRODIGO1072602</t>
  </si>
  <si>
    <t>"WORKERGäó Guidewire Amplatz Straight .035"" x 150cm, 7.5cm Tip"</t>
  </si>
  <si>
    <t>WORKERGäó Guidewire</t>
  </si>
  <si>
    <t>Worker Amplatz Guidewire - Straight 0.035 150cm 7.5cm</t>
  </si>
  <si>
    <t>GUIDEWIRE, VASCULAR, STRAIGHT, 7.5 CM, 0.035 INX150 CM, STERILE, WORKER AMPLATZ, LATEX</t>
  </si>
  <si>
    <t>GUIDEWIRE, VASC, STR, 7.5 CM, 0.035 INX150 CM, STRL, WORKER AMPLATZ, LTX</t>
  </si>
  <si>
    <t>GUIDEWIRE, VASC, STR, 7.5 CM, 0.035 INX150 CM, WORKER AMPLATZ, LTX</t>
  </si>
  <si>
    <t>0.035 INX150 CM</t>
  </si>
  <si>
    <t>https://www.argonmedical.com/wp-content/uploads/2022/09/Worker-Amplatz-Brochure.pdf, https://accessgudid.nlm.nih.gov/devices/00886333224494</t>
  </si>
  <si>
    <t>124035180</t>
  </si>
  <si>
    <t>ARGON_124035180</t>
  </si>
  <si>
    <t>Worker Guidewire - Amplatz Straight .035 X 180CM - 7.5CM Tip</t>
  </si>
  <si>
    <t>PRODIGO1072603</t>
  </si>
  <si>
    <t>"WorkerGäó Guidewire - Amplatz Straight .035"" x 180cm, 7.5cm Tip"</t>
  </si>
  <si>
    <t>Worker Amplatz Guidewire - Straight 0.035 180cm 7.5cm</t>
  </si>
  <si>
    <t>GUIDEWIRE, VASCULAR, STRAIGHT, 7.5 CM, 0.035 INX180 CM, STERILE, WORKER AMPLATZ, LATEX</t>
  </si>
  <si>
    <t>GUIDEWIRE, VASC, STR, 7.5 CM, 0.035 INX180 CM, STRL, WORKER AMPLATZ, LTX</t>
  </si>
  <si>
    <t>GUIDEWIRE, VASC, STR, 7.5 CM, 0.035 INX180 CM, WORKER AMPLATZ, LTX</t>
  </si>
  <si>
    <t>0.035 INX180 CM</t>
  </si>
  <si>
    <t>https://www.argonmedical.com/wp-content/uploads/2022/09/Worker-Amplatz-Brochure.pdf, https://accessgudid.nlm.nih.gov/devices/00886333224500</t>
  </si>
  <si>
    <t>124035260</t>
  </si>
  <si>
    <t>ARGON_124035260</t>
  </si>
  <si>
    <t>Worker Guidewire - Amplatz Straight .035 X 260CM - 7.5CM Tip</t>
  </si>
  <si>
    <t>PRODIGO1072604</t>
  </si>
  <si>
    <t>"WorkerGäó Guidewire - Amplatz Straight .035"" x 260cm, 7.5cm Tip"</t>
  </si>
  <si>
    <t>Worker Amplatz Guidewire - Straight 0.035 260cm 7.5cm</t>
  </si>
  <si>
    <t>GUIDEWIRE, VASCULAR, STRAIGHT, 7.5 CM, 0.035 INX260 CM, STERILE, WORKER AMPLATZ, LATEX</t>
  </si>
  <si>
    <t>GUIDEWIRE, VASC, STR, 7.5 CM, 0.035 INX260 CM, STRL, WORKER AMPLATZ, LTX</t>
  </si>
  <si>
    <t>GUIDEWIRE, VASC, STR, 7.5 CM, 0.035 INX260 CM, WORKER AMPLATZ, LTX</t>
  </si>
  <si>
    <t>0.035 INX260 CM</t>
  </si>
  <si>
    <t>https://www.argonmedical.com/wp-content/uploads/2022/09/Worker-Amplatz-Brochure.pdf, https://accessgudid.nlm.nih.gov/devices/00886333224517</t>
  </si>
  <si>
    <t>124135080</t>
  </si>
  <si>
    <t>ARGON_124135080</t>
  </si>
  <si>
    <t>Worker Guidewire - Amplatz Straight .035 X 80CM - 3.5CM Tip</t>
  </si>
  <si>
    <t>PRODIGO1072605</t>
  </si>
  <si>
    <t>"WorkerGäó Guidewire - Amplatz Straight .035"" x 80cm, 3.5cm Tip"</t>
  </si>
  <si>
    <t>Worker Amplatz Guidewire - Straight 0.035 80cm 3.5cm</t>
  </si>
  <si>
    <t>GUIDEWIRE, VASCULAR, STRAIGHT, 3.5 CM, 0.035 INX80 CM, STERILE, WORKER AMPLATZ, LATEX</t>
  </si>
  <si>
    <t>GUIDEWIRE, VASC, STR, 3.5 CM, 0.035 INX80 CM, STRL, WORKER AMPLATZ, LTX</t>
  </si>
  <si>
    <t>GUIDEWIRE, VASC, STR, 3.5 CM, 0.035 INX80 CM, WORKER AMPLATZ, LTX</t>
  </si>
  <si>
    <t>3.5 CM</t>
  </si>
  <si>
    <t>0.035 INX80 CM</t>
  </si>
  <si>
    <t>https://www.argonmedical.com/wp-content/uploads/2022/09/Worker-Amplatz-Brochure.pdf, https://accessgudid.nlm.nih.gov/devices/00886333224524</t>
  </si>
  <si>
    <t>124135150</t>
  </si>
  <si>
    <t>ARGON_124135150</t>
  </si>
  <si>
    <t>Worker Guidewire - Amplatz Straight .035 X 150CM - 3.5CM Tip</t>
  </si>
  <si>
    <t>PRODIGO1072606</t>
  </si>
  <si>
    <t>"WorkerGäó Guidewire - Amplatz Straight .035"" x 150cm, 3.5cm Tip"</t>
  </si>
  <si>
    <t>Worker Amplatz Guidewire - Straight 0.035 150cm 3.5cm</t>
  </si>
  <si>
    <t>GUIDEWIRE, VASCULAR, STRAIGHT, 3.5 CM, 0.035 INX150 CM, STERILE, WORKER AMPLATZ, LATEX</t>
  </si>
  <si>
    <t>GUIDEWIRE, VASC, STR, 3.5 CM, 0.035 INX150 CM, STRL, WORKER AMPLATZ, LTX</t>
  </si>
  <si>
    <t>GUIDEWIRE, VASC, STR, 3.5 CM, 0.035 INX150 CM, WORKER AMPLATZ, LTX</t>
  </si>
  <si>
    <t>https://www.argonmedical.com/wp-content/uploads/2022/09/Worker-Amplatz-Brochure.pdf, https://accessgudid.nlm.nih.gov/devices/00886333224531</t>
  </si>
  <si>
    <t>124135180</t>
  </si>
  <si>
    <t>ARGON_124135180</t>
  </si>
  <si>
    <t>Worker Guidewire - Amplatz Straight .035 X 180CM - 3.5CM Tip</t>
  </si>
  <si>
    <t>PRODIGO1072607</t>
  </si>
  <si>
    <t>"WorkerGäó Guidewire - Amplatz Straight .035"" x 180cm, 3.5cm Tip"</t>
  </si>
  <si>
    <t>Worker Amplatz Guidewire - Straight 0.035 180cm 3.5cm</t>
  </si>
  <si>
    <t>GUIDEWIRE, VASCULAR, STRAIGHT, 3.5 CM, 0.035 INX180 CM, STERILE, WORKER AMPLATZ, LATEX</t>
  </si>
  <si>
    <t>GUIDEWIRE, VASC, STR, 3.5 CM, 0.035 INX180 CM, STRL, WORKER AMPLATZ, LTX</t>
  </si>
  <si>
    <t>GUIDEWIRE, VASC, STR, 3.5 CM, 0.035 INX180 CM, WORKER AMPLATZ, LTX</t>
  </si>
  <si>
    <t>https://www.argonmedical.com/wp-content/uploads/2022/09/Worker-Amplatz-Brochure.pdf, https://accessgudid.nlm.nih.gov/devices/00886333224548</t>
  </si>
  <si>
    <t>124135260</t>
  </si>
  <si>
    <t>ARGON_124135260</t>
  </si>
  <si>
    <t>Worker Guidewire - Amplatz Straight .035 X 260CM - 3.5CM Tip</t>
  </si>
  <si>
    <t>PRODIGO1072608</t>
  </si>
  <si>
    <t>"WorkerGäó Guidewire - Amplatz Straight .035"" x 260cm, 3.5cm Tip"</t>
  </si>
  <si>
    <t>Worker Amplatz Guidewire - Straight 0.035 260cm 3.5cm</t>
  </si>
  <si>
    <t>GUIDEWIRE, VASCULAR, STRAIGHT, 3.5 CM, 0.035 INX260 CM, STERILE, WORKER AMPLATZ, LATEX</t>
  </si>
  <si>
    <t>GUIDEWIRE, VASC, STR, 3.5 CM, 0.035 INX260 CM, STRL, WORKER AMPLATZ, LTX</t>
  </si>
  <si>
    <t>GUIDEWIRE, VASC, STR, 3.5 CM, 0.035 INX260 CM, WORKER AMPLATZ, LTX</t>
  </si>
  <si>
    <t>https://www.argonmedical.com/wp-content/uploads/2022/09/Worker-Amplatz-Brochure.pdf, https://accessgudid.nlm.nih.gov/devices/00886333224555</t>
  </si>
  <si>
    <t>124235090</t>
  </si>
  <si>
    <t>ARGON_124235090</t>
  </si>
  <si>
    <t>Worker Guidewire - Amplatz J Curve .035 X 90CM - 7.5CM Tip</t>
  </si>
  <si>
    <t>PRODIGO1072609</t>
  </si>
  <si>
    <t>"WORKERGäó Guidewire - Amplatz J Curve .035"" x 90cm, 7.5cm Tip"</t>
  </si>
  <si>
    <t>Worker Amplatz Guidewire - J-Curve 0.035 90cm 7.5cm</t>
  </si>
  <si>
    <t>GUIDEWIRE, VASCULAR, J TIP, 7.5 CM, 0.035 INX90 CM, STERILE, WORKER AMPLATZ, LATEX</t>
  </si>
  <si>
    <t>GUIDEWIRE, VASC, J TIP, 7.5 CM, 0.035 INX90 CM, STRL, WORKER AMPLATZ, LTX</t>
  </si>
  <si>
    <t>GUIDEWIRE, VASC, J TIP, 7.5 CM, 0.035 INX90 CM, WORKER AMPLATZ</t>
  </si>
  <si>
    <t>J TIP</t>
  </si>
  <si>
    <t>CURVE</t>
  </si>
  <si>
    <t>https://www.argonmedical.com/wp-content/uploads/2022/09/Worker-Amplatz-Brochure.pdf, https://accessgudid.nlm.nih.gov/devices/00886333224562</t>
  </si>
  <si>
    <t>124235150</t>
  </si>
  <si>
    <t>ARGON_124235150</t>
  </si>
  <si>
    <t>Worker Guidewire - Amplatz J Curve .035 X 150CM - 7.5CM Tip</t>
  </si>
  <si>
    <t>PRODIGO1072610</t>
  </si>
  <si>
    <t>"WORKERGäó Guidewire - Amplatz J Curve .035"" x 150cm, 7.5cm Tip"</t>
  </si>
  <si>
    <t>Worker Amplatz Guidewire - J-Curve 0.035 150cm 7.5cm</t>
  </si>
  <si>
    <t>GUIDEWIRE, VASCULAR, J TIP, 7.5 CM, 0.035 INX150 CM, STERILE, WORKER AMPLATZ, LATEX</t>
  </si>
  <si>
    <t>GUIDEWIRE, VASC, J TIP, 7.5 CM, 0.035 INX150 CM, STRL, WORKER AMPLATZ, LTX</t>
  </si>
  <si>
    <t>GUIDEWIRE, VASC, J TIP, 7.5 CM, 0.035 INX150 CM, WORKER AMPLATZ</t>
  </si>
  <si>
    <t>https://www.argonmedical.com/wp-content/uploads/2022/09/Worker-Amplatz-Brochure.pdf, https://accessgudid.nlm.nih.gov/devices/00886333224579</t>
  </si>
  <si>
    <t>AIH</t>
  </si>
  <si>
    <t>190020</t>
  </si>
  <si>
    <t>ARGON_190020</t>
  </si>
  <si>
    <t>Jawz Endomyocardial Biopsy Forceps 7.5FR 2.4X50 Formable Straight</t>
  </si>
  <si>
    <t>PRODIGO1072611</t>
  </si>
  <si>
    <t>Jawz Endomyocardial Biopsy Forceps 7.5F x 50cm Straight</t>
  </si>
  <si>
    <t>Jawz Endomyocardial Biopsy Forceps</t>
  </si>
  <si>
    <t>42294908  Endoscopic clamp or dissector or grasper or forceps</t>
  </si>
  <si>
    <t>Jawz Forcep 7.5 Frx50 Cm 2.4 Mm Endomyocardial Biopsy Straight Formable Stainless Steel Sterile Latex</t>
  </si>
  <si>
    <t>FORCEP, ENDOSCOPIC, BIOPSY, 7.5 FRX50 CM, 2.4 MM, ENDOMYOCARDIAL, STRAIGHT, FORMABLE, STAINLESS STEEL, STERILE, JAWZ, LATEX</t>
  </si>
  <si>
    <t>FORCEP, ENDOSCP, BX, 7.5 FRX50 CM, 2.4 MM, ENDOMYOCARD, STR, FRMBL, SS, STRL, JAWZ, LTX</t>
  </si>
  <si>
    <t>FORCEP, ENDOSCP, BX, 7.5 FRX50 CM, 2.4 MM, STR, FRMBL, SS, JAWZ, LTX</t>
  </si>
  <si>
    <t>FORCEP</t>
  </si>
  <si>
    <t>ENDOSCOPIC</t>
  </si>
  <si>
    <t>BIOPSY</t>
  </si>
  <si>
    <t>7.5 FRX50 CM</t>
  </si>
  <si>
    <t>2.4 MM</t>
  </si>
  <si>
    <t>ENDOMYOCARDIAL</t>
  </si>
  <si>
    <t>STRAIGHT, FORMABLE</t>
  </si>
  <si>
    <t>STAINLESS STEEL</t>
  </si>
  <si>
    <t>JAWZ</t>
  </si>
  <si>
    <t>https://res.onemed.com/SE/Produktblad/1115842.pdf, https://accessgudid.nlm.nih.gov/devices/00886333206704</t>
  </si>
  <si>
    <t>190030</t>
  </si>
  <si>
    <t>ARGON_190030</t>
  </si>
  <si>
    <t>Jawz Endomyocardial Biopsy Forceps 7.5FR 2.4X50 Formable Precurve</t>
  </si>
  <si>
    <t>PRODIGO1072612</t>
  </si>
  <si>
    <t>Jawz Endomyocardial Biopsy Forceps 7.5F x 50cm Pre-Curved</t>
  </si>
  <si>
    <t>Jawz Forcep 7.5 Frx50 Cm 2.4 Mm Endomyocardial Biopsy Pre Curved Formable Fep Coated Sterile Latex</t>
  </si>
  <si>
    <t>FORCEP, ENDOSCOPIC, BIOPSY, 7.5 FRX50 CM, 2.4 MM, ENDOMYOCARDIAL, PRE CURVED, FORMABLE, FEP COATED, STERILE, JAWZ, LATEX</t>
  </si>
  <si>
    <t>FORCEP, ENDOSCP, BX, 7.5 FRX50 CM, 2.4 MM, ENDOMYOCARD, PRE CRV, FRMBL, FEP COAT, STRL, JAWZ, LTX</t>
  </si>
  <si>
    <t>FORCEP, ENDOSCP, BX, 7.5 FRX50 CM, 2.4 MM, PRE CRV, FRMBL, FEP, JAWZ</t>
  </si>
  <si>
    <t>PRE CURVED, FORMABLE</t>
  </si>
  <si>
    <t>FEP COATED</t>
  </si>
  <si>
    <t>https://res.onemed.com/SE/Produktblad/1115842.pdf, https://accessgudid.nlm.nih.gov/devices/00886333206711</t>
  </si>
  <si>
    <t>190031</t>
  </si>
  <si>
    <t>ARGON_190031</t>
  </si>
  <si>
    <t>Jawz Endomyocardial Biopsy Forceps 7.5FR 2.4X50 Formable Maxicurve</t>
  </si>
  <si>
    <t>PRODIGO1072613</t>
  </si>
  <si>
    <t>Jawz Endomyocardial Biopsy Forceps 7.5F x 50cm Maxi-Curved</t>
  </si>
  <si>
    <t>Jawz Forcep 7.5 Frx50 Cm 2.4 Mm Endomyocardial Biopsy Maxi Curved Formable Fep Coated Sterile Latex</t>
  </si>
  <si>
    <t>FORCEP, ENDOSCOPIC, BIOPSY, 7.5 FRX50 CM, 2.4 MM, ENDOMYOCARDIAL, MAXI CURVED, FORMABLE, FEP COATED, STERILE, JAWZ, LATEX</t>
  </si>
  <si>
    <t>FORCEP, ENDOSCP, BX, 7.5 FRX50 CM, 2.4 MM, ENDOMYOCARD, MAXI CRV, FRMBL, FEP COAT, STRL, JAWZ, LTX</t>
  </si>
  <si>
    <t>FORCEP, ENDOSCP, BX, 7.5 FRX50 CM, 2.4 MM, MAXI, FRMBL, FEP, JAWZ</t>
  </si>
  <si>
    <t>MAXI CURVED, FORMABLE</t>
  </si>
  <si>
    <t>https://res.onemed.com/SE/Produktblad/1115842.pdf, https://accessgudid.nlm.nih.gov/devices/00886333206728</t>
  </si>
  <si>
    <t>190040</t>
  </si>
  <si>
    <t>ARGON_190040</t>
  </si>
  <si>
    <t>Jawz Endomyocardial Biopsy Forceps 7.5FR 2.4X105 Formable Straight</t>
  </si>
  <si>
    <t>PRODIGO1072614</t>
  </si>
  <si>
    <t>Jawz Endomyocardial Biopsy Forceps 7.5F x 105cm Straight</t>
  </si>
  <si>
    <t>Jawz Forcep 7.5 Frx105 Cm 2.4 Mm Endomyocardial Biopsy Straight Formable Stainless Steel Sterile Latex</t>
  </si>
  <si>
    <t>FORCEP, ENDOSCOPIC, BIOPSY, 7.5 FRX105 CM, 2.4 MM, ENDOMYOCARDIAL, STRAIGHT, FORMABLE, STAINLESS STEEL, STERILE, JAWZ, LATEX</t>
  </si>
  <si>
    <t>FORCEP, ENDOSCP, BX, 7.5 FRX105 CM, 2.4 MM, ENDOMYOCARD, STR, FRMBL, SS, STRL, JAWZ, LTX</t>
  </si>
  <si>
    <t>FORCEP, ENDOSCP, BX, 7.5 FRX105 CM, 2.4 MM, STR, FRMBL, SS, JAWZ, LTX</t>
  </si>
  <si>
    <t>7.5 FRX105 CM</t>
  </si>
  <si>
    <t>https://res.onemed.com/SE/Produktblad/1115842.pdf, https://accessgudid.nlm.nih.gov/devices/00886333206735</t>
  </si>
  <si>
    <t>SITE DIMENSION CAPTURED</t>
  </si>
  <si>
    <t>190051</t>
  </si>
  <si>
    <t>ARGON_190051</t>
  </si>
  <si>
    <t>Jawz Endomyocardial Biopsy Forceps 5.5FR 1.8X50 Formable Maxicurve</t>
  </si>
  <si>
    <t>PRODIGO1072615</t>
  </si>
  <si>
    <t>Jawz Endomyocardial Biopsy Forceps 6F x 50cm Maxi-Curved</t>
  </si>
  <si>
    <t>Jawz Forcep 6 Frx50 Cm 1.8 Mm Endomyocardial Biopsy Maxi Curved Formable Fep Coated Sterile Latex</t>
  </si>
  <si>
    <t>FORCEP, ENDOSCOPIC, BIOPSY, 6 FRX50 CM, 1.8 MM, ENDOMYOCARDIAL, MAXI CURVED, FORMABLE, FEP COATED, STERILE, JAWZ, LATEX</t>
  </si>
  <si>
    <t>FORCEP, ENDOSCP, BX, 6 FRX50 CM, 1.8 MM, ENDOMYOCARD, MAXI CRV, FRMBL, FEP COAT, STRL, JAWZ, LTX</t>
  </si>
  <si>
    <t>FORCEP, ENDOSCP, BX, 6 FRX50 CM, 1.8 MM, MAXI CRV, FRMBL, FEP, JAWZ</t>
  </si>
  <si>
    <t>6 FRX50 CM</t>
  </si>
  <si>
    <t>1.8 MM</t>
  </si>
  <si>
    <t>5.5FR</t>
  </si>
  <si>
    <t>https://res.onemed.com/SE/Produktblad/1115842.pdf, https://accessgudid.nlm.nih.gov/devices/00886333206742</t>
  </si>
  <si>
    <t>190060</t>
  </si>
  <si>
    <t>ARGON_190060</t>
  </si>
  <si>
    <t>Jawz Endomyocardial Biopsy Forceps 5.5FR 1.8X50 Formable Straight</t>
  </si>
  <si>
    <t>PRODIGO1072616</t>
  </si>
  <si>
    <t>Jawz Endomyocardial Biopsy Forceps 6F x 50cm Straight</t>
  </si>
  <si>
    <t>Jawz Forcep 6 Frx50 Cm 1.8 Mm Endomyocardial Biopsy Straight Formable Stainless Steel Sterile Latex</t>
  </si>
  <si>
    <t>FORCEP, ENDOSCOPIC, BIOPSY, 6 FRX50 CM, 1.8 MM, ENDOMYOCARDIAL, STRAIGHT, FORMABLE, STAINLESS STEEL, STERILE, JAWZ, LATEX</t>
  </si>
  <si>
    <t>FORCEP, ENDOSCP, BX, 6 FRX50 CM, 1.8 MM, ENDOMYOCARD, STR, FRMBL, SS, STRL, JAWZ, LTX</t>
  </si>
  <si>
    <t>FORCEP, ENDOSCP, BX, 6 FRX50 CM, 1.8 MM, STR, FRMBL, SS, JAWZ, LTX</t>
  </si>
  <si>
    <t>https://res.onemed.com/SE/Produktblad/1115842.pdf, https://accessgudid.nlm.nih.gov/devices/00886333206759</t>
  </si>
  <si>
    <t>190065</t>
  </si>
  <si>
    <t>ARGON_190065</t>
  </si>
  <si>
    <t>Jawz Endomyocardial Biopsy Forceps 5.5FR 1.8X50 Nonformable Straight</t>
  </si>
  <si>
    <t>PRODIGO1072617</t>
  </si>
  <si>
    <t>Jawz Endomyocardial Biopsy Forcep</t>
  </si>
  <si>
    <t>Jawz Forcep 6 Frx50 Cm 1.8 Mm Endomyocardial Biopsy Straight Non Formable Stainless Steel Sterile Latex</t>
  </si>
  <si>
    <t>FORCEP, ENDOSCOPIC, BIOPSY, 6 FRX50 CM, 1.8 MM, ENDOMYOCARDIAL, STRAIGHT, NON FORMABLE, STAINLESS STEEL, STERILE, JAWZ, LATEX</t>
  </si>
  <si>
    <t>FORCEP, ENDOSCP, BX, 6 FRX50 CM, 1.8 MM, ENDOMYOCARD, STR, N FRMBL, SS, STRL, JAWZ, LTX</t>
  </si>
  <si>
    <t>FORCEP, ENDOSCP, BX, 6 FRX50 CM, 1.8 MM, STR, N FRMBL, SS, JAWZ, LTX</t>
  </si>
  <si>
    <t>STRAIGHT, NON FORMABLE</t>
  </si>
  <si>
    <t>https://res.onemed.com/SE/Produktblad/1115842.pdf, https://accessgudid.nlm.nih.gov/devices/00886333206773</t>
  </si>
  <si>
    <t>190066</t>
  </si>
  <si>
    <t>ARGON_190066</t>
  </si>
  <si>
    <t>Jawz Endomyocardial Biopsy Forceps 6FR 1.8X70 Formable Straight</t>
  </si>
  <si>
    <t>PRODIGO1072618</t>
  </si>
  <si>
    <t>Jawz Endomyocardial Biopsy Forceps 6F x 70cm Straight</t>
  </si>
  <si>
    <t>Jawz Forcep 6 Frx70 Cm 1.8 Mm Endomyocardial Biopsy Straight Formable Fep Coated Sterile Latex</t>
  </si>
  <si>
    <t>FORCEP, ENDOSCOPIC, BIOPSY, 6 FRX70 CM, 1.8 MM, ENDOMYOCARDIAL, STRAIGHT, FORMABLE, FEP COATED, STERILE, JAWZ, LATEX</t>
  </si>
  <si>
    <t>FORCEP, ENDOSCP, BX, 6 FRX70 CM, 1.8 MM, ENDOMYOCARD, STR, FRMBL, FEP COAT, STRL, JAWZ, LTX</t>
  </si>
  <si>
    <t>FORCEP, ENDOSCP, BX, 6 FRX70 CM, 1.8 MM, STR, FRMBL, FEP COAT, JAWZ</t>
  </si>
  <si>
    <t>6 FRX70 CM</t>
  </si>
  <si>
    <t>https://res.onemed.com/SE/Produktblad/1115842.pdf, https://accessgudid.nlm.nih.gov/devices/00886333206780</t>
  </si>
  <si>
    <t>190070</t>
  </si>
  <si>
    <t>ARGON_190070</t>
  </si>
  <si>
    <t>Jawz Endomyocardial Biopsy Forceps 5.5FR 1.8X105 Formable Straight</t>
  </si>
  <si>
    <t>PRODIGO1072619</t>
  </si>
  <si>
    <t>Jaw Endomyocardial Biopsy Forceps 6F x 105cm Straight</t>
  </si>
  <si>
    <t>Jawz Forcep 6 Frx105 Cm 1.8 Mm Endomyocardial Biopsy Straight Formable Stainless Steel Sterile Latex</t>
  </si>
  <si>
    <t>FORCEP, ENDOSCOPIC, BIOPSY, 6 FRX105 CM, 1.8 MM, ENDOMYOCARDIAL, STRAIGHT, FORMABLE, STAINLESS STEEL, STERILE, JAWZ, LATEX</t>
  </si>
  <si>
    <t>FORCEP, ENDOSCP, BX, 6 FRX105 CM, 1.8 MM, ENDOMYOCARD, STR, FRMBL, SS, STRL, JAWZ, LTX</t>
  </si>
  <si>
    <t>FORCEP, ENDOSCP, BX, 6 FRX105 CM, 1.8 MM, STR, FRMBL, SS, JAWZ, LTX</t>
  </si>
  <si>
    <t>6 FRX105 CM</t>
  </si>
  <si>
    <t>https://res.onemed.com/SE/Produktblad/1115842.pdf, https://accessgudid.nlm.nih.gov/devices/00886333206797</t>
  </si>
  <si>
    <t>190075</t>
  </si>
  <si>
    <t>ARGON_190075</t>
  </si>
  <si>
    <t>Jawz Endomyocardial Biopsy Forceps 5.5FR 1.8X105 Nonformable Straight</t>
  </si>
  <si>
    <t>PRODIGO1072620</t>
  </si>
  <si>
    <t>Jawz Endomyocardial Biopsy Forceps 6F x 105cm Straight</t>
  </si>
  <si>
    <t>Jawz Forcep 6 Frx105 Cm 1.8 Mm Endomyocardial Biopsy Straight Non Formable Stainless Steel Sterile Latex</t>
  </si>
  <si>
    <t>FORCEP, ENDOSCOPIC, BIOPSY, 6 FRX105 CM, 1.8 MM, ENDOMYOCARDIAL, STRAIGHT, NON FORMABLE, STAINLESS STEEL, STERILE, JAWZ, LATEX</t>
  </si>
  <si>
    <t>FORCEP, ENDOSCP, BX, 6 FRX105 CM, 1.8 MM, ENDOMYOCARD, STR, N FRMBL, SS, STRL, JAWZ, LTX</t>
  </si>
  <si>
    <t>FORCEP, ENDOSCP, BX, 6 FRX105 CM, 1.8 MM, STR, N FRMBL, SS, JAWZ, LTX</t>
  </si>
  <si>
    <t>https://res.onemed.com/SE/Produktblad/1115842.pdf, https://accessgudid.nlm.nih.gov/devices/00886333206803</t>
  </si>
  <si>
    <t>190085</t>
  </si>
  <si>
    <t>ARGON_190085</t>
  </si>
  <si>
    <t>Jawz Endomyocardial Biopsy Forceps 7FR 2.2X105 Formable Straight</t>
  </si>
  <si>
    <t>PRODIGO1072621</t>
  </si>
  <si>
    <t>Jawz Endomyocardial Biopsy Forceps 7F x 105cm Straight</t>
  </si>
  <si>
    <t>Jawz Forcep 7 Frx105 Cm 2.2 Mm Endomyocardial Biopsy Straight Formable Stainless Steel Sterile Latex</t>
  </si>
  <si>
    <t>FORCEP, ENDOSCOPIC, BIOPSY, 7 FRX105 CM, 2.2 MM, ENDOMYOCARDIAL, STRAIGHT, FORMABLE, STAINLESS STEEL, STERILE, JAWZ, LATEX</t>
  </si>
  <si>
    <t>FORCEP, ENDOSCP, BX, 7 FRX105 CM, 2.2 MM, ENDOMYOCARD, STR, FRMBL, SS, STRL, JAWZ, LTX</t>
  </si>
  <si>
    <t>FORCEP, ENDOSCP, BX, 7 FRX105 CM, 2.2 MM, STR, FRMBL, SS, JAWZ, LTX</t>
  </si>
  <si>
    <t>7 FRX105 CM</t>
  </si>
  <si>
    <t>2.2 MM</t>
  </si>
  <si>
    <t>https://res.onemed.com/SE/Produktblad/1115842.pdf, https://accessgudid.nlm.nih.gov/devices/00886333206834</t>
  </si>
  <si>
    <t>190090</t>
  </si>
  <si>
    <t>ARGON_190090</t>
  </si>
  <si>
    <t>Jawz Endomyocardial Biopsy Forceps 5FR 1.5X50 Formable Straight</t>
  </si>
  <si>
    <t>PRODIGO1072622</t>
  </si>
  <si>
    <t>Jawz Endomyocardial Biopsy Forceps 5F x 50cm Straight</t>
  </si>
  <si>
    <t>Jawz Forcep 5 Frx50 Cm 1.5 Mm Endomyocardial Biopsy Straight Formable Stainless Steel Sterile Latex</t>
  </si>
  <si>
    <t>FORCEP, ENDOSCOPIC, BIOPSY, 5 FRX50 CM, 1.5 MM, ENDOMYOCARDIAL, STRAIGHT, FORMABLE, STAINLESS STEEL, STERILE, JAWZ, LATEX</t>
  </si>
  <si>
    <t>FORCEP, ENDOSCP, BX, 5 FRX50 CM, 1.5 MM, ENDOMYOCARD, STR, FRMBL, SS, STRL, JAWZ, LTX</t>
  </si>
  <si>
    <t>FORCEP, ENDOSCP, BX, 5 FRX50 CM, 1.5 MM, STR, FRMBL, SS, JAWZ, LTX</t>
  </si>
  <si>
    <t>5 FRX50 CM</t>
  </si>
  <si>
    <t>1.5 MM</t>
  </si>
  <si>
    <t>https://res.onemed.com/SE/Produktblad/1115842.pdf, https://accessgudid.nlm.nih.gov/devices/00886333206858</t>
  </si>
  <si>
    <t>190095</t>
  </si>
  <si>
    <t>ARGON_190095</t>
  </si>
  <si>
    <t>Jawz Endomyocardial Biopsy Forceps 5FR 1.5X105 Formable Straight</t>
  </si>
  <si>
    <t>PRODIGO1072623</t>
  </si>
  <si>
    <t>Jawz Endomyocardial Biopsy Forceps 5F x 105cm Straight</t>
  </si>
  <si>
    <t>Jawz Forcep 5 Frx105 Cm 1.5 Mm Endomyocardial Biopsy Straight Formable Stainless Steel Sterile Latex</t>
  </si>
  <si>
    <t>FORCEP, ENDOSCOPIC, BIOPSY, 5 FRX105 CM, 1.5 MM, ENDOMYOCARDIAL, STRAIGHT, FORMABLE, STAINLESS STEEL, STERILE, JAWZ, LATEX</t>
  </si>
  <si>
    <t>FORCEP, ENDOSCP, BX, 5 FRX105 CM, 1.5 MM, ENDOMYOCARD, STR, FRMBL, SS, STRL, JAWZ, LTX</t>
  </si>
  <si>
    <t>FORCEP, ENDOSCP, BX, 5 FRX105 CM, 1.5 MM, STR, FRMBL, SS, JAWZ, LTX</t>
  </si>
  <si>
    <t>5 FRX105 CM</t>
  </si>
  <si>
    <t>https://res.onemed.com/SE/Produktblad/1115842.pdf, https://accessgudid.nlm.nih.gov/devices/00886333206865</t>
  </si>
  <si>
    <t>190118040</t>
  </si>
  <si>
    <t>ARGON_190118040</t>
  </si>
  <si>
    <t>Nitinol Guidewire 6.0CM Radiopaque Tip .018 X 40CM</t>
  </si>
  <si>
    <t>PRODIGO1072624</t>
  </si>
  <si>
    <t>"Nitinol Guidewire 6.0cm Radiopaque Tip .018"" x 40cm"</t>
  </si>
  <si>
    <t>Nitinol Guidewire</t>
  </si>
  <si>
    <t>.018 X 40cm nitinol guidewire</t>
  </si>
  <si>
    <t>GUIDEWIRE, VASCULAR, RADIOPAQUE TIP, 6 CM, 0.018 INX40 CM, NITINOL, STERILE, LATEX</t>
  </si>
  <si>
    <t>GUIDEWIRE, VASC, RADIOPAQUE TIP, 6 CM, 0.018 INX40 CM, NIT, STRL, LTX</t>
  </si>
  <si>
    <t>GUIDEWIRE, VASC, RADIOPAQUE TIP, 6 CM, 0.018 INX40 CM, NIT, LTX</t>
  </si>
  <si>
    <t>RADIOPAQUE TIP</t>
  </si>
  <si>
    <t>6 CM</t>
  </si>
  <si>
    <t>0.018 INX40 CM</t>
  </si>
  <si>
    <t>NITINOL</t>
  </si>
  <si>
    <t>https://assets-global.website-files.com/609d867d872392abfec460b4/6144f7a4c075fa2e7a51bfd8_Argon%20Catalog_US-compressed.pdf, https://accessgudid.nlm.nih.gov/devices/00886333003501</t>
  </si>
  <si>
    <t>190118080</t>
  </si>
  <si>
    <t>ARGON_190118080</t>
  </si>
  <si>
    <t>Nitinol Guidewire 6.0CM Radiopaque Tip .018 X 80CM</t>
  </si>
  <si>
    <t>PRODIGO1072625</t>
  </si>
  <si>
    <t>"Nitinol Guidewire 6.0cm Radiopaque Tip .018"" x 80cm"</t>
  </si>
  <si>
    <t>.018 X 80cm nitinol guidewire</t>
  </si>
  <si>
    <t>GUIDEWIRE, VASCULAR, RADIOPAQUE TIP, 6 CM, 0.018 INX80 CM, NITINOL, STERILE, LATEX</t>
  </si>
  <si>
    <t>GUIDEWIRE, VASC, RADIOPAQUE TIP, 6 CM, 0.018 INX80 CM, NIT, STRL, LTX</t>
  </si>
  <si>
    <t>GUIDEWIRE, VASC, RADIOPAQUE TIP, 6 CM, 0.018 INX80 CM, NIT, LTX</t>
  </si>
  <si>
    <t>0.018 INX80 CM</t>
  </si>
  <si>
    <t>https://assets-global.website-files.com/609d867d872392abfec460b4/6144f7a4c075fa2e7a51bfd8_Argon%20Catalog_US-compressed.pdf, https://accessgudid.nlm.nih.gov/devices/00886333003495</t>
  </si>
  <si>
    <t>191010</t>
  </si>
  <si>
    <t>ARGON_191010</t>
  </si>
  <si>
    <t>Long Sheath Introducer 6FR</t>
  </si>
  <si>
    <t>PRODIGO1072626</t>
  </si>
  <si>
    <t>6F Long Sheath Introducer</t>
  </si>
  <si>
    <t>Long Sheath Introducer</t>
  </si>
  <si>
    <t>42203403  Diagnostic or interventional vascular catheter introducers</t>
  </si>
  <si>
    <t>6F x 45cm One Piece long sheath Introducer (Non-Detachable Valve) - For .038in G/W With Multipurpose Tip Sterile Latex</t>
  </si>
  <si>
    <t>INTRODUER, SHEATH, MULTI PURPOSE TIP, LONG, 0.038 IN, 6 FRX45 CM, 1 PIECE, NON DETACHABLE VALVE, GUIDEWIRE, STERILE, LATEX</t>
  </si>
  <si>
    <t>INTRODUER, SHTH, MULT PURP TIP, LNG, 0.038 IN, 6 FRX45 CM, 1 PC, N DETACHABLE VLV, GUIDEWIRE, STRL, LTX</t>
  </si>
  <si>
    <t>INTRODUER, SHTH, MULT PURP TIP, LNG, 0.038 IN, 6 FRX45 CM, 1 PC</t>
  </si>
  <si>
    <t>INTRODUER</t>
  </si>
  <si>
    <t>SHEATH</t>
  </si>
  <si>
    <t>MULTI PURPOSE TIP</t>
  </si>
  <si>
    <t>LONG, 0.038 IN</t>
  </si>
  <si>
    <t>6 FRX45 CM</t>
  </si>
  <si>
    <t>1 PIECE, NON DETACHABLE VALVE, GUIDEWIRE</t>
  </si>
  <si>
    <t>http://www.med-x.com/introducer_sets/pdf/introducer_kits/Specialty_Introducers_and_Accessories.pdf, https://accessgudid.nlm.nih.gov/devices/00886333206872</t>
  </si>
  <si>
    <t>191020</t>
  </si>
  <si>
    <t>ARGON_191020</t>
  </si>
  <si>
    <t>Long Sheath Introducer 7.5FR X 45CM</t>
  </si>
  <si>
    <t>PRODIGO1072627</t>
  </si>
  <si>
    <t>7.5F Long Sheath Introducer</t>
  </si>
  <si>
    <t>7.5F x 45cm One Piece long sheath Introducer (Non-Detachable Valve) - For .038in G/W With Multipurpose Tip Sterile Latex</t>
  </si>
  <si>
    <t>INTRODUER, SHEATH, MULTI PURPOSE TIP, LONG, 0.038 IN, 7.5 FRX45 CM, 1 PIECE, NON DETACHABLE VALVE, GUIDEWIRE, STERILE, LATEX</t>
  </si>
  <si>
    <t>INTRODUER, SHTH, MULT PURP TIP, LNG, 0.038 IN, 7.5 FRX45 CM, 1 PC, N DETACHABLE VLV, GUIDEWIRE, STRL, LTX</t>
  </si>
  <si>
    <t>INTRODUER, SHTH, MULT PURP TIP, LNG, 0.038 IN, 7.5 FRX45 CM, 1 PC</t>
  </si>
  <si>
    <t>7.5 FRX45 CM</t>
  </si>
  <si>
    <t>http://www.med-x.com/introducer_sets/pdf/introducer_kits/Specialty_Introducers_and_Accessories.pdf, https://accessgudid.nlm.nih.gov/devices/00886333206889</t>
  </si>
  <si>
    <t>191545</t>
  </si>
  <si>
    <t>ARGON_191545</t>
  </si>
  <si>
    <t>GCI Axcess Percutaneous Introducer With Multi-Purpose Curve 5FR X 45CM</t>
  </si>
  <si>
    <t>PRODIGO1072628</t>
  </si>
  <si>
    <t>Axcess Percutaneous Introducer with Multi-Purpose Curve 5F x 45cm</t>
  </si>
  <si>
    <t>Axcess Percutaneous Introducer</t>
  </si>
  <si>
    <t>Axcess PERCUTANEOUS Introducer KIT with Multi-Purpose Curve Tip 5F x 45cm GRAY LF FOR 035in-038in GUIDWIRE Sterile Latex</t>
  </si>
  <si>
    <t>INTRODUER, SHEATH, MULTI PURPOSE CURVE TIP, 0.35-0.38 IN, 5 FRX45 CM, PERCUTANEOUS, KIT, GUIDEWIRE, GRAY, STERILE, AXCESS, LATEX</t>
  </si>
  <si>
    <t>INTRODUER, SHTH, MULT PURP CRV TIP, 0.35-0.38 IN, 5 FRX45 CM, PERC, KT, GUIDEWIRE, GRY, STRL, AXCESS, LTX</t>
  </si>
  <si>
    <t>INTRODUER, SHTH, MULT PURP CRV TIP, 0.35-0.38 IN, 5 FRX45 CM</t>
  </si>
  <si>
    <t>MULTI PURPOSE CURVE TIP</t>
  </si>
  <si>
    <t>0.35-0.38 IN</t>
  </si>
  <si>
    <t>5 FRX45 CM</t>
  </si>
  <si>
    <t>PERCUTANEOUS</t>
  </si>
  <si>
    <t>KIT, GUIDEWIRE</t>
  </si>
  <si>
    <t>GRAY</t>
  </si>
  <si>
    <t>AXCESS</t>
  </si>
  <si>
    <t>https://assets-global.website-files.com/609d867d872392abfec460b4/6144f7a4c075fa2e7a51bfd8_Argon%20Catalog_US-compressed.pdf, https://accessgudid.nlm.nih.gov/devices/00886333206896</t>
  </si>
  <si>
    <t>191645</t>
  </si>
  <si>
    <t>ARGON_191645</t>
  </si>
  <si>
    <t>GCI Axcess Percutaneous Introducer With Multi-Purpose Curve 6FR X 45CM</t>
  </si>
  <si>
    <t>PRODIGO1072629</t>
  </si>
  <si>
    <t>Axcess Percutaneous Introducer with Multi-Purpose Curve 6F x 45cm</t>
  </si>
  <si>
    <t>Axcess PERCUTANEOUS Introducer KIT with Multi-Purpose Curve Tip 6F x 45cm GREEN LF FOR 035in-038in GUIDWIRE Sterile Latex</t>
  </si>
  <si>
    <t>INTRODUER, SHEATH, MULTI PURPOSE CURVE TIP, 0.35-0.38 IN, 6 FRX45 CM, PERCUTANEOUS, KIT, GUIDEWIRE, GREEN, STERILE, AXCESS, LATEX</t>
  </si>
  <si>
    <t>INTRODUER, SHTH, MULT PURP CRV TIP, 0.35-0.38 IN, 6 FRX45 CM, PERC, KT, GUIDEWIRE, GRN, STRL, AXCESS, LTX</t>
  </si>
  <si>
    <t>INTRODUER, SHTH, MULT PURP CRV TIP, 0.35-0.38 IN, 6 FRX45 CM</t>
  </si>
  <si>
    <t>GREEN</t>
  </si>
  <si>
    <t>https://assets-global.website-files.com/609d867d872392abfec460b4/6144f7a4c075fa2e7a51bfd8_Argon%20Catalog_US-compressed.pdf, https://accessgudid.nlm.nih.gov/devices/00886333206902</t>
  </si>
  <si>
    <t>191745</t>
  </si>
  <si>
    <t>ARGON_191745</t>
  </si>
  <si>
    <t>GCI Axcess Percutaneous Introducer With Multi-Purpose Curve 7FR X 45CM</t>
  </si>
  <si>
    <t>PRODIGO1072630</t>
  </si>
  <si>
    <t>Axcess Percutaneous Introducer with Multi-Purpose Curve 7F x 45cm</t>
  </si>
  <si>
    <t>Axcess PERCUTANEOUS Introducer KIT with Multi-Purpose Curve Tip 7F x 45cm ORANGE LF FOR 035in-038in GUIDWIRE Sterile Latex</t>
  </si>
  <si>
    <t>INTRODUER, SHEATH, MULTI PURPOSE CURVE TIP, 0.35-0.38 IN, 7 FRX45 CM, PERCUTANEOUS, KIT, GUIDEWIRE, ORANGE, STERILE, AXCESS, LATEX</t>
  </si>
  <si>
    <t>INTRODUER, SHTH, MULT PURP CRV TIP, 0.35-0.38 IN, 7 FRX45 CM, PERC, KT, GUIDEWIRE, ORNG, STRL, AXCESS, LTX</t>
  </si>
  <si>
    <t>INTRODUER, SHTH, MULT PURP CRV TIP, 0.35-0.38 IN, 7 FRX45 CM</t>
  </si>
  <si>
    <t>7 FRX45 CM</t>
  </si>
  <si>
    <t>ORANGE</t>
  </si>
  <si>
    <t>https://assets-global.website-files.com/609d867d872392abfec460b4/6144f7a4c075fa2e7a51bfd8_Argon%20Catalog_US-compressed.pdf, https://accessgudid.nlm.nih.gov/devices/00886333206926</t>
  </si>
  <si>
    <t>191798</t>
  </si>
  <si>
    <t>ARGON_191798</t>
  </si>
  <si>
    <t>GCI Axcess Percutaneous Introducer With Multi-Purpose Curve 7FR X 98CM</t>
  </si>
  <si>
    <t>PRODIGO1072631</t>
  </si>
  <si>
    <t>Axcess Percutaneous Introducer with Multi-Purpose Curve 7F x 98cm</t>
  </si>
  <si>
    <t>Axcess PERCUTANEOUS Introducer KIT with Multi-Purpose Curve Tip 7F x 98cm ORANGE LF FOR 035in-038in GUIDWIRE Sterile Latex</t>
  </si>
  <si>
    <t>INTRODUER, SHEATH, MULTI PURPOSE CURVE TIP, 0.35-0.38 IN, 7 FRX98 CM, PERCUTANEOUS, KIT, GUIDEWIRE, ORANGE, STERILE, AXCESS, LATEX</t>
  </si>
  <si>
    <t>INTRODUER, SHTH, MULT PURP CRV TIP, 0.35-0.38 IN, 7 FRX98 CM, PERC, KT, GUIDEWIRE, ORNG, STRL, AXCESS, LTX</t>
  </si>
  <si>
    <t>INTRODUER, SHTH, MULT PURP CRV TIP, 0.35-0.38 IN, 7 FRX98 CM</t>
  </si>
  <si>
    <t>7 FRX98 CM</t>
  </si>
  <si>
    <t>https://assets-global.website-files.com/609d867d872392abfec460b4/6144f7a4c075fa2e7a51bfd8_Argon%20Catalog_US-compressed.pdf, https://accessgudid.nlm.nih.gov/devices/00886333206933</t>
  </si>
  <si>
    <t>193101</t>
  </si>
  <si>
    <t>ARGON_193101</t>
  </si>
  <si>
    <t>2 Port Manifold - Right/On/Open Body - 500 PSI</t>
  </si>
  <si>
    <t>PRODIGO1072632</t>
  </si>
  <si>
    <t>2 Port Manifold -500psi - Right Orientation ON Handle 2 Port Open Body Sterile Latex</t>
  </si>
  <si>
    <t>MANIFOLD, INTRAVENOUS, 2 PORT, 500 PSI, RIGHT ORIENTATION, ON HANDLE, OPEN BODY, STERILE, LATEX</t>
  </si>
  <si>
    <t>MANIFOLD, IV, 2 PRT, 500 PSI, RT ORIENTATION, ON HNDL, OPN BODY, STRL, LTX</t>
  </si>
  <si>
    <t>MANIFOLD, IV, 2 PRT, 500 PSI, RT ORIENTATION, ON HNDL, OPN BODY</t>
  </si>
  <si>
    <t>2 PORT</t>
  </si>
  <si>
    <t>500 PSI</t>
  </si>
  <si>
    <t>RIGHT ORIENTATION, ON HANDLE, OPEN BODY</t>
  </si>
  <si>
    <t>https://assets-global.website-files.com/609d867d872392abfec460b4/6144f7a4c075fa2e7a51bfd8_Argon%20Catalog_US-compressed.pdf, https://accessgudid.nlm.nih.gov/devices/00886333206964</t>
  </si>
  <si>
    <t>193107</t>
  </si>
  <si>
    <t>ARGON_193107</t>
  </si>
  <si>
    <t>2 Port Manifold - Left/Off/Open Body - 500 PSI</t>
  </si>
  <si>
    <t>PRODIGO1072633</t>
  </si>
  <si>
    <t>2 Port Manifold -500psi - Left Orientation Off Handle 2 Port Open Body Sterile Latex</t>
  </si>
  <si>
    <t>MANIFOLD, INTRAVENOUS, 2 PORT, 500 PSI, LEFT ORIENTATION, OFF HANDLE, OPEN BODY, STERILE, LATEX</t>
  </si>
  <si>
    <t>MANIFOLD, IV, 2 PRT, 500 PSI, LT ORIENTATION, OFF HNDL, OPN BODY, STRL, LTX</t>
  </si>
  <si>
    <t>MANIFOLD, IV, 2 PRT, 500 PSI, LT ORIENTATION, OFF HNDL, OPN BODY</t>
  </si>
  <si>
    <t>LEFT ORIENTATION, OFF HANDLE, OPEN BODY</t>
  </si>
  <si>
    <t>https://assets-global.website-files.com/609d867d872392abfec460b4/6144f7a4c075fa2e7a51bfd8_Argon%20Catalog_US-compressed.pdf, https://accessgudid.nlm.nih.gov/devices/00886333206988</t>
  </si>
  <si>
    <t>193111</t>
  </si>
  <si>
    <t>ARGON_193111</t>
  </si>
  <si>
    <t>2 Port Manifold - Right/Off/Block Body - 500PSI</t>
  </si>
  <si>
    <t>PRODIGO1072634</t>
  </si>
  <si>
    <t>2 Port Manifold - Right/Off/Block Body - 500 PSI</t>
  </si>
  <si>
    <t>2 Port Manifold -500psi - Right Orientation Off Handle 2 Port Block Body Sterile Latex</t>
  </si>
  <si>
    <t>MANIFOLD, INTRAVENOUS, 2 PORT, 500 PSI, RIGHT ORIENTATION, OFF HANDLE, BLOCK BODY, STERILE, LATEX</t>
  </si>
  <si>
    <t>MANIFOLD, IV, 2 PRT, 500 PSI, RT ORIENTATION, OFF HNDL, BLOCK BODY, STRL, LTX</t>
  </si>
  <si>
    <t>MANIFOLD, IV, 2 PRT, 500 PSI, RT ORIENTATION, OFF HNDL, BLOCK BODY</t>
  </si>
  <si>
    <t>RIGHT ORIENTATION, OFF HANDLE, BLOCK BODY</t>
  </si>
  <si>
    <t>https://assets-global.website-files.com/609d867d872392abfec460b4/6144f7a4c075fa2e7a51bfd8_Argon%20Catalog_US-compressed.pdf, https://accessgudid.nlm.nih.gov/devices/00886333207008</t>
  </si>
  <si>
    <t>193119</t>
  </si>
  <si>
    <t>ARGON_193119</t>
  </si>
  <si>
    <t>3 Port Manifold - Right/Off/Open Body - 500 PSI</t>
  </si>
  <si>
    <t>PRODIGO1072635</t>
  </si>
  <si>
    <t>3 Port Manifold -500psi - Right Orientation Off Handle 3 Port Open Body Sterile Latex</t>
  </si>
  <si>
    <t>MANIFOLD, INTRAVENOUS, 3 PORT, 500 PSI, RIGHT ORIENTATION, OFF HANDLE, OPEN BODY, STERILE, LATEX</t>
  </si>
  <si>
    <t>MANIFOLD, IV, 3 PRT, 500 PSI, RT ORIENTATION, OFF HNDL, OPN BODY, STRL, LTX</t>
  </si>
  <si>
    <t>MANIFOLD, IV, 3 PRT, 500 PSI, RT ORIENTATION, OFF HNDL, OPN BODY</t>
  </si>
  <si>
    <t>RIGHT ORIENTATION, OFF HANDLE, OPEN BODY</t>
  </si>
  <si>
    <t>https://assets-global.website-files.com/609d867d872392abfec460b4/6144f7a4c075fa2e7a51bfd8_Argon%20Catalog_US-compressed.pdf, https://accessgudid.nlm.nih.gov/devices/00886333207039</t>
  </si>
  <si>
    <t>193125</t>
  </si>
  <si>
    <t>ARGON_193125</t>
  </si>
  <si>
    <t>3 Port Manifold - Right/On/Finger Grip - 500 PSI</t>
  </si>
  <si>
    <t>PRODIGO1072636</t>
  </si>
  <si>
    <t>3 Port Manifold - 500psi - Right Orientation ON Handle 2 Port Open Body Sterile Latex</t>
  </si>
  <si>
    <t>MANIFOLD, INTRAVENOUS, 3 PORT, 500 PSI, RIGHT ORIENTATION ON HANDLE, OPEN BODY, STERILE, LATEX</t>
  </si>
  <si>
    <t>MANIFOLD, IV, 3 PRT, 500 PSI, RT ORIENTATION ON HNDL, OPN BODY, STRL, LTX</t>
  </si>
  <si>
    <t>MANIFOLD, IV, 3 PRT, 500 PSI, RT ORIENTATION ON HNDL, OPN BODY</t>
  </si>
  <si>
    <t>RIGHT ORIENTATION ON HANDLE, OPEN BODY</t>
  </si>
  <si>
    <t>https://assets-global.website-files.com/609d867d872392abfec460b4/6144f7a4c075fa2e7a51bfd8_Argon%20Catalog_US-compressed.pdf, https://accessgudid.nlm.nih.gov/devices/00886333207053</t>
  </si>
  <si>
    <t>193131</t>
  </si>
  <si>
    <t>ARGON_193131</t>
  </si>
  <si>
    <t>3 Port Manifold - Left/Off/Block Body - 500 PSI</t>
  </si>
  <si>
    <t>PRODIGO1072637</t>
  </si>
  <si>
    <t>3 Port Manifold -500psi - Left Orientation Off Handle 3 Port Block Body Sterile Latex</t>
  </si>
  <si>
    <t>MANIFOLD, INTRAVENOUS, 3 PORT, 500 PSI, LEFT ORIENTATION OFF HANDLE, BLOCK BODY, STERILE, LATEX</t>
  </si>
  <si>
    <t>MANIFOLD, IV, 3 PRT, 500 PSI, LT ORIENTATION OFF HNDL, BLOCK BODY, STRL, LTX</t>
  </si>
  <si>
    <t>MANIFOLD, IV, 3 PRT, 500 PSI, LT ORIENTATION OFF HNDL, BLOCK BODY</t>
  </si>
  <si>
    <t>LEFT ORIENTATION OFF HANDLE, BLOCK BODY</t>
  </si>
  <si>
    <t>https://assets-global.website-files.com/609d867d872392abfec460b4/6144f7a4c075fa2e7a51bfd8_Argon%20Catalog_US-compressed.pdf, https://accessgudid.nlm.nih.gov/devices/00886333207077</t>
  </si>
  <si>
    <t>193135</t>
  </si>
  <si>
    <t>ARGON_193135</t>
  </si>
  <si>
    <t>4 Port Manifold - Right/Off/Open Body - 500 PSI</t>
  </si>
  <si>
    <t>PRODIGO1072638</t>
  </si>
  <si>
    <t>4 Port Manifold -500psi - Right Orientation Off Handle 4 Port Open Body Sterile Latex</t>
  </si>
  <si>
    <t>MANIFOLD, INTRAVENOUS, 4 PORT, 500 PSI, RIGHT ORIENTATION OFF HANDLE, OPEN BODY, STERILE, LATEX</t>
  </si>
  <si>
    <t>MANIFOLD, IV, 4 PRT, 500 PSI, RT ORIENTATION OFF HNDL, OPN BODY, STRL, LTX</t>
  </si>
  <si>
    <t>MANIFOLD, IV, 4 PRT, 500 PSI, RT ORIENTATION OFF HNDL, OPN BODY</t>
  </si>
  <si>
    <t>4 PORT</t>
  </si>
  <si>
    <t>RIGHT ORIENTATION OFF HANDLE, OPEN BODY</t>
  </si>
  <si>
    <t>https://assets-global.website-files.com/609d867d872392abfec460b4/6144f7a4c075fa2e7a51bfd8_Argon%20Catalog_US-compressed.pdf, https://accessgudid.nlm.nih.gov/devices/00886333207091</t>
  </si>
  <si>
    <t>193205</t>
  </si>
  <si>
    <t>ARGON_193205</t>
  </si>
  <si>
    <t>10CC Control Syringe FR/TR/FM W/Reservoir</t>
  </si>
  <si>
    <t>PRODIGO1072639</t>
  </si>
  <si>
    <t>10cc Control Syringe FR/TR/FM w/Reservoir</t>
  </si>
  <si>
    <t>Control Syringe</t>
  </si>
  <si>
    <t>42142608  Medical syringes without needle</t>
  </si>
  <si>
    <t>Coronary Control Syringes 10mL - Fixed Male Luer Thumb Ring/Finger Ring WITH RESERVOIR Sterile Latex</t>
  </si>
  <si>
    <t>SYRINGE, MEDICAL, CONTROL, 10 CC, CORONARY, FIXED MALE LUER, THUMB, FINGER RING, WITH RESERVOIR, STERILE, LATEX</t>
  </si>
  <si>
    <t>SYRINGE, MED, CTRL, 10 CC, CORONARY, FIX M LUER, THMB, FNGR RNG, W/ RESERVOIR, STRL, LTX</t>
  </si>
  <si>
    <t>SYRINGE, MED, CTRL, 10 CC, CORONARY, FIX M LUER, THMB, FNGR RNG</t>
  </si>
  <si>
    <t>SYRINGE</t>
  </si>
  <si>
    <t>MEDICAL</t>
  </si>
  <si>
    <t>CONTROL</t>
  </si>
  <si>
    <t>10 CC</t>
  </si>
  <si>
    <t>CORONARY</t>
  </si>
  <si>
    <t>FIXED MALE LUER, THUMB, FINGER RING, WITH RESERVOIR</t>
  </si>
  <si>
    <t>https://assets-global.website-files.com/609d867d872392abfec460b4/6144f7a4c075fa2e7a51bfd8_Argon%20Catalog_US-compressed.pdf, https://accessgudid.nlm.nih.gov/devices/00886333207176</t>
  </si>
  <si>
    <t>193206</t>
  </si>
  <si>
    <t>ARGON_193206</t>
  </si>
  <si>
    <t>10CC Control Syringe FR/TR/RA W/Reservoir</t>
  </si>
  <si>
    <t>PRODIGO1072640</t>
  </si>
  <si>
    <t>10cc Control Syringe FR/TR/RA w/Reservoir</t>
  </si>
  <si>
    <t>Coronary Control Syringes 10mL - Rotating Adapter Thumb Ring/Finger Ring WITH RESERVOIR Sterile Latex</t>
  </si>
  <si>
    <t>SYRINGE, MEDICAL, CONTROL, 10 CC, CORONARY, ROTATING ADAPTER, THUMB, FINGER RING, WITH RESERVOIR, STERILE, LATEX</t>
  </si>
  <si>
    <t>SYRINGE, MED, CTRL, 10 CC, CORONARY, ROTATING ADPT, THMB, FNGR RNG, W/ RESERVOIR, STRL, LTX</t>
  </si>
  <si>
    <t>SYRINGE, MED, CTRL, 10 CC, CORONARY, ROTATING ADPT, THMB, FNGR RNG</t>
  </si>
  <si>
    <t>ROTATING ADAPTER, THUMB, FINGER RING, WITH RESERVOIR</t>
  </si>
  <si>
    <t>https://assets-global.website-files.com/609d867d872392abfec460b4/6144f7a4c075fa2e7a51bfd8_Argon%20Catalog_US-compressed.pdf, https://accessgudid.nlm.nih.gov/devices/00886333207183</t>
  </si>
  <si>
    <t>193209</t>
  </si>
  <si>
    <t>ARGON_193209</t>
  </si>
  <si>
    <t>12CC Control Syringe FR/TR/FM W/Reservoir</t>
  </si>
  <si>
    <t>PRODIGO1072641</t>
  </si>
  <si>
    <t>12cc Control Syringe FR/TR/FM w/Reservoir</t>
  </si>
  <si>
    <t>Coronary Control Syringes 12mL - Fixed Male Luer Thumb Ring/Finger Ring WITH RESERVOIR Sterile Latex</t>
  </si>
  <si>
    <t>SYRINGE, MEDICAL, CONTROL, 12 CC, CORONARY, FIXED MALE LUER, THUMB, FINGER RING, WITH RESERVOIR, STERILE, LATEX</t>
  </si>
  <si>
    <t>SYRINGE, MED, CTRL, 12 CC, CORONARY, FIX M LUER, THMB, FNGR RNG, W/ RESERVOIR, STRL, LTX</t>
  </si>
  <si>
    <t>SYRINGE, MED, CTRL, 12 CC, CORONARY, FIX M LUER, THMB, FNGR RNG</t>
  </si>
  <si>
    <t>12 CC</t>
  </si>
  <si>
    <t>https://assets-global.website-files.com/609d867d872392abfec460b4/6144f7a4c075fa2e7a51bfd8_Argon%20Catalog_US-compressed.pdf, https://accessgudid.nlm.nih.gov/devices/00886333207206</t>
  </si>
  <si>
    <t>193212</t>
  </si>
  <si>
    <t>ARGON_193212</t>
  </si>
  <si>
    <t>12CC Control Syringe FR/PP/RA W/Reservoir</t>
  </si>
  <si>
    <t>PRODIGO1072642</t>
  </si>
  <si>
    <t>12cc Control Syringe GÇô FR/PP/RA w/Reservoir</t>
  </si>
  <si>
    <t>Coronary Control Syringes 12mL - Rotating Adapter Palm Pad/Finger Ring WITH RESERVOIR Sterile Latex</t>
  </si>
  <si>
    <t>SYRINGE, MEDICAL, CONTROL, 12 CC, CORONARY, ROTATING ADAPTER, PALM PAD, FINGER RING, WITH RESERVOIR, STERILE, LATEX</t>
  </si>
  <si>
    <t>SYRINGE, MED, CTRL, 12 CC, CORONARY, ROTATING ADPT, PALM PD, FNGR RNG, W/ RESERVOIR, STRL, LTX</t>
  </si>
  <si>
    <t>SYRINGE, MED, CTRL, 12 CC, CORONARY, ROTATING ADPT, PALM PD</t>
  </si>
  <si>
    <t>ROTATING ADAPTER, PALM PAD, FINGER RING, WITH RESERVOIR</t>
  </si>
  <si>
    <t>https://assets-global.website-files.com/609d867d872392abfec460b4/6144f7a4c075fa2e7a51bfd8_Argon%20Catalog_US-compressed.pdf, https://accessgudid.nlm.nih.gov/devices/00886333207237</t>
  </si>
  <si>
    <t>193214</t>
  </si>
  <si>
    <t>ARGON_193214</t>
  </si>
  <si>
    <t>12CC Control Syringe FG/TR/RA W/Reservoir</t>
  </si>
  <si>
    <t>PRODIGO1072643</t>
  </si>
  <si>
    <t>12cc Control Syringe GÇô FG/TR/RA w/Reservoir</t>
  </si>
  <si>
    <t>Coronary Control Syringes 12mL - Rotating Adapter Thumb Ring/Finger Grip WITH RESERVOIR Sterile Latex</t>
  </si>
  <si>
    <t>SYRINGE, MEDICAL, CONTROL, 12 CC, CORONARY, ROTATING ADAPTER, THUMB, FINGER GRIP, WITH RESERVOIR, STERILE, LATEX</t>
  </si>
  <si>
    <t>SYRINGE, MED, CTRL, 12 CC, CORONARY, ROTATING ADPT, THMB, FNGR GRP, W/ RESERVOIR, STRL, LTX</t>
  </si>
  <si>
    <t>SYRINGE, MED, CTRL, 12 CC, CORONARY, ROTATING ADPT, THMB, FNGR GRP</t>
  </si>
  <si>
    <t>ROTATING ADAPTER, THUMB, FINGER GRIP , WITH RESERVOIR</t>
  </si>
  <si>
    <t>https://assets-global.website-files.com/609d867d872392abfec460b4/6144f7a4c075fa2e7a51bfd8_Argon%20Catalog_US-compressed.pdf, https://accessgudid.nlm.nih.gov/devices/00886333207244</t>
  </si>
  <si>
    <t>193221</t>
  </si>
  <si>
    <t>ARGON_193221</t>
  </si>
  <si>
    <t>12Cc Dosage Control Syringe FR/Tr/Fm</t>
  </si>
  <si>
    <t>PRODIGO1072644</t>
  </si>
  <si>
    <t>12cc Dosage Control Syringe FR/TR/FM</t>
  </si>
  <si>
    <t>Coronary Dosage Control Syringes 12mL - Fixed Male Luer Thumb Ring/Finger Ring WITH RESERVOIR Sterile Latex</t>
  </si>
  <si>
    <t>SYRINGE, MEDICAL, CONTROL, 12 CC, CORONARY, DOSAGE CONTROL, FIXED MALE LUER, THUMB, FINGER RING WITH RESERVOIR, STERILE, LATEX</t>
  </si>
  <si>
    <t>SYRINGE, MED, CTRL, 12 CC, CORONARY, DOSAGE CTRL, FIX M LUER, THMB, FNGR RNG W/ RESERVOIR, STRL, LTX</t>
  </si>
  <si>
    <t>SYRINGE, MED, CTRL, 12 CC, CORONARY, DOSAGE CTRL, FIX M LUER, THMB</t>
  </si>
  <si>
    <t>DOSAGE CONTROL, FIXED MALE LUER , THUMB, FINGER RING WITH RESERVOIR</t>
  </si>
  <si>
    <t>https://assets-global.website-files.com/609d867d872392abfec460b4/6144f7a4c075fa2e7a51bfd8_Argon%20Catalog_US-compressed.pdf, https://accessgudid.nlm.nih.gov/devices/00886333207275</t>
  </si>
  <si>
    <t>193222</t>
  </si>
  <si>
    <t>ARGON_193222</t>
  </si>
  <si>
    <t>12Cc Dosage Control Syringe FR/Tr/Ra</t>
  </si>
  <si>
    <t>PRODIGO1072645</t>
  </si>
  <si>
    <t>12cc Dosage Control Syringe FR/TR/RA</t>
  </si>
  <si>
    <t>Coronary Dosage Control Syringes 12mL - Rotating Adapter Thumb Ring/Finger Ring WITH RESERVOIR Sterile Latex</t>
  </si>
  <si>
    <t>SYRINGE, MEDICAL, CONTROL, 12 CC, CORONARY, DOSAGE CONTROL, ROTATING ADAPTER, THUMB, FINGER RING WITH RESERVOIR, STERILE, LATEX</t>
  </si>
  <si>
    <t>SYRINGE, MED, CTRL, 12 CC, CORONARY, DOSAGE CTRL, ROTATING ADPT, THMB, FNGR RNG W/ RESERVOIR, STRL, LTX</t>
  </si>
  <si>
    <t>SYRINGE, MED, CTRL, 12 CC, CORONARY, DOSAGE CTRL, ROTATING ADPT</t>
  </si>
  <si>
    <t>DOSAGE CONTROL, ROTATING ADAPTER , THUMB, FINGER RING WITH RESERVOIR</t>
  </si>
  <si>
    <t>https://assets-global.website-files.com/609d867d872392abfec460b4/6144f7a4c075fa2e7a51bfd8_Argon%20Catalog_US-compressed.pdf, https://accessgudid.nlm.nih.gov/devices/00886333207282</t>
  </si>
  <si>
    <t>193239</t>
  </si>
  <si>
    <t>ARGON_193239</t>
  </si>
  <si>
    <t>12CC Soft Touch Control Syringe FG/PP/RA W/Reservoir</t>
  </si>
  <si>
    <t>PRODIGO1072646</t>
  </si>
  <si>
    <t>12cc Soft Touch Control Syringe FG/PP/RA w/Reservoir</t>
  </si>
  <si>
    <t>Coronary Control Syringes 12mL - Soft Touch Rotating Adapter Palm Pad/Finger Ring WITH RESERVOIR Sterile Latex</t>
  </si>
  <si>
    <t>SYRINGE, MEDICAL, CONTROL, 12 CC, CORONARY, SOFT TOUCH, ROTATING ADAPTER, PALM PAD, FINGER RING, WITH RESERVOIR, STERILE, LATEX</t>
  </si>
  <si>
    <t>SYRINGE, MED, CTRL, 12 CC, CORONARY, SFT TCH, ROTATING ADPT, PALM PD, FNGR RNG, W/ RESERVOIR, STRL, LTX</t>
  </si>
  <si>
    <t>SYRINGE, MED, CTRL, 12 CC, CORONARY, SFT TCH, ROTATING ADPT</t>
  </si>
  <si>
    <t>SOFT TOUCH, ROTATING ADAPTER, PALM PAD, FINGER RING, WITH RESERVOIR</t>
  </si>
  <si>
    <t>https://assets-global.website-files.com/609d867d872392abfec460b4/6144f7a4c075fa2e7a51bfd8_Argon%20Catalog_US-compressed.pdf, https://accessgudid.nlm.nih.gov/devices/00886333207312</t>
  </si>
  <si>
    <t>193248</t>
  </si>
  <si>
    <t>ARGON_193248</t>
  </si>
  <si>
    <t>12CC Control Syringe ST/FR/TR/FM W/Reservoir</t>
  </si>
  <si>
    <t>PRODIGO1072647</t>
  </si>
  <si>
    <t>12cc Control Syringe ST/FR/TR/FM w/Reservoir</t>
  </si>
  <si>
    <t>Coronary Control Syringes 12mL - Soft Touch Fixed Male Luer Thumb Ring/Finger Ring WITH RESERVOIR Sterile Latex</t>
  </si>
  <si>
    <t>SYRINGE, MEDICAL, CONTROL, 12 CC, CORONARY, SOFT TOUCH, FIXED MALE LUER, THUMB, FINGER RING, WITH RESERVOIR, STERILE, LATEX</t>
  </si>
  <si>
    <t>SYRINGE, MED, CTRL, 12 CC, CORONARY, SFT TCH, FIX M LUER, THMB, FNGR RNG, W/ RESERVOIR, STRL, LTX</t>
  </si>
  <si>
    <t>SYRINGE, MED, CTRL, 12 CC, CORONARY, SFT TCH, FIX M LUER, THMB</t>
  </si>
  <si>
    <t>SOFT TOUCH, FIXED MALE LUER, THUMB, FINGER RING, WITH RESERVOIR</t>
  </si>
  <si>
    <t>https://assets-global.website-files.com/609d867d872392abfec460b4/6144f7a4c075fa2e7a51bfd8_Argon%20Catalog_US-compressed.pdf, https://accessgudid.nlm.nih.gov/devices/00886333207329</t>
  </si>
  <si>
    <t>193249</t>
  </si>
  <si>
    <t>ARGON_193249</t>
  </si>
  <si>
    <t>12CC Soft Touch Control Syringe FR/TR/RA W/Reservoir</t>
  </si>
  <si>
    <t>PRODIGO1072648</t>
  </si>
  <si>
    <t>12cc Soft Touch Control Syringe FR/TR/RA w/Reservoir</t>
  </si>
  <si>
    <t>Coronary Control Syringes 12mL - Soft Touch Rotating Adapter Thumb Ring/Finger Ring WITH RESERVOIR Sterile Latex</t>
  </si>
  <si>
    <t>SYRINGE, MEDICAL, CONTROL, 12 CC, CORONARY, SOFT TOUCH, ROTATING ADAPTER, THUMB, FINGER RING, WITH RESERVOIR, STERILE, LATEX</t>
  </si>
  <si>
    <t>SYRINGE, MED, CTRL, 12 CC, CORONARY, SFT TCH, ROTATING ADPT, THMB, FNGR RNG, W/ RESERVOIR, STRL, LTX</t>
  </si>
  <si>
    <t>SYRINGE, MED, CTRL, 12 CC, CORONARY, SFT TCH, ROTATING ADPT, THMB</t>
  </si>
  <si>
    <t>SOFT TOUCH, ROTATING ADAPTER, THUMB, FINGER RING, WITH RESERVOIR</t>
  </si>
  <si>
    <t>https://assets-global.website-files.com/609d867d872392abfec460b4/6144f7a4c075fa2e7a51bfd8_Argon%20Catalog_US-compressed.pdf, https://accessgudid.nlm.nih.gov/devices/00886333207336</t>
  </si>
  <si>
    <t>193350</t>
  </si>
  <si>
    <t>ARGON_193350</t>
  </si>
  <si>
    <t>Contrast Line 1200 PSI 1025CM Male/Female Pvc</t>
  </si>
  <si>
    <t>PRODIGO1072649</t>
  </si>
  <si>
    <t>"Contrast Line 10""(25cm) Male/Female PVC 1200 PSI"</t>
  </si>
  <si>
    <t>Contrast Line</t>
  </si>
  <si>
    <t>42201862  Medical imaging contrast agent injector accessories</t>
  </si>
  <si>
    <t>High Pressure Injection Lines - 1200psi Male to Female Clear PVC 10IN Sterile Latex</t>
  </si>
  <si>
    <t>LINE, CONTRAST INJECTION, HIGH PRESSURE, 1200 PSI, 10 IN, MALE TO FEMALE, PVC, CLEAR, STERILE, LATEX</t>
  </si>
  <si>
    <t>LINE, CNTRST INJ, HI PRESSURE, 1200 PSI, 10 IN, M TO FEMALE, PVC, CLR, STRL, LTX</t>
  </si>
  <si>
    <t>LINE, CNTRST INJ, HI PRESSURE, 1200 PSI, 10 IN, M TO FEMALE, PVC</t>
  </si>
  <si>
    <t>CONTRAST INJECTION</t>
  </si>
  <si>
    <t>HIGH PRESSURE</t>
  </si>
  <si>
    <t>1200 PSI</t>
  </si>
  <si>
    <t>10 IN</t>
  </si>
  <si>
    <t>MALE TO FEMALE</t>
  </si>
  <si>
    <t>25CM</t>
  </si>
  <si>
    <t>https://assets-global.website-files.com/609d867d872392abfec460b4/6144f7a4c075fa2e7a51bfd8_Argon%20Catalog_US-compressed.pdf, https://accessgudid.nlm.nih.gov/devices/00886333207343</t>
  </si>
  <si>
    <t>193351</t>
  </si>
  <si>
    <t>ARGON_193351</t>
  </si>
  <si>
    <t>Contrast Line 1200 PSI 2050CM Male/Female Pvc</t>
  </si>
  <si>
    <t>PRODIGO1072650</t>
  </si>
  <si>
    <t>"Contrast Line 20""(50cm) Male/Female PVC 1200 PSI"</t>
  </si>
  <si>
    <t>High Pressure Injection Lines - 1200psi Male to Female Clear PVC 20IN Sterile Latex</t>
  </si>
  <si>
    <t>LINE, CONTRAST INJECTION, HIGH PRESSURE, 1200 PSI, 20 IN, MALE TO FEMALE, PVC, CLEAR, STERILE, LATEX</t>
  </si>
  <si>
    <t>LINE, CNTRST INJ, HI PRESSURE, 1200 PSI, 20 IN, M TO FEMALE, PVC, CLR, STRL, LTX</t>
  </si>
  <si>
    <t>LINE, CNTRST INJ, HI PRESSURE, 1200 PSI, 20 IN, M TO FEMALE, PVC</t>
  </si>
  <si>
    <t>20 IN</t>
  </si>
  <si>
    <t>50CM</t>
  </si>
  <si>
    <t>https://assets-global.website-files.com/609d867d872392abfec460b4/6144f7a4c075fa2e7a51bfd8_Argon%20Catalog_US-compressed.pdf, https://accessgudid.nlm.nih.gov/devices/00886333207350</t>
  </si>
  <si>
    <t>193352</t>
  </si>
  <si>
    <t>ARGON_193352</t>
  </si>
  <si>
    <t>Contrast Line 1200 PSI 3075CM Male/Female Pvc</t>
  </si>
  <si>
    <t>PRODIGO1072651</t>
  </si>
  <si>
    <t>"Contrast Line 30""(75cm) Male/Female PVC 1200 PSI"</t>
  </si>
  <si>
    <t>High Pressure Injection Lines - 1200psi Male to Female Clear PVC 30IN Sterile Latex</t>
  </si>
  <si>
    <t>LINE, CONTRAST INJECTION, HIGH PRESSURE, 1200 PSI, 30 IN, MALE TO FEMALE, PVC, CLEAR, STERILE, LATEX</t>
  </si>
  <si>
    <t>LINE, CNTRST INJ, HI PRESSURE, 1200 PSI, 30 IN, M TO FEMALE, PVC, CLR, STRL, LTX</t>
  </si>
  <si>
    <t>LINE, CNTRST INJ, HI PRESSURE, 1200 PSI, 30 IN, M TO FEMALE, PVC</t>
  </si>
  <si>
    <t>30 IN</t>
  </si>
  <si>
    <t>75CM</t>
  </si>
  <si>
    <t>https://assets-global.website-files.com/609d867d872392abfec460b4/6144f7a4c075fa2e7a51bfd8_Argon%20Catalog_US-compressed.pdf, https://accessgudid.nlm.nih.gov/devices/00886333207367</t>
  </si>
  <si>
    <t>193353</t>
  </si>
  <si>
    <t>ARGON_193353</t>
  </si>
  <si>
    <t>Contrast Line 1200 PSI 48122CM Male/Female Pvc</t>
  </si>
  <si>
    <t>PRODIGO1072652</t>
  </si>
  <si>
    <t>"Contrast Line 48""(122cm) Male/Female PVC 1200 PSI"</t>
  </si>
  <si>
    <t>High Pressure Injection Lines - 1200psi Male to Female Clear PVC 48IN Sterile Latex</t>
  </si>
  <si>
    <t>LINE, CONTRAST INJECTION, HIGH PRESSURE, 1200 PSI, 48 IN, MALE TO FEMALE, PVC, CLEAR, STERILE, LATEX</t>
  </si>
  <si>
    <t>LINE, CNTRST INJ, HI PRESSURE, 1200 PSI, 48 IN, M TO FEMALE, PVC, CLR, STRL, LTX</t>
  </si>
  <si>
    <t>LINE, CNTRST INJ, HI PRESSURE, 1200 PSI, 48 IN, M TO FEMALE, PVC</t>
  </si>
  <si>
    <t>48 IN</t>
  </si>
  <si>
    <t>122CM</t>
  </si>
  <si>
    <t>https://assets-global.website-files.com/609d867d872392abfec460b4/6144f7a4c075fa2e7a51bfd8_Argon%20Catalog_US-compressed.pdf, https://accessgudid.nlm.nih.gov/devices/00886333207374</t>
  </si>
  <si>
    <t>193354</t>
  </si>
  <si>
    <t>ARGON_193354</t>
  </si>
  <si>
    <t>Contrast Line 1200 PSI 1025CM Female/Rotating Adapter Pvc</t>
  </si>
  <si>
    <t>PRODIGO1072653</t>
  </si>
  <si>
    <t>"Contrast Line 10""(25cm) Female/Rotating Adapter PVC 1200 PSI"</t>
  </si>
  <si>
    <t>High Pressure Injection Lines - 1200psi Rotating Adapter Clear PVC 10IN Sterile Latex</t>
  </si>
  <si>
    <t>LINE, CONTRAST INJECTION, HIGH PRESSURE, 1200 PSI, 10 IN, ROTATING ADAPTER, PVC, CLEAR, STERILE, LATEX</t>
  </si>
  <si>
    <t>LINE, CNTRST INJ, HI PRESSURE, 1200 PSI, 10 IN, ROTATING ADPT, PVC, CLR, STRL, LTX</t>
  </si>
  <si>
    <t>LINE, CNTRST INJ, HI PRESSURE, 1200 PSI, 10 IN, ROTATING ADPT, PVC</t>
  </si>
  <si>
    <t>ROTATING ADAPTER</t>
  </si>
  <si>
    <t>https://assets-global.website-files.com/609d867d872392abfec460b4/6144f7a4c075fa2e7a51bfd8_Argon%20Catalog_US-compressed.pdf, https://accessgudid.nlm.nih.gov/devices/00886333207381</t>
  </si>
  <si>
    <t>193355</t>
  </si>
  <si>
    <t>ARGON_193355</t>
  </si>
  <si>
    <t>Contrast Line 1200 PSI 2050CM Female/Rotating Adapter Pvc</t>
  </si>
  <si>
    <t>PRODIGO1072654</t>
  </si>
  <si>
    <t>"Contrast Line 20""(50cm) Female/Rotating Adapter PVC 1200 PSI"</t>
  </si>
  <si>
    <t>High Pressure Injection Lines - 1200psi Rotating Adapter Clear PVC 20IN Sterile Latex</t>
  </si>
  <si>
    <t>LINE, CONTRAST INJECTION, HIGH PRESSURE, 1200 PSI, 20 IN, ROTATING ADAPTER, PVC, CLEAR, STERILE, LATEX</t>
  </si>
  <si>
    <t>LINE, CNTRST INJ, HI PRESSURE, 1200 PSI, 20 IN, ROTATING ADPT, PVC, CLR, STRL, LTX</t>
  </si>
  <si>
    <t>LINE, CNTRST INJ, HI PRESSURE, 1200 PSI, 20 IN, ROTATING ADPT, PVC</t>
  </si>
  <si>
    <t>https://assets-global.website-files.com/609d867d872392abfec460b4/6144f7a4c075fa2e7a51bfd8_Argon%20Catalog_US-compressed.pdf, https://accessgudid.nlm.nih.gov/devices/00886333207398</t>
  </si>
  <si>
    <t>193356</t>
  </si>
  <si>
    <t>ARGON_193356</t>
  </si>
  <si>
    <t>Contrast Line 1200 PSI 3075CM Female/Rotating Adapter Pvc</t>
  </si>
  <si>
    <t>PRODIGO1072655</t>
  </si>
  <si>
    <t>"Contrast Line 30""(75cm) Female/Rotating Adapter PVC 1200 PSI"</t>
  </si>
  <si>
    <t>High Pressure Injection Lines - 1200psi Rotating Adapter Clear PVC 30IN Sterile Latex</t>
  </si>
  <si>
    <t>LINE, CONTRAST INJECTION, HIGH PRESSURE, 1200 PSI, 30 IN, ROTATING ADAPTER, PVC, CLEAR, STERILE, LATEX</t>
  </si>
  <si>
    <t>LINE, CNTRST INJ, HI PRESSURE, 1200 PSI, 30 IN, ROTATING ADPT, PVC, CLR, STRL, LTX</t>
  </si>
  <si>
    <t>LINE, CNTRST INJ, HI PRESSURE, 1200 PSI, 30 IN, ROTATING ADPT, PVC</t>
  </si>
  <si>
    <t>https://assets-global.website-files.com/609d867d872392abfec460b4/6144f7a4c075fa2e7a51bfd8_Argon%20Catalog_US-compressed.pdf, https://accessgudid.nlm.nih.gov/devices/00886333207404</t>
  </si>
  <si>
    <t>193357</t>
  </si>
  <si>
    <t>ARGON_193357</t>
  </si>
  <si>
    <t>Contrast Line 1200 PSI 48122CM Female/Rotating Adapter Pvc</t>
  </si>
  <si>
    <t>PRODIGO1072656</t>
  </si>
  <si>
    <t>"Contrast Line 48""(122cm) Female/Rotating Adapter PVC 1200 PSI"</t>
  </si>
  <si>
    <t>High Pressure Injection Lines - 1200psi Rotating Adapter Clear PVC 48IN Sterile Latex</t>
  </si>
  <si>
    <t>LINE, CONTRAST INJECTION, HIGH PRESSURE, 1200 PSI, 48 IN, ROTATING ADAPTER, PVC, CLEAR, STERILE, LATEX</t>
  </si>
  <si>
    <t>LINE, CNTRST INJ, HI PRESSURE, 1200 PSI, 48 IN, ROTATING ADPT, PVC, CLR, STRL, LTX</t>
  </si>
  <si>
    <t>LINE, CNTRST INJ, HI PRESSURE, 1200 PSI, 48 IN, ROTATING ADPT, PVC</t>
  </si>
  <si>
    <t>https://assets-global.website-files.com/609d867d872392abfec460b4/6144f7a4c075fa2e7a51bfd8_Argon%20Catalog_US-compressed.pdf, https://accessgudid.nlm.nih.gov/devices/00886333207411</t>
  </si>
  <si>
    <t>193358</t>
  </si>
  <si>
    <t>ARGON_193358</t>
  </si>
  <si>
    <t>Contrast Line 1200 PSI 1025CM Male/Female Braided</t>
  </si>
  <si>
    <t>PRODIGO1072657</t>
  </si>
  <si>
    <t>"Contrast Line 10""(25cm) Male/Female Polyurethane, Braided 1200 PSI"</t>
  </si>
  <si>
    <t>High Pressure Injection Lines - 1200psi Male to Female Flexible Braided Polyurethane 10IN Sterile Latex</t>
  </si>
  <si>
    <t>LINE, CONTRAST INJECTION, HIGH PRESSURE, 1200 PSI, 10 IN, MALE TO FEMALE, FLEXIBLE BRAIDED, POLYURETHANE, STERILE, LATEX</t>
  </si>
  <si>
    <t>LINE, CNTRST INJ, HI PRESSURE, 1200 PSI, 10 IN, M TO FEMALE, FLX BRAIDED, POLYURETHANE, STRL, LTX</t>
  </si>
  <si>
    <t>LINE, CNTRST INJ, HI PRESSURE, 1200 PSI, 10 IN, M TO FEMALE</t>
  </si>
  <si>
    <t>MALE TO FEMALE, FLEXIBLE BRAIDED</t>
  </si>
  <si>
    <t>POLYURETHANE</t>
  </si>
  <si>
    <t>https://assets-global.website-files.com/609d867d872392abfec460b4/6144f7a4c075fa2e7a51bfd8_Argon%20Catalog_US-compressed.pdf, https://accessgudid.nlm.nih.gov/devices/00886333207428</t>
  </si>
  <si>
    <t>193359</t>
  </si>
  <si>
    <t>ARGON_193359</t>
  </si>
  <si>
    <t>Contrast Line 1200 PSI 2050CM Male/Female Braided</t>
  </si>
  <si>
    <t>PRODIGO1072658</t>
  </si>
  <si>
    <t>"Contrast Line 20""(50cm) M/F (Braided) 1200 PSI"</t>
  </si>
  <si>
    <t>High Pressure Injection Lines - 1200psi Male to Female Flexible Braided Polyurethane 20IN Sterile Latex</t>
  </si>
  <si>
    <t>LINE, CONTRAST INJECTION, HIGH PRESSURE, 1200 PSI, 20 IN, MALE TO FEMALE, FLEXIBLE BRAIDED, POLYURETHANE, STERILE, LATEX</t>
  </si>
  <si>
    <t>LINE, CNTRST INJ, HI PRESSURE, 1200 PSI, 20 IN, M TO FEMALE, FLX BRAIDED, POLYURETHANE, STRL, LTX</t>
  </si>
  <si>
    <t>LINE, CNTRST INJ, HI PRESSURE, 1200 PSI, 20 IN, M TO FEMALE</t>
  </si>
  <si>
    <t>https://assets-global.website-files.com/609d867d872392abfec460b4/6144f7a4c075fa2e7a51bfd8_Argon%20Catalog_US-compressed.pdf, https://accessgudid.nlm.nih.gov/devices/00886333207435</t>
  </si>
  <si>
    <t>193361</t>
  </si>
  <si>
    <t>ARGON_193361</t>
  </si>
  <si>
    <t>Contrast Line 1200 PSI 48122CM Male/Female Braided</t>
  </si>
  <si>
    <t>PRODIGO1072659</t>
  </si>
  <si>
    <t>"Contrast Line 48""(122cm) Male/Female Polyurethane, Braided 1200 PSI"</t>
  </si>
  <si>
    <t>High Pressure Injection Lines - 1200psi Male to Female Flexible Braided Polyurethane 48IN Sterile Latex</t>
  </si>
  <si>
    <t>LINE, CONTRAST INJECTION, HIGH PRESSURE, 1200 PSI, 48 IN, MALE TO FEMALE, FLEXIBLE BRAIDED, POLYURETHANE, STERILE, LATEX</t>
  </si>
  <si>
    <t>LINE, CNTRST INJ, HI PRESSURE, 1200 PSI, 48 IN, M TO FEMALE, FLX BRAIDED, POLYURETHANE, STRL, LTX</t>
  </si>
  <si>
    <t>LINE, CNTRST INJ, HI PRESSURE, 1200 PSI, 48 IN, M TO FEMALE</t>
  </si>
  <si>
    <t>https://assets-global.website-files.com/609d867d872392abfec460b4/6144f7a4c075fa2e7a51bfd8_Argon%20Catalog_US-compressed.pdf, https://accessgudid.nlm.nih.gov/devices/00886333207459</t>
  </si>
  <si>
    <t>193362</t>
  </si>
  <si>
    <t>ARGON_193362</t>
  </si>
  <si>
    <t>Contrast Line 1200 PSI 1025CM Female/Rotating Adapter Braided</t>
  </si>
  <si>
    <t>PRODIGO1072660</t>
  </si>
  <si>
    <t>"Contrast Line 10""(25cm) Female/Rotating Adapter Polyurethane, Braided 1200 PSI"</t>
  </si>
  <si>
    <t>High Pressure Injection Lines - 1200psi Rotating Adapter Female Flexible Braided Polyurethane 10IN Sterile Latex</t>
  </si>
  <si>
    <t>LINE, CONTRAST INJECTION, HIGH PRESSURE, 1200 PSI, 10 IN, FEMALE, ROTATING ADAPTER, FLEXIBLE BRAIDED, POLYURETHANE, STERILE, LATEX</t>
  </si>
  <si>
    <t>LINE, CNTRST INJ, HI PRESSURE, 1200 PSI, 10 IN, FEMALE, ROTATING ADPT, FLX BRAIDED, POLYURETHANE, STRL, LTX</t>
  </si>
  <si>
    <t>LINE, CNTRST INJ, HI PRESSURE, 1200 PSI, 10 IN, ROTATING ADPT</t>
  </si>
  <si>
    <t>FEMALE, ROTATING ADAPTER, FLEXIBLE BRAIDED</t>
  </si>
  <si>
    <t>https://assets-global.website-files.com/609d867d872392abfec460b4/6144f7a4c075fa2e7a51bfd8_Argon%20Catalog_US-compressed.pdf, https://accessgudid.nlm.nih.gov/devices/00886333207466</t>
  </si>
  <si>
    <t>193363</t>
  </si>
  <si>
    <t>ARGON_193363</t>
  </si>
  <si>
    <t>Contrast Line 1200 PSI 10 F/Ra Brded</t>
  </si>
  <si>
    <t>PRODIGO1072661</t>
  </si>
  <si>
    <t>"Contrast Line 20""(50cm) Female/Rotating Adapter Polyurethane, Braided 1200 PSI"</t>
  </si>
  <si>
    <t>High Pressure Injection Lines - 1200psi Rotating Adapter Female Flexible Braided Polyurethane 20IN Sterile Latex</t>
  </si>
  <si>
    <t>LINE, CONTRAST INJECTION, HIGH PRESSURE, 1200 PSI, 20 IN, FEMALE, ROTATING ADAPTER, FLEXIBLE BRAIDED, POLYURETHANE, STERILE, LATEX</t>
  </si>
  <si>
    <t>LINE, CNTRST INJ, HI PRESSURE, 1200 PSI, 20 IN, FEMALE, ROTATING ADPT, FLX BRAIDED, POLYURETHANE, STRL, LTX</t>
  </si>
  <si>
    <t>LINE, CNTRST INJ, HI PRESSURE, 1200 PSI, 20 IN, ROTATING ADPT</t>
  </si>
  <si>
    <t>https://assets-global.website-files.com/609d867d872392abfec460b4/6144f7a4c075fa2e7a51bfd8_Argon%20Catalog_US-compressed.pdf, https://accessgudid.nlm.nih.gov/devices/00886333207473</t>
  </si>
  <si>
    <t>193364</t>
  </si>
  <si>
    <t>ARGON_193364</t>
  </si>
  <si>
    <t>Contrast Line 1200 PSI 3075CM Female/Rotating Adapter Braided</t>
  </si>
  <si>
    <t>PRODIGO1072662</t>
  </si>
  <si>
    <t>"Contrast Line 30""(75cm) Female/Rotating Adapter Polyurethane, Braided 1200 PSI"</t>
  </si>
  <si>
    <t>High Pressure Injection Lines - 1200psi Rotating Adapter Female Flexible Braided Polyurethane 30IN Sterile Latex</t>
  </si>
  <si>
    <t>LINE, CONTRAST INJECTION, HIGH PRESSURE, 1200 PSI, 30 IN, FEMALE, ROTATING ADAPTER, FLEXIBLE BRAIDED, POLYURETHANE, STERILE, LATEX</t>
  </si>
  <si>
    <t>LINE, CNTRST INJ, HI PRESSURE, 1200 PSI, 30 IN, FEMALE, ROTATING ADPT, FLX BRAIDED, POLYURETHANE, STRL, LTX</t>
  </si>
  <si>
    <t>LINE, CNTRST INJ, HI PRESSURE, 1200 PSI, 30 IN, ROTATING ADPT</t>
  </si>
  <si>
    <t>https://assets-global.website-files.com/609d867d872392abfec460b4/6144f7a4c075fa2e7a51bfd8_Argon%20Catalog_US-compressed.pdf, https://accessgudid.nlm.nih.gov/devices/00886333207480</t>
  </si>
  <si>
    <t>193365</t>
  </si>
  <si>
    <t>ARGON_193365</t>
  </si>
  <si>
    <t>Contrast Line 1200 PSI 48122CM Female/Rotating Adapter Braided</t>
  </si>
  <si>
    <t>PRODIGO1072663</t>
  </si>
  <si>
    <t>"Contrast Line 48""(122cm) Female/Rotating Adapter Polyurethane, Braided 1200 PSI"</t>
  </si>
  <si>
    <t>High Pressure Injection Lines - 1200psi Rotating Adapter Female Flexible Braided Polyurethane 48IN Sterile Latex</t>
  </si>
  <si>
    <t>LINE, CONTRAST INJECTION, HIGH PRESSURE, 1200 PSI, 48 IN, FEMALE, ROTATING ADAPTER, FLEXIBLE BRAIDED, POLYURETHANE, STERILE, LATEX</t>
  </si>
  <si>
    <t>LINE, CNTRST INJ, HI PRESSURE, 1200 PSI, 48 IN, FEMALE, ROTATING ADPT, FLX BRAIDED, POLYURETHANE, STRL, LTX</t>
  </si>
  <si>
    <t>LINE, CNTRST INJ, HI PRESSURE, 1200 PSI, 48 IN, ROTATING ADPT</t>
  </si>
  <si>
    <t>https://assets-global.website-files.com/609d867d872392abfec460b4/6144f7a4c075fa2e7a51bfd8_Argon%20Catalog_US-compressed.pdf, https://accessgudid.nlm.nih.gov/devices/00886333207497</t>
  </si>
  <si>
    <t>193373</t>
  </si>
  <si>
    <t>ARGON_193373</t>
  </si>
  <si>
    <t>Contrast Line 1200 PSI 72183CM Female/Rotating Adapter Pvc</t>
  </si>
  <si>
    <t>PRODIGO1072664</t>
  </si>
  <si>
    <t>"Contrast Line 72""(183cm) Female/Rotating Adapter (PVC) 1200 PSI"</t>
  </si>
  <si>
    <t>High Pressure Injection Lines - 1200psi Female Rotating Adapter Clear PVC 72IN Sterile Latex</t>
  </si>
  <si>
    <t>LINE, CONTRAST INJECTION, HIGH PRESSURE, 1200 PSI, 72 IN, FEMALE, ROTATING ADAPTER, PVC, CLEAR, STERILE, LATEX</t>
  </si>
  <si>
    <t>LINE, CNTRST INJ, HI PRESSURE, 1200 PSI, 72 IN, FEMALE, ROTATING ADPT, PVC, CLR, STRL, LTX</t>
  </si>
  <si>
    <t>LINE, CNTRST INJ, HI PRESSURE, 1200 PSI, 72 IN, ROTATING ADPT, PVC</t>
  </si>
  <si>
    <t>FEMALE, ROTATING ADAPTER</t>
  </si>
  <si>
    <t>183CM</t>
  </si>
  <si>
    <t>https://assets-global.website-files.com/609d867d872392abfec460b4/6144f7a4c075fa2e7a51bfd8_Argon%20Catalog_US-compressed.pdf, https://accessgudid.nlm.nih.gov/devices/00886333207527</t>
  </si>
  <si>
    <t>193377</t>
  </si>
  <si>
    <t>ARGON_193377</t>
  </si>
  <si>
    <t>Contrast Line 1200 PSI 72183CM Male/Female Braided</t>
  </si>
  <si>
    <t>PRODIGO1072665</t>
  </si>
  <si>
    <t>"Contrast Line 72""(183cm) Male/Female Polyurethane, Braided 1200 PSI"</t>
  </si>
  <si>
    <t>High Pressure Injection Lines - 1200psi Male to Female Flexible Braided Polyurethane 72IN Sterile Latex</t>
  </si>
  <si>
    <t>LINE, CONTRAST INJECTION, HIGH PRESSURE, 1200 PSI, 72 IN, MALE TO FEMALE, FLEXIBLE BRAIDED, POLYURETHANE, STERILE, LATEX</t>
  </si>
  <si>
    <t>LINE, CNTRST INJ, HI PRESSURE, 1200 PSI, 72 IN, M TO FEMALE, FLX BRAIDED, POLYURETHANE, STRL, LTX</t>
  </si>
  <si>
    <t>LINE, CNTRST INJ, HI PRESSURE, 1200 PSI, 72 IN, M TO FEMALE</t>
  </si>
  <si>
    <t>https://assets-global.website-files.com/609d867d872392abfec460b4/6144f7a4c075fa2e7a51bfd8_Argon%20Catalog_US-compressed.pdf, https://accessgudid.nlm.nih.gov/devices/00886333207558</t>
  </si>
  <si>
    <t>193378</t>
  </si>
  <si>
    <t>ARGON_193378</t>
  </si>
  <si>
    <t>Contrast Line 1200 PSI 72183CM Female/Rotating Adapter Braided</t>
  </si>
  <si>
    <t>PRODIGO1072666</t>
  </si>
  <si>
    <t>"Contrast Line 72""(183cm) Female/Rotating Adapter Polyurethane, Braided 1200 PSI"</t>
  </si>
  <si>
    <t>High Pressure Injection Lines - 1200psi Rotating Adapter Female Flexible Braided Polyurethane 72IN Sterile Latex</t>
  </si>
  <si>
    <t>LINE, CONTRAST INJECTION, HIGH PRESSURE, 1200 PSI, 72 IN, FEMALE, ROTATING ADAPTER, FLEXIBLE BRAIDED, POLYURETHANE, STERILE, LATEX</t>
  </si>
  <si>
    <t>LINE, CNTRST INJ, HI PRESSURE, 1200 PSI, 72 IN, FEMALE, ROTATING ADPT, FLX BRAIDED, POLYURETHANE, STRL, LTX</t>
  </si>
  <si>
    <t>LINE, CNTRST INJ, HI PRESSURE, 1200 PSI, 72 IN, ROTATING ADPT</t>
  </si>
  <si>
    <t>https://assets-global.website-files.com/609d867d872392abfec460b4/6144f7a4c075fa2e7a51bfd8_Argon%20Catalog_US-compressed.pdf, https://accessgudid.nlm.nih.gov/devices/00886333207565</t>
  </si>
  <si>
    <t>193381</t>
  </si>
  <si>
    <t>ARGON_193381</t>
  </si>
  <si>
    <t>Contrast Line 1200 PSI 96244CM Male/Female Braided</t>
  </si>
  <si>
    <t>PRODIGO1072667</t>
  </si>
  <si>
    <t>"Contrast Line 96""(244cm) Male/Female Polyurethane, Braided 1200 PSI"</t>
  </si>
  <si>
    <t>High Pressure Injection Lines - 1200psi Male to Female Flexible Braided Polyurethane 96IN Sterile Latex</t>
  </si>
  <si>
    <t>LINE, CONTRAST INJECTION, HIGH PRESSURE, 1200 PSI, 96 IN, MALE TO FEMALE, FLEXIBLE BRAIDED, POLYURETHANE, STERILE, LATEX</t>
  </si>
  <si>
    <t>LINE, CNTRST INJ, HI PRESSURE, 1200 PSI, 96 IN, M TO FEMALE, FLX BRAIDED, POLYURETHANE, STRL, LTX</t>
  </si>
  <si>
    <t>LINE, CNTRST INJ, HI PRESSURE, 1200 PSI, 96 IN, M TO FEMALE</t>
  </si>
  <si>
    <t>96 IN</t>
  </si>
  <si>
    <t>244CM</t>
  </si>
  <si>
    <t>https://assets-global.website-files.com/609d867d872392abfec460b4/6144f7a4c075fa2e7a51bfd8_Argon%20Catalog_US-compressed.pdf, https://accessgudid.nlm.nih.gov/devices/00886333207572</t>
  </si>
  <si>
    <t>193382</t>
  </si>
  <si>
    <t>ARGON_193382</t>
  </si>
  <si>
    <t>Contrast Line 1200 PSI 96244CM Female/Rotating Adapter Braided</t>
  </si>
  <si>
    <t>PRODIGO1072668</t>
  </si>
  <si>
    <t>"Contrast Line 96""(244cm) Female/Rotating Adapter Polyurethane, Braided 1200 PSI"</t>
  </si>
  <si>
    <t>High Pressure Injection Lines - 1200psi Rotating Adapter Female Flexible Braided Polyurethane 96IN Sterile Latex</t>
  </si>
  <si>
    <t>LINE, CONTRAST INJECTION, HIGH PRESSURE, 1200 PSI, 96 IN, FEMALE, ROTATING ADAPTER, FLEXIBLE BRAIDED, POLYURETHANE, STERILE, LATEX</t>
  </si>
  <si>
    <t>LINE, CNTRST INJ, HI PRESSURE, 1200 PSI, 96 IN, FEMALE, ROTATING ADPT, FLX BRAIDED, POLYURETHANE, STRL, LTX</t>
  </si>
  <si>
    <t>LINE, CNTRST INJ, HI PRESSURE, 1200 PSI, 96 IN, ROTATING ADPT</t>
  </si>
  <si>
    <t>193400</t>
  </si>
  <si>
    <t>ARGON_193400</t>
  </si>
  <si>
    <t>Manifold Kit 1 500 PSI Right/Off/Open Body</t>
  </si>
  <si>
    <t>PRODIGO1072669</t>
  </si>
  <si>
    <t>Manifold Kit #1 500 PSI Right/Off/Open Body</t>
  </si>
  <si>
    <t>Manifold Kit #1</t>
  </si>
  <si>
    <t>Manifold Kit 1 500 PSI Right/Off/Open Body Sterile Latex</t>
  </si>
  <si>
    <t>MANIFOLD KIT, 1, 500 PSI, RIGHT ORIENTATION, OFF HANDLE, OPEN BODY, STERILE, LATEX</t>
  </si>
  <si>
    <t>MANIFOLD KIT, 1, 500 PSI, RT ORIENTATION, OFF HNDL, OPN BODY, STRL, LTX</t>
  </si>
  <si>
    <t>MANIFOLD KIT, 1, 500 PSI, RT ORIENTATION, OFF HNDL, OPN BODY, STRL</t>
  </si>
  <si>
    <t>MANIFOLD KIT</t>
  </si>
  <si>
    <t>1, 500 PSI</t>
  </si>
  <si>
    <t>https://accessgudid.nlm.nih.gov/devices/00886333207596, https://accessgudid.nlm.nih.gov/devices/00886333207596</t>
  </si>
  <si>
    <t>194100</t>
  </si>
  <si>
    <t>ARGON_194100</t>
  </si>
  <si>
    <t>Ekm Inflation Device Kit</t>
  </si>
  <si>
    <t>PRODIGO1072670</t>
  </si>
  <si>
    <t>EKM INFLATION DEVICE</t>
  </si>
  <si>
    <t>42294909  Endoscopic dilators or inflation devices</t>
  </si>
  <si>
    <t>30 Atm inflation device with analog display and 3-way stopcock PLASTIC 1 PIECE DISP 20CC Sterile Latex</t>
  </si>
  <si>
    <t>DEVICE, INFLATION, 1 PIECE, 30 ATM, 20 CC, KIT, EKM, WITH ANALOG DISPLAY, 3 WAY STOPCOCK, PLASTIC, STERILE, LATEX, DISPOSABLE</t>
  </si>
  <si>
    <t>DEVICE, INFLATION, 1 PC, 30 ATM, 20 CC, KT, EKM, W/ ANALG DISPLAY, 3 W STOPCOCK, PLAS, STRL, LTX, DISP</t>
  </si>
  <si>
    <t>DEVICE, INFLATION, 1 PC, 30 ATM, 20 CC, KT, EKM, ANALG DISPLAY, PLAS</t>
  </si>
  <si>
    <t>DEVICE</t>
  </si>
  <si>
    <t>INFLATION</t>
  </si>
  <si>
    <t>1 PIECE</t>
  </si>
  <si>
    <t>30 ATM</t>
  </si>
  <si>
    <t>20 CC</t>
  </si>
  <si>
    <t>KIT, EKM, WITH ANALOG DISPLAY, 3 WAY STOPCOCK</t>
  </si>
  <si>
    <t>PLASTIC</t>
  </si>
  <si>
    <t>https://assets-global.website-files.com/609d867d872392abfec460b4/6144f7a4c075fa2e7a51bfd8_Argon%20Catalog_US-compressed.pdfhttps://mydevicemd.com/medical-device/ekm-inflation-device, https://accessgudid.nlm.nih.gov/devices/00886333207619</t>
  </si>
  <si>
    <t>194351A</t>
  </si>
  <si>
    <t>ARGON_194351A</t>
  </si>
  <si>
    <t>Manifold Kit 2 Port</t>
  </si>
  <si>
    <t>PRODIGO1072671</t>
  </si>
  <si>
    <t>2 Port Manifold Kit</t>
  </si>
  <si>
    <t>2 Port Manifold Kit Sterile Latex</t>
  </si>
  <si>
    <t>MANIFOLD KIT, 2 PORT, STERILE, LATEX</t>
  </si>
  <si>
    <t>MANIFOLD KIT, 2 PRT, STRL, LTX</t>
  </si>
  <si>
    <t>https://accessgudid.nlm.nih.gov/devices/00886333207787</t>
  </si>
  <si>
    <t>194523C</t>
  </si>
  <si>
    <t>ARGON_194523C</t>
  </si>
  <si>
    <t>Manifold Kit</t>
  </si>
  <si>
    <t>PRODIGO1072672</t>
  </si>
  <si>
    <t>Manifold Kit Sterile Latex</t>
  </si>
  <si>
    <t>MANIFOLD KIT, STERILE, LATEX</t>
  </si>
  <si>
    <t>MANIFOLD KIT, STRL, LTX</t>
  </si>
  <si>
    <t>https://accessgudid.nlm.nih.gov/devices/00886333208128</t>
  </si>
  <si>
    <t>Description Duplicate, Cant Resolve</t>
  </si>
  <si>
    <t>194606H</t>
  </si>
  <si>
    <t>ARGON_194606H</t>
  </si>
  <si>
    <t>PRODIGO1072673</t>
  </si>
  <si>
    <t>https://accessgudid.nlm.nih.gov/devices/00886333208203</t>
  </si>
  <si>
    <t>194607H</t>
  </si>
  <si>
    <t>ARGON_194607H</t>
  </si>
  <si>
    <t>PRODIGO1072674</t>
  </si>
  <si>
    <t>https://accessgudid.nlm.nih.gov/devices/00886333208210</t>
  </si>
  <si>
    <t>195100</t>
  </si>
  <si>
    <t>ARGON_195100</t>
  </si>
  <si>
    <t>Multi-Purpose Biopsy Kit Without Biopsy Needle</t>
  </si>
  <si>
    <t>PRODIGO1072675</t>
  </si>
  <si>
    <t>Multi-Purpose Biopsy Kit (Without Biopsy Needle)</t>
  </si>
  <si>
    <t>Multi-Purpose Biopsy Kit</t>
  </si>
  <si>
    <t>42142543  Biopsy aspirator product accessories</t>
  </si>
  <si>
    <t>Multi-Purpose Biopsy Tray Sterile Latex</t>
  </si>
  <si>
    <t>BIOPSY TRAY, MULTI PURPOSE, KIT, WITHOUT NEEDLE, STERILE, LATEX</t>
  </si>
  <si>
    <t>BIOPSY TRAY, MULT PURP, KT, W/O NDL, STRL, LTX</t>
  </si>
  <si>
    <t>BIOPSY TRAY</t>
  </si>
  <si>
    <t>MULTI PURPOSE</t>
  </si>
  <si>
    <t>KIT, WITHOUT NEEDLE</t>
  </si>
  <si>
    <t>195310</t>
  </si>
  <si>
    <t>ARGON_195310</t>
  </si>
  <si>
    <t>Arterial Needle - AMC/4 - 21GA X 2.75</t>
  </si>
  <si>
    <t>PRODIGO1072676</t>
  </si>
  <si>
    <t>AMC/4 Arterial NeedleGÇô21ga x 2.75GÇ¥ (7cm)</t>
  </si>
  <si>
    <t>Arterial Needle</t>
  </si>
  <si>
    <t>42142503  Arterial needles</t>
  </si>
  <si>
    <t>A4215</t>
  </si>
  <si>
    <t>NEEDLE, STERILE, ANY SIZE, EACH</t>
  </si>
  <si>
    <t>21G X 2.75 (7CM) AMC/4 ARTERIAL NEEDLE (FOR 0.018 - 0.021 GUIDE WIRE)</t>
  </si>
  <si>
    <t>NEEDLE, ARTERIAL, AMC/4, 21 GAX7 CM, THIN WALL SHORT BEVEL NEEDLE, CLEAR FLASH BACK HUB, EXTRA THIN WALL NEEDLE, STERILE, LATEX</t>
  </si>
  <si>
    <t>NEEDLE, ART, AMC/4, 21 GAX7 CM, THN WALL SHT BVL NDL, CLR FLSH BK HUB, X THN WALL NDL, STRL, LTX</t>
  </si>
  <si>
    <t>NEEDLE, ART, AMC/4, 21 GAX7 CM, THN WALL SHT BVL NDL, FLSH BK HUB</t>
  </si>
  <si>
    <t>NEEDLE</t>
  </si>
  <si>
    <t>AMC/4</t>
  </si>
  <si>
    <t>21 GAX7 CM</t>
  </si>
  <si>
    <t>THIN WALL SHORT BEVEL NEEDLE, CLEAR FLASH BACK HUB, EXTRA THIN WALL NEEDLE</t>
  </si>
  <si>
    <t>http://www.med-x.com/pdf/ArterialNeedles.pdf</t>
  </si>
  <si>
    <t>https://accessgudid.nlm.nih.gov/devices/00886333208364</t>
  </si>
  <si>
    <t>195311</t>
  </si>
  <si>
    <t>ARGON_195311</t>
  </si>
  <si>
    <t>Arterial Needle - AMC/3 - 21GA X 1</t>
  </si>
  <si>
    <t>PRODIGO1072677</t>
  </si>
  <si>
    <t>AMC/3 Arterial Needle GÇô 21ga x 1GÇ¥  (2.5cm)</t>
  </si>
  <si>
    <t>21G X 1.0 (2.5CM) AMC/3 ARTERIAL NEEDLE (FOR 0.018 - 0.021 GUIDE WIRE)</t>
  </si>
  <si>
    <t>NEEDLE, ARTERIAL, AMC/3, 21 GAX2.5 CM, THIN WALL SHORT BEVEL NEEDLE, WITH REMOVABLE WINGED NEEDLE ADAPTER, STERILE, LATEX</t>
  </si>
  <si>
    <t>NEEDLE, ART, AMC/3, 21 GAX2.5 CM, THN WALL SHT BVL NDL, W/ REMOVABLE WNG NDL ADPT, STRL, LTX</t>
  </si>
  <si>
    <t>NEEDLE, ART, AMC/3, 21 GAX2.5 CM, THN WALL SHT BVL NDL, STRL, LTX</t>
  </si>
  <si>
    <t>AMC/3</t>
  </si>
  <si>
    <t>21 GAX2.5 CM</t>
  </si>
  <si>
    <t>THIN WALL SHORT BEVEL NEEDLE, WITH REMOVABLE WINGED NEEDLE ADAPTER</t>
  </si>
  <si>
    <t>https://accessgudid.nlm.nih.gov</t>
  </si>
  <si>
    <t>195312</t>
  </si>
  <si>
    <t>ARGON_195312</t>
  </si>
  <si>
    <t>Arterial Needle - AMC/3 - 18GA X 2.75</t>
  </si>
  <si>
    <t>PRODIGO1072678</t>
  </si>
  <si>
    <t>AMC/3 Arterial NeedleGÇô18ga x 2.75GÇ¥ (7cm)</t>
  </si>
  <si>
    <t>18G X 2.75 (7 CM) AMC/3 ARTERIAL NEEDLE (FOR 0.032 - 0.038 GUIDE WIRE)</t>
  </si>
  <si>
    <t>NEEDLE, ARTERIAL, AMC/3, 18 GAX7 CM, THIN WALL SHORT BEVEL NEEDLE, WITH REMOVABLE WINGED NEEDLE ADAPTER, STERILE, LATEX</t>
  </si>
  <si>
    <t>NEEDLE, ART, AMC/3, 18 GAX7 CM, THN WALL SHT BVL NDL, W/ REMOVABLE WNG NDL ADPT, STRL, LTX</t>
  </si>
  <si>
    <t>NEEDLE, ART, AMC/3, 18 GAX7 CM, THN WALL SHT BVL NDL, STRL, LTX</t>
  </si>
  <si>
    <t>18 GAX7 CM</t>
  </si>
  <si>
    <t>195317</t>
  </si>
  <si>
    <t>ARGON_195317</t>
  </si>
  <si>
    <t>Arterial Needle - AMC/4 - 18GA X 1.5</t>
  </si>
  <si>
    <t>PRODIGO1072679</t>
  </si>
  <si>
    <t>AMC/4 Arterial NeedleGÇô18ga x 1.5GÇ¥ (3.8cm)</t>
  </si>
  <si>
    <t>18G X 1.5 (3.8CM) AMC/4 ARTERIAL NEEDLE (FOR 0.032 - 0.038 GUIDE WIRE)</t>
  </si>
  <si>
    <t>NEEDLE, ARTERIAL, AMC/4, 18 GAX3.8 CM, THIN WALL SHORT BEVEL NEEDLE, CLEAR FLASH BACK HUB, EXTRA THIN WALL NEEDLE, STERILE, LATEX</t>
  </si>
  <si>
    <t>NEEDLE, ART, AMC/4, 18 GAX3.8 CM, THN WALL SHT BVL NDL, CLR FLSH BK HUB, X THN WALL NDL, STRL, LTX</t>
  </si>
  <si>
    <t>NEEDLE, ART, AMC/4, 18 GAX3.8 CM, THN WALL SHT BVL NDL, STRL, LTX</t>
  </si>
  <si>
    <t>18 GAX3.8 CM</t>
  </si>
  <si>
    <t>195319</t>
  </si>
  <si>
    <t>ARGON_195319</t>
  </si>
  <si>
    <t>Arterial Needle - AMC/4 - 19GA X 1.5</t>
  </si>
  <si>
    <t>PRODIGO1072680</t>
  </si>
  <si>
    <t>AMC/4 Arterial NeedleGÇô19ga x 1.5GÇ¥ (3.8cm)</t>
  </si>
  <si>
    <t>19G X 1.5 (3.8CM) AMC/4 ARTERIAL NEEDLE (FOR 0.025 - 0.028 GUIDE WIRE)</t>
  </si>
  <si>
    <t>NEEDLE, ARTERIAL, AMC/4, 19 GAX3.8 CM, THIN WALL SHORT BEVEL NEEDLE, CLEAR FLASH BACK HUB, EXTRA THIN WALL NEEDLE, STERILE, LATEX</t>
  </si>
  <si>
    <t>NEEDLE, ART, AMC/4, 19 GAX3.8 CM, THN WALL SHT BVL NDL, CLR FLSH BK HUB, X THN WALL NDL, STRL, LTX</t>
  </si>
  <si>
    <t>NEEDLE, ART, AMC/4, 19 GAX3.8 CM, THN WALL SHT BVL NDL, STRL, LTX</t>
  </si>
  <si>
    <t>19 GAX3.8 CM</t>
  </si>
  <si>
    <t>195320</t>
  </si>
  <si>
    <t>ARGON_195320</t>
  </si>
  <si>
    <t>Arterial Needle - AMC/4 - 19GA X 2.25</t>
  </si>
  <si>
    <t>PRODIGO1072681</t>
  </si>
  <si>
    <t>AMC/4 Arterial NeedleGÇô19ga x 2.25GÇ¥ (5.7cm)</t>
  </si>
  <si>
    <t>ARTERIAL NEEDLE</t>
  </si>
  <si>
    <t>NEEDLE, ARTERIAL, AMC/4, 19 GAX5.7 CM, STERILE, LATEX</t>
  </si>
  <si>
    <t>NEEDLE, ART, AMC/4, 19 GAX5.7 CM, STRL, LTX</t>
  </si>
  <si>
    <t>19 GAX5.7 CM</t>
  </si>
  <si>
    <t>https://www.hipaaspace.com/medical_billing/coding/global.unique.medical.device.identification/00886333208432</t>
  </si>
  <si>
    <t>195322</t>
  </si>
  <si>
    <t>ARGON_195322</t>
  </si>
  <si>
    <t>Arterial Needle - AMC/4 - 21GA X 1</t>
  </si>
  <si>
    <t>PRODIGO1072682</t>
  </si>
  <si>
    <t>AMC/4 Arterial NeedleGÇô21ga x 1GÇ¥ (2.5cm)</t>
  </si>
  <si>
    <t>NEEDLE ARTERIAL 21G X 1 WITH LUER HUB</t>
  </si>
  <si>
    <t>NEEDLE, ARTERIAL, AMC/4, 21 GAX2.5 CM, WITH LUER HUB, STERILE, LATEX</t>
  </si>
  <si>
    <t>NEEDLE, ART, AMC/4, 21 GAX2.5 CM, W/ LUER HUB, STRL, LTX</t>
  </si>
  <si>
    <t>WITH LUER HUB</t>
  </si>
  <si>
    <t>https://www.argonmedical.com/product/arterial-needles/, https://www.ciamedical.com/argon-medical-devices-195322-box-needle-arterial-21g-x-1-with-luer-hub-10-bx</t>
  </si>
  <si>
    <t>195323</t>
  </si>
  <si>
    <t>ARGON_195323</t>
  </si>
  <si>
    <t>Arterial Needle - AMC/4 - 21GA X 2</t>
  </si>
  <si>
    <t>PRODIGO1072683</t>
  </si>
  <si>
    <t>AMC/4 Arterial Needle GÇô 21ga x 2GÇ¥ (5.1cm)</t>
  </si>
  <si>
    <t>ARTERIAL NEEDLES - CLEAR FLASHBACK ARTERIAL NEEDLE 21G X 5.1 CM</t>
  </si>
  <si>
    <t>NEEDLE, ARTERIAL, AMC/4, 21 GAX5.1 CM, CLEAR FLASHBACK, STERILE, LATEX</t>
  </si>
  <si>
    <t>NEEDLE, ART, AMC/4, 21 GAX5.1 CM, CLR FLASHBACK, STRL, LTX</t>
  </si>
  <si>
    <t>21 GAX5.1 CM</t>
  </si>
  <si>
    <t>CLEAR FLASHBACK</t>
  </si>
  <si>
    <t>https://www.argonmedical.com/product/arterial-needles/, https://www.graylinemedical.com/products/argon-medical-devices-inc-arterial-needles-clear-flashback-arterial-needle-21g-x-5-1-cm-195323</t>
  </si>
  <si>
    <t>195326</t>
  </si>
  <si>
    <t>ARGON_195326</t>
  </si>
  <si>
    <t>Percutaneous Entry Needle - 18GA X 2.875</t>
  </si>
  <si>
    <t>PRODIGO1072684</t>
  </si>
  <si>
    <t>Percutaneous Entry Needle - 18ga x 2 7/8GÇ¥ (7.3cm)</t>
  </si>
  <si>
    <t>Percutaneous Entry Needle</t>
  </si>
  <si>
    <t>ARTERIAL NEEDLES - PERCUTANEOUS THIN NEEDLE 18G X 7.3 CM</t>
  </si>
  <si>
    <t>NEEDLE, ARTERIAL, PERCUTANEOUS ENTRY, THIN, STERILE, LATEX</t>
  </si>
  <si>
    <t>NEEDLE, ART, PERC ENTRY, THN, STRL, LTX</t>
  </si>
  <si>
    <t>PERCUTANEOUS ENTRY</t>
  </si>
  <si>
    <t>THIN</t>
  </si>
  <si>
    <t>https://www.argonmedical.com/product/arterial-needles/, https://www.graylinemedical.com/products/argon-medical-arterial-needles-percutaneous-thin-needle-18g-x-7-3-cm-195326</t>
  </si>
  <si>
    <t>https://accessgudid.nlm.nih.gov/devices/00886333208463</t>
  </si>
  <si>
    <t>195330</t>
  </si>
  <si>
    <t>ARGON_195330</t>
  </si>
  <si>
    <t>Arterial Needle - AMC/4 - 19GA Utw X 2.75</t>
  </si>
  <si>
    <t>PRODIGO1072685</t>
  </si>
  <si>
    <t>"AMC/4 Arterial Needle 19ga UTW x 2.75"" (7cm)"</t>
  </si>
  <si>
    <t>ARTERIAL NEEDLES</t>
  </si>
  <si>
    <t>NEEDLE, ARTERIAL, AMC/4, 19 GAX7 CM, STERILE, LATEX</t>
  </si>
  <si>
    <t>NEEDLE, ART, AMC/4, 19 GAX7 CM, STRL, LTX</t>
  </si>
  <si>
    <t>19 GAX7 CM</t>
  </si>
  <si>
    <t>https://www.argonmedical.com/product/arterial-needles/</t>
  </si>
  <si>
    <t>195336</t>
  </si>
  <si>
    <t>ARGON_195336</t>
  </si>
  <si>
    <t>Cournand-Style Needle - 18GA X 2.125</t>
  </si>
  <si>
    <t>PRODIGO1072686</t>
  </si>
  <si>
    <t>"Cournand-Style Needle GÇô 18ga x 2.125"" (5.4cm)"</t>
  </si>
  <si>
    <t>Cournand-Style Needle</t>
  </si>
  <si>
    <t>COURNAND STYLE NEEDLE BEVELED AND ROUND ENDED OBTURATOR</t>
  </si>
  <si>
    <t>NEEDLE, ARTERIAL, COURNAND STYLE, 18 GAX5.4 CM, OUTER THIN WALL TAPERED CANNULA, INNER ARTERIAL BEVELED, AND ROUND ENDED OBTURATOR, STERILE, LATEX</t>
  </si>
  <si>
    <t>NEEDLE, ART, CRD STYL, 18 GAX5.4 CM, OUTER THN WALL TAPR CANN, INNR ART BVL, &amp; RND END OBTURATOR, STRL, LTX</t>
  </si>
  <si>
    <t>NEEDLE, ART, CRD STYL, 18 GAX5.4 CM, OUTER THN WALL TAPR CANN</t>
  </si>
  <si>
    <t>COURNAND STYLE</t>
  </si>
  <si>
    <t>18 GAX5.4 CM</t>
  </si>
  <si>
    <t>OUTER THIN WALL TAPERED CANNULA, INNER ARTERIAL BEVELED, AND ROUND ENDED OBTURATOR</t>
  </si>
  <si>
    <t>https://res.onemed.com/SE/Produktblad/1115842.pdf</t>
  </si>
  <si>
    <t>195350</t>
  </si>
  <si>
    <t>ARGON_195350</t>
  </si>
  <si>
    <t>Modified Cournand Needle - 18GA X 2.125</t>
  </si>
  <si>
    <t>PRODIGO1072687</t>
  </si>
  <si>
    <t>"Modified Cournand Styled Needle GÇô 18ga x 2.125"" (5.4cm)"</t>
  </si>
  <si>
    <t>Modified Cournand Styled Needle</t>
  </si>
  <si>
    <t>MODIFIED COURNAND STYLE NEEDLE BEVELED AND ROUND ENDED OBTURATOR</t>
  </si>
  <si>
    <t>NEEDLE, ARTERIAL, MODIFIED COURNAND STYLE, 18 GAX5.4 CM, OUTER THIN WALL TAPERED CANNULA AND INNER ARTERIAL BEVELED NEEDLE, STERILE, LATEX</t>
  </si>
  <si>
    <t>NEEDLE, ART, MOD CRD STYL, 18 GAX5.4 CM, OUTER THN WALL TAPR CANN &amp; INNR ART BVL NDL, STRL, LTX</t>
  </si>
  <si>
    <t>NEEDLE, ART, MOD CRD STYL, 18 GAX5.4 CM, OUTER THN WALL TAPR</t>
  </si>
  <si>
    <t>MODIFIED COURNAND STYLE</t>
  </si>
  <si>
    <t>OUTER THIN WALL TAPERED CANNULA AND INNER ARTERIAL BEVELED NEEDLE</t>
  </si>
  <si>
    <t>195353</t>
  </si>
  <si>
    <t>ARGON_195353</t>
  </si>
  <si>
    <t>Arterial Needle - AMC/4 - 18GA X 2</t>
  </si>
  <si>
    <t>PRODIGO1072689</t>
  </si>
  <si>
    <t>AMC/4 Arterial Needle GÇô 18ga x 2GÇ¥ (5.1cm)</t>
  </si>
  <si>
    <t>ARTERIAL NEEDLE - AMC/4 - 18GA X 2</t>
  </si>
  <si>
    <t>NEEDLE, ARTERIAL, AMC/4, 18 GAX2 CM, STERILE, LATEX</t>
  </si>
  <si>
    <t>NEEDLE, ART, AMC/4, 18 GAX2 CM, STRL, LTX</t>
  </si>
  <si>
    <t>18 GAX2 CM</t>
  </si>
  <si>
    <t>https://accessgudid.nlm.nih.gov/devices/00886333208524</t>
  </si>
  <si>
    <t>195355</t>
  </si>
  <si>
    <t>ARGON_195355</t>
  </si>
  <si>
    <t>PRODIGO1072690</t>
  </si>
  <si>
    <t>ARTERIAL NEEDLE AMC/4 2-3/4 INCH LENGTH 19 GAUGE REGULAR WALL WITHOUT SAFETY</t>
  </si>
  <si>
    <t>NEEDLE, ARTERIAL, AMC/4, 19 GAX2.75 CM, REGULAR BEVEL, REGULAR WALL WITHOUT SAFETY, STERILE, LATEX</t>
  </si>
  <si>
    <t>NEEDLE, ART, AMC/4, 19 GAX2.75 CM, REG BVL, REG WALL W/O SAFETY, STRL, LTX</t>
  </si>
  <si>
    <t>NEEDLE, ART, AMC/4, 19 GAX2.75 CM, REG BVL, REG WALL W/O SAFETY</t>
  </si>
  <si>
    <t>19 GAX2.75 CM</t>
  </si>
  <si>
    <t>REGULAR BEVEL, REGULAR WALL WITHOUT SAFETY</t>
  </si>
  <si>
    <t>https://www.argonmedical.com/product/arterial-needles/, https://mms.mckesson.com/product/678425/Argon-Medical-195355</t>
  </si>
  <si>
    <t>196590</t>
  </si>
  <si>
    <t>ARGON_196590</t>
  </si>
  <si>
    <t>Stopcock - 3 Way W/ Rotating Adapter1050PSI</t>
  </si>
  <si>
    <t>PRODIGO1072691</t>
  </si>
  <si>
    <t>3 Way Stopcock w/ Rotating Adapter(1050psi)</t>
  </si>
  <si>
    <t>A4223</t>
  </si>
  <si>
    <t>INFUSION SUPPLIES NOT USED WITH EXTERNAL INFUSION PUMP, PER CASSETTE OR BAG (LIST DRUGS SEPARATELY)</t>
  </si>
  <si>
    <t xml:space="preserve">3-WAY STOPCOCK ROTATING ADAPTER HIGH PRESSURE STOPCOCK </t>
  </si>
  <si>
    <t>STOPCOCK, INTRAVENOUS, 3 WAY, 1050 PSI, WITH ROTATING ADAPTER, STERILE, LATEX</t>
  </si>
  <si>
    <t>STOPCOCK, IV, 3 W, 1050 PSI, W/ ROTATING ADPT, STRL, LTX</t>
  </si>
  <si>
    <t>1050 PSI</t>
  </si>
  <si>
    <t>WITH ROTATING ADAPTER</t>
  </si>
  <si>
    <t>https://mydevicemd.com/medical-device/manifolds</t>
  </si>
  <si>
    <t>https://accessgudid.nlm.nih.gov/devices/00886333208661</t>
  </si>
  <si>
    <t>197248</t>
  </si>
  <si>
    <t>ARGON_197248</t>
  </si>
  <si>
    <t>Contrast Injection Line</t>
  </si>
  <si>
    <t>PRODIGO1072692</t>
  </si>
  <si>
    <t>"Contrast Injection Line 48"" (122cm) M/F (PVC) 1000 PSI"</t>
  </si>
  <si>
    <t>CONTRAST INJECTION LINE 48 (122CM) M/F (PVC) 1000 PSI</t>
  </si>
  <si>
    <t>LINE, CONTRAST INJECTION, 1000 PSI, 48 IN, MALE TO FEMALE LUER LOCK, PVC, STERILE, LATEX</t>
  </si>
  <si>
    <t>LINE, CNTRST INJ, 1000 PSI, 48 IN, M TO FEMALE LUER LCK, PVC, STRL, LTX</t>
  </si>
  <si>
    <t>LINE, CNTRST INJ, 1000 PSI, 48 IN, M TO FEMALE LUER LCK, PVC, STRL</t>
  </si>
  <si>
    <t>1000 PSI</t>
  </si>
  <si>
    <t>MALE TO FEMALE LUER LOCK</t>
  </si>
  <si>
    <t>https://accessgudid.nlm.nih.gov/devices/00886333208678</t>
  </si>
  <si>
    <t>197540</t>
  </si>
  <si>
    <t>ARGON_197540</t>
  </si>
  <si>
    <t>Argo Bagz Fluid Management Systems With Universal Drip Chamber</t>
  </si>
  <si>
    <t>PRODIGO1072693</t>
  </si>
  <si>
    <t>Argo Bagz Fluid Management Systems</t>
  </si>
  <si>
    <t>42296402  Endoscopic fluid management systems or accessories</t>
  </si>
  <si>
    <t>ARGO BAGZ FLUID MANAGEMENT SYSTEMS WITH UNIVERSAL DRIP CHAMBER</t>
  </si>
  <si>
    <t>SYSTEM, FLUID MANAGEMENT, 72 IN, 1500 ML, DUAL CHECK VALVE, UNIVERSAL DROP CHAMBER, LARGE BORE TUBING, PVC BAG, STERILE, ARGO-BAGZ, LATEX</t>
  </si>
  <si>
    <t>SYSTEM, FLUID MGMT, 72 IN, 1500 ML, 2 CHECK VLV, UNIV GTT CHMBR, LG BOR TBNG, PVC BG, STRL, ARGO-BAGZ, LTX</t>
  </si>
  <si>
    <t>SYSTEM, FLUID MGMT, 72 IN, 1500 ML, 2 CHECK VLV, STRL, ARGO-BAGZ</t>
  </si>
  <si>
    <t>SYSTEM</t>
  </si>
  <si>
    <t>FLUID MANAGEMENT</t>
  </si>
  <si>
    <t>1500 ML</t>
  </si>
  <si>
    <t>DUAL CHECK VALVE, UNIVERSAL DROP CHAMBER, LARGE BORE TUBING, PVC BAG</t>
  </si>
  <si>
    <t>ARGO-BAGZ</t>
  </si>
  <si>
    <t>https://accessgudid.nlm.nih.gov/devices/00886333208722</t>
  </si>
  <si>
    <t>197560</t>
  </si>
  <si>
    <t>ARGON_197560</t>
  </si>
  <si>
    <t>Argo Bagz Fluid Management Systems With One Way Valve</t>
  </si>
  <si>
    <t>PRODIGO1072694</t>
  </si>
  <si>
    <t>ARGO BAGZ FLUID MANAGEMENT SYSTEMS WITH ONE WAY VALVE</t>
  </si>
  <si>
    <t>SYSTEM, FLUID MANAGEMENT, 72 IN, 1500 ML, 1 WAY CHECK VALVE, LARGE BORE TUBING, PVC BAG, STERILE, ARGO-BAGZ, LATEX</t>
  </si>
  <si>
    <t>SYSTEM, FLUID MGMT, 72 IN, 1500 ML, 1 W CHECK VLV, LG BOR TBNG, PVC BG, STRL, ARGO-BAGZ, LTX</t>
  </si>
  <si>
    <t>SYSTEM, FLUID MGMT, 72 IN, 1500 ML, 1 W CHECK VLV, STRL, ARGO-BAGZ</t>
  </si>
  <si>
    <t>1 WAY CHECK VALVE, LARGE BORE TUBING, PVC BAG</t>
  </si>
  <si>
    <t>https://accessgudid.nlm.nih.gov/devices</t>
  </si>
  <si>
    <t>197580</t>
  </si>
  <si>
    <t>ARGON_197580</t>
  </si>
  <si>
    <t>Argo Bagz Fluid Management Systems With Dual Spikes 3 Way Stopcock</t>
  </si>
  <si>
    <t>PRODIGO1072695</t>
  </si>
  <si>
    <t>ARGO BAGZ FLUID MANAGEMENT SYSTEMS WITH DUAL SPIKES 3 WAY STOPCOCK</t>
  </si>
  <si>
    <t>SYSTEM, FLUID MANAGEMENT, 72 IN, 1500 ML, DUAL SPIKE, VENTED UNIVERSAL SPIKE, CONTRAST SPIKE AND DUAL CHECK VALVE WITH 3-WAY STOPCOCK, STERILE, ARGO-BAGZ, LATEX</t>
  </si>
  <si>
    <t>SYSTEM, FLUID MGMT, 72 IN, 1500 ML, 2 SPIKE, VENTED UNIV SPIKE, CNTRST SPIKE &amp; 2 CHECK VLV W/ 3W STOPCOCK, STRL, ARGO-BAGZ, LTX</t>
  </si>
  <si>
    <t>SYSTEM, FLUID MGMT, 72 IN, 1500 ML, 2 SPIKE, VENTED, ARGO-BAGZ</t>
  </si>
  <si>
    <t>DUAL SPIKE, VENTED UNIVERSAL SPIKE, CONTRAST SPIKE AND DUAL CHECK VALVE WITH 3-WAY STOPCOCK</t>
  </si>
  <si>
    <t>197590</t>
  </si>
  <si>
    <t>ARGON_197590</t>
  </si>
  <si>
    <t>Argo Bagz Fluid Management Systems With Male Extension</t>
  </si>
  <si>
    <t>PRODIGO1072696</t>
  </si>
  <si>
    <t>ARGO BAGZ FLUID MANAGEMENT SYSTEMS WITH MALE EXTENSION</t>
  </si>
  <si>
    <t>SYSTEM, FLUID MANAGEMENT, 36 IN, 72 IN, 1500 ML, MALE EXTENSION, MALE CONNECTOR, DUAL CHECK VALVE, STERILE, ARGO-BAGZ, LATEX</t>
  </si>
  <si>
    <t>SYSTEM, FLUID MGMT, 36 IN, 72 IN, 1500 ML, M EXTN, M CONN, 2 CHECK VLV, STRL, ARGO-BAGZ, LTX</t>
  </si>
  <si>
    <t>SYSTEM, FLUID MGMT, 36 IN, 72 IN, 1500 ML, M EXTN, ARGO-BAGZ</t>
  </si>
  <si>
    <t>36 IN</t>
  </si>
  <si>
    <t>MALE EXTENSION, MALE CONNECTOR, DUAL CHECK VALVE</t>
  </si>
  <si>
    <t>197611</t>
  </si>
  <si>
    <t>ARGON_197611</t>
  </si>
  <si>
    <t>Argo Bagz Fluid Management Systems With Dual Spikes 2Ea</t>
  </si>
  <si>
    <t>PRODIGO1072697</t>
  </si>
  <si>
    <t>ARGO BAGZ FLUID MANAGEMENT SYSTEMS WITH DUAL SPIKES 2EA</t>
  </si>
  <si>
    <t>SYSTEM, FLUID MGMT, 72 IN, 1500 ML, 2 SPIKE, VENTED ARGO-BAGZ</t>
  </si>
  <si>
    <t>197640</t>
  </si>
  <si>
    <t>ARGON_197640</t>
  </si>
  <si>
    <t>Stopcock - 6 Iv Line</t>
  </si>
  <si>
    <t>PRODIGO1072698</t>
  </si>
  <si>
    <t>"6"" IV Line w/ Stopcock"</t>
  </si>
  <si>
    <t>IV Line w/ Stopcock</t>
  </si>
  <si>
    <t>IV SPIKE ARGON® IV ADMIN LINE W/STOPCOCK 6</t>
  </si>
  <si>
    <t>LINE, INTRAVENOUS, WITH STOPCOCK, 6 IN, VENTED CONTRAST MANAGEMENT, 1 WAY STOPCOCK, STERILE, LATEX</t>
  </si>
  <si>
    <t>LINE, IV, W/ STOPCOCK, 6 IN, VENTED CNTRST MGMT, 1 W STOPCOCK, STRL, LTX</t>
  </si>
  <si>
    <t>LINE, IV, W/ STOPCOCK, 6 IN, VENTED CNTRST MGMT, 1 W STOPCOCK</t>
  </si>
  <si>
    <t>WITH STOPCOCK</t>
  </si>
  <si>
    <t>VENTED CONTRAST MANAGEMENT, 1 WAY STOPCOCK</t>
  </si>
  <si>
    <t>https://mms.mckesson.com/product/1060752/Argon-Medical-197640</t>
  </si>
  <si>
    <t>https://accessgudid.nlm.nih.gov/devices/00886333208814</t>
  </si>
  <si>
    <t>197641</t>
  </si>
  <si>
    <t>ARGON_197641</t>
  </si>
  <si>
    <t>72 Fluid Delivery System</t>
  </si>
  <si>
    <t>PRODIGO1072699</t>
  </si>
  <si>
    <t>"72"" Fluid Delivery System"</t>
  </si>
  <si>
    <t>Fluid Delivery System</t>
  </si>
  <si>
    <t>72 FLUID DELIVERY SYSTEM</t>
  </si>
  <si>
    <t>SYSTEM, FLUID DELIVERY, 72 IN, 30 ML, 1 WAY CHECK VALVE, LUER LOCK SYRINGE, STERILE, LATEX</t>
  </si>
  <si>
    <t>SYSTEM, FLUID DEL, 72 IN, 30 ML, 1 W CHECK VLV, LUER LCK SYR, STRL, LTX</t>
  </si>
  <si>
    <t>SYSTEM, FLUID DEL, 72 IN, 30 ML, 1 W CHECK VLV, LUER LCK SYR</t>
  </si>
  <si>
    <t>FLUID DELIVERY</t>
  </si>
  <si>
    <t>30 ML</t>
  </si>
  <si>
    <t>1 WAY CHECK VALVE, LUER LOCK SYRINGE</t>
  </si>
  <si>
    <t>https://accessgudid.nlm.nih.gov/devices/00886333208821</t>
  </si>
  <si>
    <t>197643</t>
  </si>
  <si>
    <t>ARGON_197643</t>
  </si>
  <si>
    <t>6 Vented IV Spike Assembly</t>
  </si>
  <si>
    <t>PRODIGO1072700</t>
  </si>
  <si>
    <t>"6"" Vented IV Spike Assembly"</t>
  </si>
  <si>
    <t>Vented IV Spike Assembly</t>
  </si>
  <si>
    <t>42221600  Intravenous and arterial tubing and administration sets and related products</t>
  </si>
  <si>
    <t>6 VENTED IV SPIKE ASSEMBLY</t>
  </si>
  <si>
    <t>SPIKE, INTRAVENOUS, 6 IN, VENTED CONTRAST MANAGEMENT, ASSEMBLY, STERILE, LATEX</t>
  </si>
  <si>
    <t>SPIKE, IV, 6 IN, VENTED CNTRST MGMT, ASMBLY, STRL, LTX</t>
  </si>
  <si>
    <t>SPIKE</t>
  </si>
  <si>
    <t>VENTED CONTRAST MANAGEMENT, ASSEMBLY</t>
  </si>
  <si>
    <t>197652</t>
  </si>
  <si>
    <t>ARGON_197652</t>
  </si>
  <si>
    <t>30ML Contrast Set</t>
  </si>
  <si>
    <t>PRODIGO1072701</t>
  </si>
  <si>
    <t>30ml Contrast Set</t>
  </si>
  <si>
    <t>Contrast Set</t>
  </si>
  <si>
    <t>30ML CONTRAST SET</t>
  </si>
  <si>
    <t>SYSTEM, FLUID MANAGEMENT, CONTRAST CONTROL, 72 IN, 30 ML, LARGE BORE TUBING, 1 WAY CHECK VALVE, VENTED CHAMBER, 3 WAY STOPCOCK, FIXED MALE LUER, STERILE, LATEX</t>
  </si>
  <si>
    <t>SYSTEM, FLUID MGMT, CNTRST CTRL, 72 IN, 30 ML, LG BOR TBNG, 1 W CHECK VLV, VENTED CHMBR, 3 W STOPCOCK, FIX M LUER, STRL, LTX</t>
  </si>
  <si>
    <t>SYSTEM, FLUID MGMT, CNTRST CTRL, 72 IN, 30 ML, LG BOR TBNG</t>
  </si>
  <si>
    <t>CONTRAST CONTROL</t>
  </si>
  <si>
    <t>LARGE BORE TUBING, 1 WAY CHECK VALVE, VENTED CHAMBER, 3 WAY STOPCOCK, FIXED MALE LUER</t>
  </si>
  <si>
    <t>https://accessgudid.nlm.nih.gov/devices/00886333208883</t>
  </si>
  <si>
    <t>197653</t>
  </si>
  <si>
    <t>ARGON_197653</t>
  </si>
  <si>
    <t>Stopcock - 30Ml Burette Set W/ 60 Line</t>
  </si>
  <si>
    <t>PRODIGO1072702</t>
  </si>
  <si>
    <t>"30ml Burette Set w/ Stopcock &amp; 60"" Line"</t>
  </si>
  <si>
    <t>STOPCOCK - 30ML BURETTE SET W/ 60 LINE</t>
  </si>
  <si>
    <t>SYSTEM, FLUID MANAGEMENT, CONTRAST CONTROL, 60 IN, 30 ML, LARGE BORE TUBING, 1 WAY CHECK VALVE, BURETTE CHAMBER, 1-WAY STOPCOCK, 3-WAY STOPCOCK AND FIXED MALE LUER, STERILE, LATEX</t>
  </si>
  <si>
    <t>SYSTEM, FLUID MGMT, CNTRST CTRL, 60 IN, 30 ML, LG BOR TBNG, 1 W CHECK VLV, BURET CHMBR, 1W STOPCOCK, 3W STOPCOCK &amp; FIX M LUER, STRL, LTX</t>
  </si>
  <si>
    <t>SYSTEM, FLUID MGMT, CNTRST CTRL, 60 IN, 30 ML, LG BOR TBNG</t>
  </si>
  <si>
    <t>LARGE BORE TUBING, 1 WAY CHECK VALVE, BURETTE CHAMBER, 1-WAY STOPCOCK, 3-WAY STOPCOCK AND FIXED MALE LUER</t>
  </si>
  <si>
    <t>https://accessgudid.nlm.nih.gov/devices/00886333208890</t>
  </si>
  <si>
    <t>197822</t>
  </si>
  <si>
    <t>ARGON_197822</t>
  </si>
  <si>
    <t>Pressure Monitoring Line Neonatal  72183CM Connectors: Male/Female Material: PVC</t>
  </si>
  <si>
    <t>PRODIGO1072703</t>
  </si>
  <si>
    <t>"Pressure Monitoring Line Neonatal 72""(183cm) M/F PVC"</t>
  </si>
  <si>
    <t>PRESSURE MONITORING LINE NEONATAL 72(183CM) M/F PVC</t>
  </si>
  <si>
    <t>LINE, PRESSURE MONITORING, 72 IN, MALE TO FEMALE LUER LOCK, PVC, STERILE, LATEX</t>
  </si>
  <si>
    <t>LINE, PRESSURE MONITORING, 72 IN, M TO FEMALE LUER LCK, PVC, STRL, LTX</t>
  </si>
  <si>
    <t>LINE, PRESSURE MONITORING, 72 IN, M TO FEMALE LUER LCK, PVC</t>
  </si>
  <si>
    <t>https://accessgudid.nlm.nih.gov/devices/00886333208944</t>
  </si>
  <si>
    <t>197823</t>
  </si>
  <si>
    <t>ARGON_197823</t>
  </si>
  <si>
    <t>Medication Label Set</t>
  </si>
  <si>
    <t>PRODIGO1072704</t>
  </si>
  <si>
    <t>MLK Identification Labels with Marker</t>
  </si>
  <si>
    <t>Identification Labels</t>
  </si>
  <si>
    <t>42295481  Surgical medication safety labeling or preprinted label kit or set</t>
  </si>
  <si>
    <t>MEDICATION LABEL SET</t>
  </si>
  <si>
    <t>MEDICATION LABELING KIT, WITH PEN, PRE-PRINTED, MOISTURE RESISTANT LABELS AND A PERMANENT MARKER, STERILE, LATEX</t>
  </si>
  <si>
    <t>MEDICATION LABELING KIT, W/ PEN, PRE-PRINTED, MOIST RESIST LBL &amp; A PERM MARKER, STRL, LTX</t>
  </si>
  <si>
    <t>MEDICATION LABELING KIT, W/ PEN, PRE-PRINTED, MOIST RESIST LBL</t>
  </si>
  <si>
    <t>MEDICATION LABELING KIT</t>
  </si>
  <si>
    <t>WITH PEN</t>
  </si>
  <si>
    <t>PRE-PRINTED, MOISTURE RESISTANT LABELS AND A PERMANENT MARKER</t>
  </si>
  <si>
    <t>216057</t>
  </si>
  <si>
    <t>ARGON_216057</t>
  </si>
  <si>
    <t>Hawkins Blunt Needle 16GA X 5CM</t>
  </si>
  <si>
    <t>PRODIGO1072705</t>
  </si>
  <si>
    <t>HawkinsGäó Blunt Needle 16ga x 5cm</t>
  </si>
  <si>
    <t>HawkinsGäó Blunt Needle</t>
  </si>
  <si>
    <t>42294306  Breast localization needles</t>
  </si>
  <si>
    <t>HAWKINS BLUNT NEEDLE 16GA X 5CM</t>
  </si>
  <si>
    <t>NEEDLE, BREAST LOCALIZATION, BLUNT, 16 GAX5 CM, STERILE, HAWKINS, LATEX</t>
  </si>
  <si>
    <t>NEEDLE, BRST LOC, BLNT, 16 GAX5 CM, STRL, HAWKINS, LTX</t>
  </si>
  <si>
    <t>BREAST LOCALIZATION</t>
  </si>
  <si>
    <t>BLUNT</t>
  </si>
  <si>
    <t>16 GAX5 CM</t>
  </si>
  <si>
    <t>HAWKINS</t>
  </si>
  <si>
    <t>https://www.argonmedical.com/wp-content/uploads/2022/09/skater-brochure.pdf</t>
  </si>
  <si>
    <t>https://accessgudid.nlm.nih.gov/devices/00886333003563</t>
  </si>
  <si>
    <t>216157</t>
  </si>
  <si>
    <t>ARGON_216157</t>
  </si>
  <si>
    <t>Hawkins Blunt Needle 16GA X 15CM</t>
  </si>
  <si>
    <t>PRODIGO1072706</t>
  </si>
  <si>
    <t>HawkinsGäó Blunt Needle 16ga x 15cm</t>
  </si>
  <si>
    <t>HAWKINS BLUNT NEEDLE 16GA X 15CM</t>
  </si>
  <si>
    <t>NEEDLE, BREAST LOCALIZATION, BLUNT, 16 GAX15 CM, STERILE, HAWKINS, LATEX</t>
  </si>
  <si>
    <t>NEEDLE, BRST LOC, BLNT, 16 GAX15 CM, STRL, HAWKINS, LTX</t>
  </si>
  <si>
    <t>16 GAX15 CM</t>
  </si>
  <si>
    <t>231050G</t>
  </si>
  <si>
    <t>ARGON_231050G</t>
  </si>
  <si>
    <t>Homer BLN Repositionable 20GA X 5CM</t>
  </si>
  <si>
    <t>PRODIGO1072708</t>
  </si>
  <si>
    <t>Homer BLN 20ga x 5cm</t>
  </si>
  <si>
    <t>Breast Localization Needles</t>
  </si>
  <si>
    <t>BREAST LOCALIZATION NEEDLE 20 GAUGE 5 CM LENGTH</t>
  </si>
  <si>
    <t>NEEDLE, BREAST LOCALIZATION, BLUNT, 20 GAX5 CM, REPOSITIONABLE, J-CURVE NEEDLE, STERILE, HOMER, LATEX</t>
  </si>
  <si>
    <t>NEEDLE, BRST LOC, BLNT, 20 GAX5 CM, REPOSITIONABLE, J-CURVE NDL, STRL, HOMER, LTX</t>
  </si>
  <si>
    <t>NEEDLE, BRST LOC, BLNT, 20 GAX5 CM, REPOSITIONABLE, HOMER</t>
  </si>
  <si>
    <t>20 GAX5 CM</t>
  </si>
  <si>
    <t>REPOSITIONABLE, J-CURVE NEEDLE</t>
  </si>
  <si>
    <t>HOMER</t>
  </si>
  <si>
    <t>https://mms.mckesson.com/product/888054/Argon-Medical-Devices-Md-Tech-231050G</t>
  </si>
  <si>
    <t>242050</t>
  </si>
  <si>
    <t>ARGON_242050</t>
  </si>
  <si>
    <t>Hawkins II Repositionable Hardwire BLN 20GA X 5CM</t>
  </si>
  <si>
    <t>PRODIGO1072711</t>
  </si>
  <si>
    <t>HawkinsGäó II Hardwire BLN 20ga x 5cm</t>
  </si>
  <si>
    <t>HAWKINS II HARDWIRE BLN 20GA X 5CM</t>
  </si>
  <si>
    <t>NEEDLE, BREAST LOCALIZATION, BLUNT, 20 GAX5 CM, REPOSITIONABLE HARDWIRE, STERILE, HAWKINS II, LATEX</t>
  </si>
  <si>
    <t>NEEDLE, BRST LOC, BLNT, 20 GAX5 CM, REPOSITIONABLE HARDWIRE, STRL, HAWKINS II, LTX</t>
  </si>
  <si>
    <t>NEEDLE, BRST LOC, BLNT, 20 GAX5 CM, STRL, HAWKINS II</t>
  </si>
  <si>
    <t>REPOSITIONABLE HARDWIRE</t>
  </si>
  <si>
    <t>HAWKINS II</t>
  </si>
  <si>
    <t>242075</t>
  </si>
  <si>
    <t>ARGON_242075</t>
  </si>
  <si>
    <t>Hawkins II Repositionable Hardwire BLN 20GA X 7.5CM</t>
  </si>
  <si>
    <t>PRODIGO1072712</t>
  </si>
  <si>
    <t>HawkinsGäó II Hardwire BLN 20ga x 7.5cm</t>
  </si>
  <si>
    <t>HAWKINS II HARDWIRE BLN 20GA X 7.5CM</t>
  </si>
  <si>
    <t>NEEDLE, BREAST LOCALIZATION, BLUNT, 20 GAX7.5 CM, REPOSITIONABLE HARDWIRE, STERILE, HAWKINS II, LATEX</t>
  </si>
  <si>
    <t>NEEDLE, BRST LOC, BLNT, 20 GAX7.5 CM, REPOSITIONABLE HARDWIRE, STRL, HAWKINS II, LTX</t>
  </si>
  <si>
    <t>NEEDLE, BRST LOC, BLNT, 20 GAX7.5 CM, STRL, HAWKINS II, LTX</t>
  </si>
  <si>
    <t>20 GAX7.5 CM</t>
  </si>
  <si>
    <t>242100</t>
  </si>
  <si>
    <t>ARGON_242100</t>
  </si>
  <si>
    <t>Hawkins II Repositionable Hardwire BLN 20GA X 10CM</t>
  </si>
  <si>
    <t>PRODIGO1072713</t>
  </si>
  <si>
    <t>HawkinsGäó II Hardwire BLN 20ga x 10cm</t>
  </si>
  <si>
    <t>HAWKINS II HARDWIRE BLN 20GA X 10CM</t>
  </si>
  <si>
    <t>NEEDLE, BREAST LOCALIZATION, BLUNT, 20 GAX10 CM, REPOSITIONABLE HARDWIRE, STERILE, HAWKINS II, LATEX</t>
  </si>
  <si>
    <t>NEEDLE, BRST LOC, BLNT, 20 GAX10 CM, REPOSITIONABLE HARDWIRE, STRL, HAWKINS II, LTX</t>
  </si>
  <si>
    <t>NEEDLE, BRST LOC, BLNT, 20 GAX10 CM, STRL, HAWKINS II, LTX</t>
  </si>
  <si>
    <t>20 GAX10 CM</t>
  </si>
  <si>
    <t>243030</t>
  </si>
  <si>
    <t>ARGON_243030</t>
  </si>
  <si>
    <t>Hawkins III Nonrepositionable Hardwire BLN 20GA X 3CM</t>
  </si>
  <si>
    <t>PRODIGO1072714</t>
  </si>
  <si>
    <t>HawkinsGäó III Hardwire BLN 20ga x 3cm</t>
  </si>
  <si>
    <t>HAWKINS III HARDWIRE BLN 20GA X 3CM</t>
  </si>
  <si>
    <t>NEEDLE, BREAST LOCALIZATION, BLUNT, 20 GAX3 CM, NONREPOSITIONABLE HARDWIRE, STERILE, HAWKINS III, LATEX</t>
  </si>
  <si>
    <t>NEEDLE, BRST LOC, BLNT, 20 GAX3 CM, NONREPOSITIONABLE HARDWIRE, STRL, HAWK3, LTX</t>
  </si>
  <si>
    <t>NEEDLE, BRST LOC, BLNT, 20 GAX3 CM, STRL, HAWK3, LTX</t>
  </si>
  <si>
    <t>20 GAX3 CM</t>
  </si>
  <si>
    <t>NONREPOSITIONABLE HARDWIRE</t>
  </si>
  <si>
    <t>HAWKINS III</t>
  </si>
  <si>
    <t>243050</t>
  </si>
  <si>
    <t>ARGON_243050</t>
  </si>
  <si>
    <t>Hawkins III Nonrepositionable Hardwire BLN 20GA X 5CM</t>
  </si>
  <si>
    <t>PRODIGO1072715</t>
  </si>
  <si>
    <t>HawkinsGäó III Hardwire BLN 20ga x 5cm</t>
  </si>
  <si>
    <t>HAWKINS III HARDWIRE BLN 20GA X 5CM</t>
  </si>
  <si>
    <t>NEEDLE, BREAST LOCALIZATION, BLUNT, 20 GAX5 CM, NONREPOSITIONABLE HARDWIRE, STERILE, HAWKINS III, LATEX</t>
  </si>
  <si>
    <t>NEEDLE, BRST LOC, BLNT, 20 GAX5 CM, NONREPOSITIONABLE HARDWIRE, STRL, HAWK3, LTX</t>
  </si>
  <si>
    <t>NEEDLE, BRST LOC, BLNT, 20 GAX5 CM, STRL, HAWK3, LTX</t>
  </si>
  <si>
    <t>243075</t>
  </si>
  <si>
    <t>ARGON_243075</t>
  </si>
  <si>
    <t>Hawkins III Nonrepositionable Hardwire BLN 20GA X 7.5CM</t>
  </si>
  <si>
    <t>PRODIGO1072716</t>
  </si>
  <si>
    <t>HawkinsGäó III Hardwire BLN 20ga x 7.5cm</t>
  </si>
  <si>
    <t>HAWKINS III HARDWIRE BLN 20GA X 7.5CM</t>
  </si>
  <si>
    <t>NEEDLE, BREAST LOCALIZATION, BLUNT, 20 GAX7.5 CM, NONREPOSITIONABLE HARDWIRE, STERILE, HAWKINS III, LATEX</t>
  </si>
  <si>
    <t>NEEDLE, BRST LOC, BLNT, 20 GAX7.5 CM, NONREPOSITIONABLE HARDWIRE, STRL, HAWK3, LTX</t>
  </si>
  <si>
    <t>NEEDLE, BRST LOC, BLNT, 20 GAX7.5 CM, STRL, HAWK3, LTX</t>
  </si>
  <si>
    <t>243100</t>
  </si>
  <si>
    <t>ARGON_243100</t>
  </si>
  <si>
    <t>Hawkins III Nonrepositionable BLN 20GA X 10CM</t>
  </si>
  <si>
    <t>PRODIGO1072717</t>
  </si>
  <si>
    <t>HawkinsGäó III Hardwire BLN 20ga x 10cm</t>
  </si>
  <si>
    <t>HAWKINS III HARDWIRE BLN 20GA X 10CM</t>
  </si>
  <si>
    <t>NEEDLE, BREAST LOCALIZATION, BLUNT, 20 GAX10 CM, NONREPOSITIONABLE HARDWIRE, STERILE, HAWKINS III, LATEX</t>
  </si>
  <si>
    <t>NEEDLE, BRST LOC, BLNT, 20 GAX10 CM, NONREPOSITIONABLE HARDWIRE, STRL, HAWK3, LTX</t>
  </si>
  <si>
    <t>NEEDLE, BRST LOC, BLNT, 20 GAX10 CM, STRL, HAWK3, LTX</t>
  </si>
  <si>
    <t>244030</t>
  </si>
  <si>
    <t>ARGON_244030</t>
  </si>
  <si>
    <t>Hawkins III Nonrepositionable Hardwire BLN With Echogenic Tip 20GA X 3CM</t>
  </si>
  <si>
    <t>PRODIGO1072718</t>
  </si>
  <si>
    <t>HawkinsGäó III Hardwire BLN with Echogenic Tip 20ga x 3cm</t>
  </si>
  <si>
    <t>HAWKINS III HARDWIRE BLN WITH ECHOGENIC TIP 20GA X 3CM</t>
  </si>
  <si>
    <t>NEEDLE, BREAST LOCALIZATION, BLUNT, 20 GAX3 CM, NONREPOSITIONABLE HARDWIRE WITH ECHOGENIC TIP, STERILE, HAWKINS III, LATEX</t>
  </si>
  <si>
    <t>NEEDLE, BRST LOC, BLNT, 20 GAX3 CM, NONREPOSITIONABLE HARDWIRE W/ ECHOGENIC TIP, STRL, HAWK3, LTX</t>
  </si>
  <si>
    <t>NEEDLE, BRST LOC, BLNT, 20 GAX3 CM, W/ ECHOGENIC TIP, STRL, HAWK3</t>
  </si>
  <si>
    <t>NONREPOSITIONABLE HARDWIRE WITH ECHOGENIC TIP</t>
  </si>
  <si>
    <t>244050</t>
  </si>
  <si>
    <t>ARGON_244050</t>
  </si>
  <si>
    <t>Hawkins III Nonrepositionable Hardwire BLN With Echogenic Tip 20GA X 5CM</t>
  </si>
  <si>
    <t>PRODIGO1072719</t>
  </si>
  <si>
    <t>HawkinsGäó III Hardwire BLN with Echogenic Tip 20ga x 5cm</t>
  </si>
  <si>
    <t>HAWKINS III HARDWIRE BLN WITH ECHOGENIC TIP 20GA X 5CM</t>
  </si>
  <si>
    <t>NEEDLE, BREAST LOCALIZATION, BLUNT, 20 GAX5 CM, NONREPOSITIONABLE HARDWIRE WITH ECHOGENIC TIP, STERILE, HAWKINS III, LATEX</t>
  </si>
  <si>
    <t>NEEDLE, BRST LOC, BLNT, 20 GAX5 CM, NONREPOSITIONABLE HARDWIRE W/ ECHOGENIC TIP, STRL, HAWK3, LTX</t>
  </si>
  <si>
    <t>NEEDLE, BRST LOC, BLNT, 20 GAX5 CM, W/ ECHOGENIC TIP, STRL, HAWK3</t>
  </si>
  <si>
    <t>244075</t>
  </si>
  <si>
    <t>ARGON_244075</t>
  </si>
  <si>
    <t>Hawkins III Nonrepositionable Hardwire BLN With Echogenic Tip 20GA X 7.5CM</t>
  </si>
  <si>
    <t>PRODIGO1072720</t>
  </si>
  <si>
    <t>HawkinsGäó III Hardwire BLN with Echogenic Tip 20ga x 7.5cm</t>
  </si>
  <si>
    <t>HAWKINS III HARDWIRE BLN WITH ECHOGENIC TIP 20GA X 7.5CM</t>
  </si>
  <si>
    <t>NEEDLE, BREAST LOCALIZATION, BLUNT, 20 GAX7.5 CM, NONREPOSITIONABLE HARDWIRE WITH ECHOGENIC TIP, STERILE, HAWKINS III, LATEX</t>
  </si>
  <si>
    <t>NEEDLE, BRST LOC, BLNT, 20 GAX7.5 CM, NONREPOSITIONABLE HARDWIRE W/ ECHOGENIC TIP, STRL, HAWK3, LTX</t>
  </si>
  <si>
    <t>NEEDLE, BRST LOC, BLNT, 20 GAX7.5 CM, W/ ECHOGENIC TIP, HAWK3</t>
  </si>
  <si>
    <t>244100</t>
  </si>
  <si>
    <t>ARGON_244100</t>
  </si>
  <si>
    <t>Hawkins III Nonrepositionable Hardwire BLN With Echogenic Tip 20GA X 10CM</t>
  </si>
  <si>
    <t>PRODIGO1072721</t>
  </si>
  <si>
    <t>HawkinsGäó III Hardwire BLN with Echogenic Tip 20ga x 10cm</t>
  </si>
  <si>
    <t>HAWKINS III HARDWIRE BLN WITH ECHOGENIC TIP 20GA X 10CM</t>
  </si>
  <si>
    <t>NEEDLE, BREAST LOCALIZATION, BLUNT, 20 GAX10 CM, NONREPOSITIONABLE HARDWIRE WITH ECHOGENIC TIP, STERILE, HAWKINS III, LATEX</t>
  </si>
  <si>
    <t>NEEDLE, BRST LOC, BLNT, 20 GAX10 CM, NONREPOSITIONABLE HARDWIRE W/ ECHOGENIC TIP, STRL, HAWK3, LTX</t>
  </si>
  <si>
    <t>NEEDLE, BRST LOC, BLNT, 20 GAX10 CM, W/ ECHOGENIC TIP, STRL, HAWK3</t>
  </si>
  <si>
    <t>266050</t>
  </si>
  <si>
    <t>ARGON_266050</t>
  </si>
  <si>
    <t>Accura Sadowsky Style  Nonrepositionable Stiffening Cannula20GA X 5CM</t>
  </si>
  <si>
    <t>PRODIGO1072722</t>
  </si>
  <si>
    <t>AccuraGäó II BLN with Stiffening Cannula 20ga x 5cm</t>
  </si>
  <si>
    <t>ACCURA II BLN WITH STIFFENING CANNULA 20GA X 5CM</t>
  </si>
  <si>
    <t>NEEDLE, BREAST LOCALIZATION, BLUNT, 20 GAX5 CM, SADOWSKY STYLE, NONREPOSITIONABLE STIFFENING CANNULA, STERILE, ACCURA, LATEX</t>
  </si>
  <si>
    <t>NEEDLE, BRST LOC, BLNT, 20 GAX5 CM, SADOWSKY STYL, NONREPOSITIONABLE STIFFENING CANN, STRL, ACCURA, LTX</t>
  </si>
  <si>
    <t>NEEDLE, BRST LOC, BLNT, 20 GAX5 CM, SADOWSKY STYL, STRL, ACCURA</t>
  </si>
  <si>
    <t>SADOWSKY STYLE, NONREPOSITIONABLE STIFFENING CANNULA</t>
  </si>
  <si>
    <t>ACCURA</t>
  </si>
  <si>
    <t>https://accessgudid.nlm.nih.gov/devices/00886333003945</t>
  </si>
  <si>
    <t>266075</t>
  </si>
  <si>
    <t>ARGON_266075</t>
  </si>
  <si>
    <t>Accura Sadowsky Style  Nonrepositionable Stiffening Cannula20GA X 7.5CM</t>
  </si>
  <si>
    <t>PRODIGO1072723</t>
  </si>
  <si>
    <t>AccuraGäó II BLN with Stiffening Cannula 20ga x 7.5cm</t>
  </si>
  <si>
    <t>ACCURA II BLN WITH STIFFENING CANNULA 20GA X 7.5CM</t>
  </si>
  <si>
    <t>NEEDLE, BREAST LOCALIZATION, BLUNT, 20 GAX7.5 CM, SADOWSKY STYLE, NONREPOSITIONABLE STIFFENING CANNULA, STERILE, ACCURA, LATEX</t>
  </si>
  <si>
    <t>NEEDLE, BRST LOC, BLNT, 20 GAX7.5 CM, SADOWSKY STYL, NONREPOSITIONABLE STIFFENING CANN, STRL, ACCURA, LTX</t>
  </si>
  <si>
    <t>NEEDLE, BRST LOC, BLNT, 20 GAX7.5 CM, SADOWSKY STYL, STRL, ACCURA</t>
  </si>
  <si>
    <t>266100</t>
  </si>
  <si>
    <t>ARGON_266100</t>
  </si>
  <si>
    <t>Accura Sadowsky Style  Nonrepositionable Stiffening Cannula20GA X 10CM</t>
  </si>
  <si>
    <t>PRODIGO1072724</t>
  </si>
  <si>
    <t>AccuraGäó II BLN with Stiffening Cannula 20ga x 10cm</t>
  </si>
  <si>
    <t>ACCURA II BLN WITH STIFFENING CANNULA 20GA X 10CM</t>
  </si>
  <si>
    <t>NEEDLE, BREAST LOCALIZATION, BLUNT, 20 GAX10 CM, SADOWSKY STYLE, NONREPOSITIONABLE STIFFENING CANNULA, STERILE, ACCURA, LATEX</t>
  </si>
  <si>
    <t>NEEDLE, BRST LOC, BLNT, 20 GAX10 CM, SADOWSKY STYL, NONREPOSITIONABLE STIFFENING CANN, STRL, ACCURA, LTX</t>
  </si>
  <si>
    <t>NEEDLE, BRST LOC, BLNT, 20 GAX10 CM, SADOWSKY STYL, STRL, ACCURA</t>
  </si>
  <si>
    <t>266125</t>
  </si>
  <si>
    <t>ARGON_266125</t>
  </si>
  <si>
    <t>Accura Sadowsky Style  Nonrepositionable Stiffening Cannula20GA X 12.5CM</t>
  </si>
  <si>
    <t>PRODIGO1072725</t>
  </si>
  <si>
    <t>AccuraGäó II BLN with Stiffening Cannula 20ga x 12.5cm</t>
  </si>
  <si>
    <t>ACCURA II BLN WITH STIFFENING CANNULA 20GA X 12.5CM</t>
  </si>
  <si>
    <t>NEEDLE, BREAST LOCALIZATION, BLUNT, 20 GAX12.5 CM, SADOWSKY STYLE, NONREPOSITIONABLE STIFFENING CANNULA, STERILE, ACCURA, LATEX</t>
  </si>
  <si>
    <t>NEEDLE, BRST LOC, BLNT, 20 GAX12.5 CM, SADOWSKY STYL, NONREPOSITIONABLE STIFFENING CANN, STRL, ACCURA, LTX</t>
  </si>
  <si>
    <t>NEEDLE, BRST LOC, BLNT, 20 GAX12.5 CM, SADOWSKY STYL, STRL, ACCURA</t>
  </si>
  <si>
    <t>20 GAX12.5 CM</t>
  </si>
  <si>
    <t>360108003</t>
  </si>
  <si>
    <t>360-1080-03</t>
  </si>
  <si>
    <t>ARGON_360108003</t>
  </si>
  <si>
    <t>Biopince Ultra W/Co-Ax Full Core 18GA X 10CM</t>
  </si>
  <si>
    <t>PRODIGO1072726</t>
  </si>
  <si>
    <t>BioPinceGäó Ultra Full Core Biopsy Instrument with Co-Axial Introducer Needle  (Biopsy Instrument: 18ga x 10cm)(Introducer Needle: 16ga x 6.8cm)</t>
  </si>
  <si>
    <t>BioPince Ultra Full Core Biopsy Instrument</t>
  </si>
  <si>
    <t>42142504  Biopsy needles</t>
  </si>
  <si>
    <t>BIOPINCE FULL-CORE BIOPSY INSTRUMENTS - BIOPINCE FULL-CORE BIOPSY DEVICE WITH CO-AXIAL INTRODUCER</t>
  </si>
  <si>
    <t>INSTRUMENT, BIOPSY, FULL CORE, 18 GAX10 CM, 16 GAX6.8 CM, CO-AXIAL INTRODUCER NEEDLE, STERILE, BIOPINCE ULTRA, LATEX</t>
  </si>
  <si>
    <t>INSTRUMENT, BX, FULL COR, 18 GAX10 CM, 16 GAX6.8 CM, COAX INTRO NDL, STRL, BIOPINCE ULTRA, LTX</t>
  </si>
  <si>
    <t>INSTRUMENT, BX, 18 GAX10 CM, 16 GAX6.8 CM, BIOPINCE ULTRA</t>
  </si>
  <si>
    <t>INSTRUMENT</t>
  </si>
  <si>
    <t>FULL CORE</t>
  </si>
  <si>
    <t>18 GAX10 CM</t>
  </si>
  <si>
    <t>16 GAX6.8 CM</t>
  </si>
  <si>
    <t>CO-AXIAL INTRODUCER NEEDLE</t>
  </si>
  <si>
    <t>BIOPINCE ULTRA</t>
  </si>
  <si>
    <t>https://www.graylinemedical.com/products/argon-medical-biopince-full-core-biopsy-instruments-biopince-full-core-biopsy-device-with-co-axial-introducer-360-1080-03</t>
  </si>
  <si>
    <t>https://accessgudid.nlm.nih.gov/devices/00886333224012</t>
  </si>
  <si>
    <t>360158003</t>
  </si>
  <si>
    <t>360-1580-03</t>
  </si>
  <si>
    <t>ARGON_360158003</t>
  </si>
  <si>
    <t>Biopince Ultra W/Co-Ax Full Core 15GA X 15CM</t>
  </si>
  <si>
    <t>PRODIGO1072727</t>
  </si>
  <si>
    <t>BioPinceGäó Ultra Full Core Biopsy Instrument with Co-Axial Introducer Needle (Biopsy Instrument: 18ga x 15cm)(Introducer Needle: 16ga x 11.8cm)</t>
  </si>
  <si>
    <t>BIOPSY INSTRUMENT 18G X 15 CM LENGTH 11.8 COAXIAL LENGTH FULL CORE STERILE SINGLE-USE DISPOSABLE WITH CO-AXIAL INTRODUCER NEEDLE</t>
  </si>
  <si>
    <t>INSTRUMENT, BIOPSY, FULL CORE, 15 GAX15 CM, 16 GAX11.8 CM, CO-AXIAL INTRODUCER NEEDLE, STERILE, BIOPINCE ULTRA, LATEX</t>
  </si>
  <si>
    <t>INSTRUMENT, BX, FULL COR, 15 GAX15 CM, 16 GAX11.8 CM, COAX INTRO NDL, STRL, BIOPINCE ULTRA, LTX</t>
  </si>
  <si>
    <t>INSTRUMENT, BX, 15 GAX15 CM, 16 GAX11.8 CM, BIOPINCE ULTRA</t>
  </si>
  <si>
    <t>15 GAX15 CM</t>
  </si>
  <si>
    <t>16 GAX11.8 CM</t>
  </si>
  <si>
    <t>https://www.geosurgical.com/360-1580-03-we1-360-1580-03</t>
  </si>
  <si>
    <t>370108003</t>
  </si>
  <si>
    <t>370-1080-03</t>
  </si>
  <si>
    <t>ARGON_370108003</t>
  </si>
  <si>
    <t>Biopince Ultra W/Co-Ax Full Core 16GA X 10CM</t>
  </si>
  <si>
    <t>PRODIGO1072728</t>
  </si>
  <si>
    <t>BioPinceGäó Ultra Full Core Biopsy Instrument with Co-Axial Introducer Needle (Biopsy Instrument: 16ga x 10cm)(Introducer Needle: 14ga x 6.8cm)</t>
  </si>
  <si>
    <t>BioPinceGäó Ultra Full Core Biopsy Instrument</t>
  </si>
  <si>
    <t>BIOPINCE ULTRA W/CO-AX NEEDLE FULL CORE 16G (16MM) X 10CM (BOX 5) 59% MORE TISSUE VOLUME</t>
  </si>
  <si>
    <t>INSTRUMENT, BIOPSY, FULL CORE, 16 GAX10 CM, 14 GAX6.8 CM, CO-AXIAL INTRODUCER NEEDLE, STERILE, BIOPINCE ULTRA, LATEX</t>
  </si>
  <si>
    <t>INSTRUMENT, BX, FULL COR, 16 GAX10 CM, 14 GAX6.8 CM, COAX INTRO NDL, STRL, BIOPINCE ULTRA, LTX</t>
  </si>
  <si>
    <t>INSTRUMENT, BX, 16 GAX10 CM, 14 GAX6.8 CM, BIOPINCE ULTRA</t>
  </si>
  <si>
    <t>16 GAX10 CM</t>
  </si>
  <si>
    <t>14 GAX6.8 CM</t>
  </si>
  <si>
    <t>https://varaylaborix.com/en/histological-biopsy-guns/18700-biopince-ultra-w-co-ax-needle-full-core-16g-16mm-x-10cm-box-5-59-more-tissue-volume</t>
  </si>
  <si>
    <t>370158003</t>
  </si>
  <si>
    <t>370-1580-03</t>
  </si>
  <si>
    <t>ARGON_370158003</t>
  </si>
  <si>
    <t>Biopince Ultra W/Co-Ax Full Core 16GA X 15CM</t>
  </si>
  <si>
    <t>PRODIGO1072729</t>
  </si>
  <si>
    <t>BioPinceGäó Ultra Full Core Biopsy Instrument with Co-Axial Introducer Needle (Biopsy Instrument: 16ga x 15cm)(Introducer Needle: 14ga x 11.8cm)</t>
  </si>
  <si>
    <t>INSTRUMENT, BIOPSY, FULL CORE, 16 GAX15 CM, 14 GAX11.8 CM, CO-AXIAL INTRODUCER NEEDLE, STERILE, BIOPINCE ULTRA, LATEX</t>
  </si>
  <si>
    <t>INSTRUMENT, BX, FULL COR, 16 GAX15 CM, 14 GAX11.8 CM, COAX INTRO NDL, STRL, BIOPINCE ULTRA, LTX</t>
  </si>
  <si>
    <t>INSTRUMENT, BX, 16 GAX15 CM, 14 GAX11.8 CM, BIOPINCE ULTRA</t>
  </si>
  <si>
    <t>14 GAX11.8 CM</t>
  </si>
  <si>
    <t>https://www.westcmr.com/360-1580-03-we1-360-1580-03</t>
  </si>
  <si>
    <t>382001</t>
  </si>
  <si>
    <t>ARGON_382001</t>
  </si>
  <si>
    <t>10Cc Med-Syringe L/L Blue</t>
  </si>
  <si>
    <t>PRODIGO1072730</t>
  </si>
  <si>
    <t>10cc Med-Syringe L/L Blue</t>
  </si>
  <si>
    <t>Med-Syringe</t>
  </si>
  <si>
    <t>42222201  Needleless intravenous injection syringe sets or injection cannulas</t>
  </si>
  <si>
    <t>10CC MED-SYRINGE L/L BLUE</t>
  </si>
  <si>
    <t>SYRINGE, INTRAVENOUS, UNPRINTED, 10 ML, LUER TO LUER, BLUE, STERILE, LATEX</t>
  </si>
  <si>
    <t>SYRINGE, IV, UNPRINTED, 10 ML, LUER TO LUER, BLU, STRL, LTX</t>
  </si>
  <si>
    <t>UNPRINTED</t>
  </si>
  <si>
    <t>10 ML</t>
  </si>
  <si>
    <t>LUER TO LUER</t>
  </si>
  <si>
    <t>https://accessgudid.nlm.nih.gov/devices/00886333209347</t>
  </si>
  <si>
    <t>382006</t>
  </si>
  <si>
    <t>ARGON_382006</t>
  </si>
  <si>
    <t>10Cc Med-Syringe L/L Blue-Saline</t>
  </si>
  <si>
    <t>PRODIGO1072731</t>
  </si>
  <si>
    <t>10cc Med-Syringe L/L Blue-Saline</t>
  </si>
  <si>
    <t>10CC MED-SYRINGE L/L BLUE-SALINE</t>
  </si>
  <si>
    <t>SYRINGE, INTRAVENOUS, PRE PRINTED, 10 ML, SALINE, LUER TO LUER, BLUE, STERILE, LATEX</t>
  </si>
  <si>
    <t>SYRINGE, IV, PRE PRNT, 10 ML, NACL, LUER TO LUER, BLU, STRL, LTX</t>
  </si>
  <si>
    <t>PRE PRINTED</t>
  </si>
  <si>
    <t>SALINE, LUER TO LUER</t>
  </si>
  <si>
    <t>382006020</t>
  </si>
  <si>
    <t>ARGON_382006020</t>
  </si>
  <si>
    <t>Atrieve Vascular Snare Kit Snare Loop Diam 12-20MM Delivery Catheter 6FR</t>
  </si>
  <si>
    <t>PRODIGO1072732</t>
  </si>
  <si>
    <t>AtrieveGäó Vascular Snare Kit 6F</t>
  </si>
  <si>
    <t>AtrieveGäó Vascular Snare Kit</t>
  </si>
  <si>
    <t>42294982  Endoscopic snare or snare wire accessories</t>
  </si>
  <si>
    <t>ATRIEVEGÄÓ VASCULAR SNARE KIT 6F</t>
  </si>
  <si>
    <t>SNARE KIT, STANDARD, 6 FRX100 CM, 12-20 MM, 120 CM, STERILE, ATRIEVE, LATEX</t>
  </si>
  <si>
    <t>SNARE KIT, STD, 6 FRX100 CM, 12-20 MM, 120 CM, STRL, ATRIEVE, LTX</t>
  </si>
  <si>
    <t>SNARE KIT</t>
  </si>
  <si>
    <t>STANDARD</t>
  </si>
  <si>
    <t>6 FRX100 CM, 12-20 MM, 120 CM</t>
  </si>
  <si>
    <t>ATRIEVE</t>
  </si>
  <si>
    <t>https://www.argonmedical.com/wp-content/uploads/2022/09/Vascular-Snares.pdf</t>
  </si>
  <si>
    <t>382011</t>
  </si>
  <si>
    <t>ARGON_382011</t>
  </si>
  <si>
    <t>10Cc Med-Syringe L/L Yellow</t>
  </si>
  <si>
    <t>PRODIGO1072733</t>
  </si>
  <si>
    <t>10cc Med-Syringe L/L Yellow</t>
  </si>
  <si>
    <t>10CC MED-SYRINGE L/L YELLOW</t>
  </si>
  <si>
    <t>SYRINGE, INTRAVENOUS, UNPRINTED, 10 ML, LUER TO LUER, YELLOW, STERILE, LATEX</t>
  </si>
  <si>
    <t>SYRINGE, IV, UNPRINTED, 10 ML, LUER TO LUER, YEL, STRL, LTX</t>
  </si>
  <si>
    <t>YELLOW</t>
  </si>
  <si>
    <t>382015</t>
  </si>
  <si>
    <t>ARGON_382015</t>
  </si>
  <si>
    <t>10Cc Med-Syringe L/L Yellow-Contrast</t>
  </si>
  <si>
    <t>PRODIGO1072734</t>
  </si>
  <si>
    <t>10cc Med-Syringe L/L Yellow-Contrast</t>
  </si>
  <si>
    <t>10CC MED-SYRINGE L/L YELLOW-CONTRAST</t>
  </si>
  <si>
    <t>SYRINGE, INTRAVENOUS, PRE PRINTED, 10 ML, CONTRAST, LUER TO LUER, YELLOW, STERILE, LATEX</t>
  </si>
  <si>
    <t>SYRINGE, IV, PRE PRNT, 10 ML, CNTRST, LUER TO LUER, YEL, STRL, LTX</t>
  </si>
  <si>
    <t>CONTRAST, LUER TO LUER</t>
  </si>
  <si>
    <t>382016</t>
  </si>
  <si>
    <t>ARGON_382016</t>
  </si>
  <si>
    <t>10Cc Med-Syringe L/L Yellow-Saline</t>
  </si>
  <si>
    <t>PRODIGO1072735</t>
  </si>
  <si>
    <t>10cc Med-Syringe L/L Yellow-Saline</t>
  </si>
  <si>
    <t>10CC MED-SYRINGE L/L YELLOW-SALINE</t>
  </si>
  <si>
    <t>SYRINGE, INTRAVENOUS, PRE PRINTED, 10 ML, SALINE, LUER TO LUER, YELLOW, STERILE, LATEX</t>
  </si>
  <si>
    <t>SYRINGE, IV, PRE PRNT, 10 ML, NACL, LUER TO LUER, YEL, STRL, LTX</t>
  </si>
  <si>
    <t>382021</t>
  </si>
  <si>
    <t>ARGON_382021</t>
  </si>
  <si>
    <t>10Cc Med-Syringe L/L Red</t>
  </si>
  <si>
    <t>PRODIGO1072736</t>
  </si>
  <si>
    <t>10cc Med-Syringe L/L Red</t>
  </si>
  <si>
    <t>10CC MED-SYRINGE L/L RED</t>
  </si>
  <si>
    <t>SYRINGE, INTRAVENOUS, UNPRINTED, 10 ML, LUER TO LUER, RED, STERILE, LATEX</t>
  </si>
  <si>
    <t>SYRINGE, IV, UNPRINTED, 10 ML, LUER TO LUER, RED, STRL, LTX</t>
  </si>
  <si>
    <t>382023</t>
  </si>
  <si>
    <t>ARGON_382023</t>
  </si>
  <si>
    <t>10Cc Med-Syringe L/L Red-Lidocaine</t>
  </si>
  <si>
    <t>PRODIGO1072737</t>
  </si>
  <si>
    <t>10cc Med-Syringe L/L Red-Lidocaine</t>
  </si>
  <si>
    <t>10CC MED-SYRINGE L/L RED-LIDOCAINE</t>
  </si>
  <si>
    <t>SYRINGE, INTRAVENOUS, PRE PRINTED, 10 ML, LIDOCAINE, LUER TO LUER, RED, STERILE, LATEX</t>
  </si>
  <si>
    <t>SYRINGE, IV, PRE PRNT, 10 ML, LIDO, LUER TO LUER, RED, STRL, LTX</t>
  </si>
  <si>
    <t>LIDOCAINE, LUER TO LUER</t>
  </si>
  <si>
    <t>382025</t>
  </si>
  <si>
    <t>ARGON_382025</t>
  </si>
  <si>
    <t>10Cc Med-Syringe L/L Red-Constrast</t>
  </si>
  <si>
    <t>PRODIGO1072738</t>
  </si>
  <si>
    <t>10cc Med-Syringe L/L Red-Constrast</t>
  </si>
  <si>
    <t>10CC MED-SYRINGE L/L RED-CONSTRAST</t>
  </si>
  <si>
    <t>SYRINGE, INTRAVENOUS, PRE PRINTED, 10 ML, SALINE, LUER TO LUER, RED, STERILE, LATEX</t>
  </si>
  <si>
    <t>SYRINGE, IV, PRE PRNT, 10 ML, NACL, LUER TO LUER, RED, STRL, LTX</t>
  </si>
  <si>
    <t>382051</t>
  </si>
  <si>
    <t>ARGON_382051</t>
  </si>
  <si>
    <t>10Cc Med-Syringe L/L Dark Green</t>
  </si>
  <si>
    <t>PRODIGO1072739</t>
  </si>
  <si>
    <t>10cc Med-Syringe L/L, Dark Green</t>
  </si>
  <si>
    <t>10CC MED-SYRINGE L/L DARK GREEN</t>
  </si>
  <si>
    <t>SYRINGE, INTRAVENOUS, UNPRINTED, 10 ML, LUER TO LUER, DARK GREEN, STERILE, LATEX</t>
  </si>
  <si>
    <t>SYRINGE, IV, UNPRINTED, 10 ML, LUER TO LUER, DK GRN, STRL, LTX</t>
  </si>
  <si>
    <t>DARK GREEN</t>
  </si>
  <si>
    <t>382052</t>
  </si>
  <si>
    <t>ARGON_382052</t>
  </si>
  <si>
    <t>10Cc Med-Syringe L/L Dark Green-Nitro</t>
  </si>
  <si>
    <t>PRODIGO1072740</t>
  </si>
  <si>
    <t>10cc Med-Syringe L/L Dark Green-Nitro</t>
  </si>
  <si>
    <t>10CC MED-SYRINGE L/L DARK GREEN-NITRO</t>
  </si>
  <si>
    <t>SYRINGE, INTRAVENOUS, PRE PRINTED, 10 ML, NITRO, LUER TO LUER, DARK GREEN, STERILE, LATEX</t>
  </si>
  <si>
    <t>SYRINGE, IV, PRE PRNT, 10 ML, NITRO, LUER TO LUER, DK GRN, STRL, LTX</t>
  </si>
  <si>
    <t>NITRO, LUER TO LUER</t>
  </si>
  <si>
    <t>382061</t>
  </si>
  <si>
    <t>ARGON_382061</t>
  </si>
  <si>
    <t>10Cc Med-Syringe L/L Purple</t>
  </si>
  <si>
    <t>PRODIGO1072741</t>
  </si>
  <si>
    <t>10cc Med-Syringe L/L Purple</t>
  </si>
  <si>
    <t>10CC MED-SYRINGE L/L PURPLE</t>
  </si>
  <si>
    <t>SYRINGE, INTRAVENOUS, UNPRINTED, 10 ML, LUER TO LUER, PURPLE, STERILE, LATEX</t>
  </si>
  <si>
    <t>SYRINGE, IV, UNPRINTED, 10 ML, LUER TO LUER, PUR, STRL, LTX</t>
  </si>
  <si>
    <t>PURPLE</t>
  </si>
  <si>
    <t>388282</t>
  </si>
  <si>
    <t>ARGON_388282</t>
  </si>
  <si>
    <t>Guidewire - .035 X  150CM   Fixed Core   3J   PTFE</t>
  </si>
  <si>
    <t>PRODIGO1072742</t>
  </si>
  <si>
    <t>Guidewire 35/150/FC/PTFE/3J</t>
  </si>
  <si>
    <t>Guidewire</t>
  </si>
  <si>
    <t>PTFE Coated Stainless Steel Guidewires - Fixed Core J Tip .035 150cm 3mm Classic</t>
  </si>
  <si>
    <t>GUIDEWIRE, VASCULAR, J TIP, 3 MM, 0.035 INX150 CM, FIXED CORE, CLASSIC, PTFE COATED, STAINLESS STEEL, STERILE, LATEX</t>
  </si>
  <si>
    <t>GUIDEWIRE, VASC, J TIP, 3 MM, 0.035 INX150 CM, FIX COR, CLASSIC, PTFE COAT, SS, STRL, LTX</t>
  </si>
  <si>
    <t>GUIDEWIRE, VASC, J TIP, 3 MM, 0.035 INX150 CM, FIX COR, CLASSIC, SS</t>
  </si>
  <si>
    <t>3 MM</t>
  </si>
  <si>
    <t>FIXED CORE, CLASSIC</t>
  </si>
  <si>
    <t>PTFE COATED, STAINLESS STEEL</t>
  </si>
  <si>
    <t>https://assets-global.website-files.com/609d867d872392abfec460b4/6144f7a4c075fa2e7a51bfd8_Argon%20Catalog_US-compressed.pdf, https://accessgudid.nlm.nih.gov/devices/00886333210190</t>
  </si>
  <si>
    <t>388284</t>
  </si>
  <si>
    <t>ARGON_388284</t>
  </si>
  <si>
    <t>Guidewire - .038 X 150CM    Fixed Core   3J   PTFE</t>
  </si>
  <si>
    <t>PRODIGO1072743</t>
  </si>
  <si>
    <t>Guidewire 38/150/FC/PTFE/3J</t>
  </si>
  <si>
    <t>PTFE Coated Stainless Steel Guidewires - Fixed Core J Tip .038 150cm 3mm Classic</t>
  </si>
  <si>
    <t>GUIDEWIRE, VASCULAR, J TIP, 3 MM, 0.038 INX150 CM, FIXED CORE, CLASSIC, PTFE COATED, STAINLESS STEEL, STERILE, LATEX</t>
  </si>
  <si>
    <t>GUIDEWIRE, VASC, J TIP, 3 MM, 0.038 INX150 CM, FIX COR, CLASSIC, PTFE COAT, SS, STRL, LTX</t>
  </si>
  <si>
    <t>GUIDEWIRE, VASC, J TIP, 3 MM, 0.038 INX150 CM, FIX COR, CLASSIC, SS</t>
  </si>
  <si>
    <t>0.038 INX150 CM</t>
  </si>
  <si>
    <t>https://assets-global.website-files.com/609d867d872392abfec460b4/6144f7a4c075fa2e7a51bfd8_Argon%20Catalog_US-compressed.pdf, https://accessgudid.nlm.nih.gov/devices/00886333210206</t>
  </si>
  <si>
    <t>388300</t>
  </si>
  <si>
    <t>ARGON_388300</t>
  </si>
  <si>
    <t>Guidewire - .035 X  150CM   Movable Core   3J   PTFE</t>
  </si>
  <si>
    <t>PRODIGO1072744</t>
  </si>
  <si>
    <t>Guidewire 35/150/Movable Core/PTFE/3J</t>
  </si>
  <si>
    <t>Movable Core PTFE Coated .035 150cm 3mm Tapered</t>
  </si>
  <si>
    <t>GUIDEWIRE, VASCULAR, TAPERED, 3 MM, 0.035 INX150 CM, MOVABLE CORE, PTFE COATED, STERILE, LATEX</t>
  </si>
  <si>
    <t>GUIDEWIRE, VASC, TAPR, 3 MM, 0.035 INX150 CM, MOVABLE COR, PTFE COAT, STRL, LTX</t>
  </si>
  <si>
    <t>GUIDEWIRE, VASC, TAPR, 3 MM, 0.035 INX150 CM, MOVABLE COR, LTX</t>
  </si>
  <si>
    <t>TAPERED</t>
  </si>
  <si>
    <t>MOVABLE CORE</t>
  </si>
  <si>
    <t>PTFE COATED</t>
  </si>
  <si>
    <t>https://assets-global.website-files.com/609d867d872392abfec460b4/6144f7a4c075fa2e7a51bfd8_Argon%20Catalog_US-compressed.pdf, https://accessgudid.nlm.nih.gov/devices/00886333210213</t>
  </si>
  <si>
    <t>388301</t>
  </si>
  <si>
    <t>ARGON_388301</t>
  </si>
  <si>
    <t>Guidewire - .035 X  150CM   Movable Core   ST   PTFE</t>
  </si>
  <si>
    <t>PRODIGO1072745</t>
  </si>
  <si>
    <t>Guidewire 35/150/Movable Core/PTFE/ST</t>
  </si>
  <si>
    <t>GUIDEWIRE, VASCULAR, STRAIGHT, 0.035 INX150 CM, MOVABLE CORE, PTFE COATED, STERILE, LATEX</t>
  </si>
  <si>
    <t>GUIDEWIRE, VASC, STR, 0.035 INX150 CM, MOVABLE COR, PTFE COAT, STRL, LTX</t>
  </si>
  <si>
    <t>GUIDEWIRE, VASC, STR, 0.035 INX150 CM, MOVABLE COR, STRL, LTX</t>
  </si>
  <si>
    <t>https://accessgudid.nlm.nih.gov/devices/00886333210220</t>
  </si>
  <si>
    <t>388768</t>
  </si>
  <si>
    <t>ARGON_388768</t>
  </si>
  <si>
    <t>Guidewire - .035 X  175CM   Fixed Core   3J   PTFE</t>
  </si>
  <si>
    <t>PRODIGO1072746</t>
  </si>
  <si>
    <t>Guidewire 35/175/FC/PTFE/3J</t>
  </si>
  <si>
    <t>GUIDEWIRE, VASCULAR, J TIP, 3 MM, 0.035 INX175 CM, FIXED CORE, PTFE COATED, STERILE, LATEX</t>
  </si>
  <si>
    <t>GUIDEWIRE, VASC, J TIP, 3 MM, 0.035 INX175 CM, FIX COR, PTFE COAT, STRL, LTX</t>
  </si>
  <si>
    <t>GUIDEWIRE, VASC, J TIP, 3 MM, 0.035 INX175 CM, FIX COR, STRL, LTX</t>
  </si>
  <si>
    <t>0.035 INX175 CM</t>
  </si>
  <si>
    <t>FIXED CORE</t>
  </si>
  <si>
    <t>https://accessgudid.nlm.nih.gov/devices/00886333210237</t>
  </si>
  <si>
    <t>390186</t>
  </si>
  <si>
    <t>ARGON_390186</t>
  </si>
  <si>
    <t>Guidewire - .035 X  175CM   Fixed Core   3J/XTB/Z   PTFE</t>
  </si>
  <si>
    <t>PRODIGO1072747</t>
  </si>
  <si>
    <t>Guidewire 35/175/FC/PTFE/3J/XTB/Z</t>
  </si>
  <si>
    <t>PTFE Coated Stainless Steel Guidewires - Fixed Core J Tip .035 175cm 3mm XTB</t>
  </si>
  <si>
    <t>GUIDEWIRE, VASCULAR, J TIP, 3 MM, 0.035 INX175 CM, FIXED CORE, XTB/Z TIP, PTFE COATED, STAINLESS STEEL, STERILE, LATEX</t>
  </si>
  <si>
    <t>GUIDEWIRE, VASC, J TIP, 3 MM, 0.035 INX175 CM, FIX COR, XTB/Z TIP, PTFE COAT, SS, STRL, LTX</t>
  </si>
  <si>
    <t>GUIDEWIRE, VASC, J TIP, 3 MM, 0.035 INX175 CM, FIX COR, XTB/Z TIP</t>
  </si>
  <si>
    <t>FIXED CORE, XTB/Z TIP</t>
  </si>
  <si>
    <t>https://assets-global.website-files.com/609d867d872392abfec460b4/6144f7a4c075fa2e7a51bfd8_Argon%20Catalog_US-compressed.pdf, https://accessgudid.nlm.nih.gov/devices/00886333210282</t>
  </si>
  <si>
    <t>390204400E</t>
  </si>
  <si>
    <t>ARGON_390204400E</t>
  </si>
  <si>
    <t>V-Stick Vascular Access Set 4FR Standard Introducer Nitinol Guidewire Echogenic</t>
  </si>
  <si>
    <t>PRODIGO1072748</t>
  </si>
  <si>
    <t>VGÇóStickGäó Vascular Access Set 4F</t>
  </si>
  <si>
    <t>VGÇóStickGäó Vascular Access Set</t>
  </si>
  <si>
    <t>C1894</t>
  </si>
  <si>
    <t>INTRODUCER/SHEATH, OTHER THAN GUIDING, OTHER THAN INTRACARDIAC ELECTROPHYSIOLOGICAL, NON-LASER</t>
  </si>
  <si>
    <t>4F V-Stick, Standard Introducer, nitinol guidewire, non-echogenic 3.8cm needle</t>
  </si>
  <si>
    <t>INTRODUCER, SHEATH, COAXIAL, STANDARD, 4 FR, VASCULAR ACCESS SET, NITINOL GUIDEWIRE, NON-ECHOGENIC 3.8 CM NEEDLE, STERILE, V-STICK, LATEX</t>
  </si>
  <si>
    <t>INTRODUCER, SHTH, COAX, STD, 4 FR, VASC ACCS SET, NIT GUIDEWIRE, NON-ECHOGENIC 3.8 CM NDL, STRL, V-STICK, LTX</t>
  </si>
  <si>
    <t>INTRODUCER, SHTH, COAX, STD, 4 FR, ACCS SET, 3.8 CM NDL, V-STICK</t>
  </si>
  <si>
    <t>INTRODUCER</t>
  </si>
  <si>
    <t>COAXIAL</t>
  </si>
  <si>
    <t>4 FR</t>
  </si>
  <si>
    <t>VASCULAR ACCESS SET, NITINOL GUIDEWIRE, NON-ECHOGENIC 3.8 CM NEEDLE</t>
  </si>
  <si>
    <t>V-STICK</t>
  </si>
  <si>
    <t>https://assets-global.website-files.com/609d867d872392abfec460b4/6144f7a4c075fa2e7a51bfd8_Argon%20Catalog_US-compressed.pdf, https://accessgudid.nlm.nih.gov/devices/00886333004171</t>
  </si>
  <si>
    <t>390282</t>
  </si>
  <si>
    <t>ARGON_390282</t>
  </si>
  <si>
    <t>Guidewire - .035 X  150CM   Fixed Core   3J/Xtb   PTFE</t>
  </si>
  <si>
    <t>PRODIGO1072749</t>
  </si>
  <si>
    <t>Guidewire 35/150/FC/PTFE/3J/XTB</t>
  </si>
  <si>
    <t>PTFE Coated Stainless Steel Guidewires - Fixed Core J Tip .035 150cm 3mm XTB</t>
  </si>
  <si>
    <t>GUIDEWIRE, VASCULAR, J TIP, 3 MM, 0.035 INX150 CM, FIXED CORE, XTB TIP, PTFE COATED, STAINLESS STEEL, STERILE, LATEX</t>
  </si>
  <si>
    <t>GUIDEWIRE, VASC, J TIP, 3 MM, 0.035 INX150 CM, FIX COR, XTB TIP, PTFE COAT, SS, STRL, LTX</t>
  </si>
  <si>
    <t>GUIDEWIRE, VASC, J TIP, 3 MM, 0.035 INX150 CM, FIX COR, XTB TIP, SS</t>
  </si>
  <si>
    <t>FIXED CORE, XTB TIP</t>
  </si>
  <si>
    <t>https://assets-global.website-files.com/609d867d872392abfec460b4/6144f7a4c075fa2e7a51bfd8_Argon%20Catalog_US-compressed.pdf, https://accessgudid.nlm.nih.gov/devices/00886333210299</t>
  </si>
  <si>
    <t>390284</t>
  </si>
  <si>
    <t>ARGON_390284</t>
  </si>
  <si>
    <t>Guidewire - .038 X  150CM   Fixed Core   3J/Xtb/Z   PTFE</t>
  </si>
  <si>
    <t>PRODIGO1072750</t>
  </si>
  <si>
    <t>Guidewire 38/150/FC/PTFE/3J/XTB</t>
  </si>
  <si>
    <t>PTFE Coated Stainless Steel Guidewires - Fixed Core J Tip .038 150cm 3mm XTB</t>
  </si>
  <si>
    <t>GUIDEWIRE, VASCULAR, J TIP, 3 MM, 0.038 INX150 CM, FIXED CORE, XTB TIP, PTFE COATED, STAINLESS STEEL, STERILE, LATEX</t>
  </si>
  <si>
    <t>GUIDEWIRE, VASC, J TIP, 3 MM, 0.038 INX150 CM, FIX COR, XTB TIP, PTFE COAT, SS, STRL, LTX</t>
  </si>
  <si>
    <t>GUIDEWIRE, VASC, J TIP, 3 MM, 0.038 INX150 CM, FIX COR, XTB TIP, SS</t>
  </si>
  <si>
    <t>https://assets-global.website-files.com/609d867d872392abfec460b4/6144f7a4c075fa2e7a51bfd8_Argon%20Catalog_US-compressed.pdf, https://accessgudid.nlm.nih.gov/devices/00886333210305</t>
  </si>
  <si>
    <t>391504000E</t>
  </si>
  <si>
    <t>ARGON_391504000E</t>
  </si>
  <si>
    <t>V-Stick Vascular Access Set 4FR Standard Introducer Stainless Steel Guidewire Echogenic</t>
  </si>
  <si>
    <t>PRODIGO1072751</t>
  </si>
  <si>
    <t>42203444  Diagnostic or interventional vascular catheter introducer sets</t>
  </si>
  <si>
    <t>V-STICK VASCULAR ACCESS SET 4F</t>
  </si>
  <si>
    <t>VASCULAR ACCESS SET, 4 FR, STANDARD INTRODUCER, STAINLESS STEEL GUIDEWIRE ECHOGENIC, STERILE, V-STICK, LATEX</t>
  </si>
  <si>
    <t>VASCULAR ACCESS SET, 4 FR, STD INTRO, STAINLESS STL GUIDEWIRE ECHOGENIC, STRL, V-STICK, LTX</t>
  </si>
  <si>
    <t>VASCULAR ACCESS SET, 4 FR, STD INTRO, ECHOGENIC, V-STICK</t>
  </si>
  <si>
    <t>VASCULAR ACCESS SET</t>
  </si>
  <si>
    <t>STANDARD INTRODUCER, STAINLESS STEEL GUIDEWIRE ECHOGENIC</t>
  </si>
  <si>
    <t>https://www.argonmedical.com/wp-content/uploads/2022/09/V-Stick-Sell-Sheet.pdf</t>
  </si>
  <si>
    <t>https://accessgudid.nlm.nih.gov/devices/00886333004188</t>
  </si>
  <si>
    <t>391504300E</t>
  </si>
  <si>
    <t>ARGON_391504300E</t>
  </si>
  <si>
    <t>PRODIGO1072752</t>
  </si>
  <si>
    <t>VASCULAR ACCESS SET, 4 FR, STANDARD INTRODUCER, NITINOL GUIDEWIRE ECHOGENIC, STERILE, V-STICK, LATEX</t>
  </si>
  <si>
    <t>VASCULAR ACCESS SET, 4 FR, STD INTRO, NIT GUIDEWIRE ECHOGENIC, STRL, V-STICK, LTX</t>
  </si>
  <si>
    <t>VASCULAR ACCESS SET, 4 FR, STD INTRO, ECHOGENIC, STRL, V-STICK</t>
  </si>
  <si>
    <t>STANDARD INTRODUCER, NITINOL GUIDEWIRE ECHOGENIC</t>
  </si>
  <si>
    <t>391504400E</t>
  </si>
  <si>
    <t>ARGON_391504400E</t>
  </si>
  <si>
    <t>V-Stick Vascular Access Set 4FR Standard Introducer Nitinol Guidewire Non-Echogenic</t>
  </si>
  <si>
    <t>PRODIGO1072753</t>
  </si>
  <si>
    <t>VASCULAR ACCESS SET, 4 FR, STANDARD INTRODUCER, NITINOL GUIDEWIRE NON-ECHOGENIC, STERILE, V-STICK, LATEX</t>
  </si>
  <si>
    <t>VASCULAR ACCESS SET, 4 FR, STD INTRO, NIT GUIDEWIRE NON-ECHOGENIC, STRL, V-STICK, LTX</t>
  </si>
  <si>
    <t>VASCULAR ACCESS SET, 4 FR, STD INTRO, NON-ECHOGENIC, V-STICK</t>
  </si>
  <si>
    <t>STANDARD INTRODUCER, NITINOL GUIDEWIRE NON-ECHOGENIC</t>
  </si>
  <si>
    <t>391505000E</t>
  </si>
  <si>
    <t>ARGON_391505000E</t>
  </si>
  <si>
    <t>V-Stick Vascular Access Set 5FR Standard Introducer Stainless Steel Guidewire Echogenic</t>
  </si>
  <si>
    <t>PRODIGO1072754</t>
  </si>
  <si>
    <t>VGÇóStickGäó Vascular Access Set 5F</t>
  </si>
  <si>
    <t>V-STICK VASCULAR ACCESS SET 5F</t>
  </si>
  <si>
    <t>VASCULAR ACCESS SET, 5 FR, STANDARD INTRODUCER, STAINLESS STEEL GUIDEWIRE ECHOGENIC, STERILE, V-STICK, LATEX</t>
  </si>
  <si>
    <t>VASCULAR ACCESS SET, 5 FR, STD INTRO, STAINLESS STL GUIDEWIRE ECHOGENIC, STRL, V-STICK, LTX</t>
  </si>
  <si>
    <t>VASCULAR ACCESS SET, 5 FR, STD INTRO, ECHOGENIC, V-STICK</t>
  </si>
  <si>
    <t>5 FR</t>
  </si>
  <si>
    <t>391505300E</t>
  </si>
  <si>
    <t>ARGON_391505300E</t>
  </si>
  <si>
    <t>V-Stick Vascular Access Set 5FR Standard Introducer Nitinol Guidewire Echogenic</t>
  </si>
  <si>
    <t>PRODIGO1072755</t>
  </si>
  <si>
    <t>VASCULAR ACCESS SET, 5 FR, STANDARD INTRODUCER, NITINOL GUIDEWIRE ECHOGENIC, STERILE, V-STICK, LATEX</t>
  </si>
  <si>
    <t>VASCULAR ACCESS SET, 5 FR, STD INTRO, NIT GUIDEWIRE ECHOGENIC, STRL, V-STICK, LTX</t>
  </si>
  <si>
    <t>VASCULAR ACCESS SET, 5 FR, STD INTRO, ECHOGENIC, STRL, V-STICK</t>
  </si>
  <si>
    <t>391505400E</t>
  </si>
  <si>
    <t>ARGON_391505400E</t>
  </si>
  <si>
    <t>V-Stick Vascular Access Set 5FR Standard Introducer Nitinol Guidewire Non-Echogenic</t>
  </si>
  <si>
    <t>PRODIGO1072756</t>
  </si>
  <si>
    <t>VASCULAR ACCESS SET, 5 FR, STANDARD INTRODUCER, NITINOL GUIDEWIRE NON-ECHOGENIC, STERILE, V-STICK, LATEX</t>
  </si>
  <si>
    <t>VASCULAR ACCESS SET, 5 FR, STD INTRO, NIT GUIDEWIRE NON-ECHOGENIC, STRL, V-STICK, LTX</t>
  </si>
  <si>
    <t>VASCULAR ACCESS SET, 5 FR, STD INTRO, NON-ECHOGENIC, V-STICK</t>
  </si>
  <si>
    <t>391604300E</t>
  </si>
  <si>
    <t>ARGON_391604300E</t>
  </si>
  <si>
    <t>V-Stick Vascular Access Set 4FR Stiff Introducer Nitinol Guidewire Echogenic</t>
  </si>
  <si>
    <t>PRODIGO1072757</t>
  </si>
  <si>
    <t>VASCULAR ACCESS SET, 4 FR, STIFF INTRODUCER, NITINOL GUIDEWIRE ECHOGENIC, STERILE, V-STICK, LATEX</t>
  </si>
  <si>
    <t>VASCULAR ACCESS SET, 4 FR, STIFF INTRO, NIT GUIDEWIRE ECHOGENIC, STRL, V-STICK, LTX</t>
  </si>
  <si>
    <t>VASCULAR ACCESS SET, 4 FR, STIFF INTRO, ECHOGENIC, STRL, V-STICK</t>
  </si>
  <si>
    <t>STIFF INTRODUCER, NITINOL GUIDEWIRE ECHOGENIC</t>
  </si>
  <si>
    <t>391604400E</t>
  </si>
  <si>
    <t>ARGON_391604400E</t>
  </si>
  <si>
    <t>V-Stick Vascular Access Set 4FR Stiff Introducer Nitinol Guidewire Non-Echogenic</t>
  </si>
  <si>
    <t>PRODIGO1072758</t>
  </si>
  <si>
    <t>VASCULAR ACCESS SET, 4 FR, STIFF INTRODUCER, NITINOL GUIDEWIRE NON-ECHOGENIC, STERILE, V-STICK, LATEX</t>
  </si>
  <si>
    <t>VASCULAR ACCESS SET, 4 FR, STIFF INTRO, NIT GUIDEWIRE NON-ECHOGENIC, STRL, V-STICK, LTX</t>
  </si>
  <si>
    <t>VASCULAR ACCESS SET, 4 FR, STIFF INTRO, NON-ECHOGENIC, V-STICK</t>
  </si>
  <si>
    <t>STIFF INTRODUCER, NITINOL GUIDEWIRE NON-ECHOGENIC</t>
  </si>
  <si>
    <t>391604500E</t>
  </si>
  <si>
    <t>ARGON_391604500E</t>
  </si>
  <si>
    <t>V-Stick Vascular Access Set 4FR Stiff Introducer Stainless Steel Guidewire Non-Echogenic</t>
  </si>
  <si>
    <t>PRODIGO1072759</t>
  </si>
  <si>
    <t>VASCULAR ACCESS SET, 4 FR, STIFF INTRODUCER, STAINLESS STEEL GUIDEWIRE NON-ECHOGENIC, STERILE, V-STICK, LATEX</t>
  </si>
  <si>
    <t>VASCULAR ACCESS SET, 4 FR, STIFF INTRO, STAINLESS STL GUIDEWIRE NON-ECHOGENIC, STRL, V-STICK, LTX</t>
  </si>
  <si>
    <t>STIFF INTRODUCER, STAINLESS STEEL GUIDEWIRE NON-ECHOGENIC</t>
  </si>
  <si>
    <t>391605000E</t>
  </si>
  <si>
    <t>ARGON_391605000E</t>
  </si>
  <si>
    <t>V-Stick Vascular Access Set 5FR Stiff Introducer Stainless Steel Guidewire Echogenic</t>
  </si>
  <si>
    <t>PRODIGO1072760</t>
  </si>
  <si>
    <t>VASCULAR ACCESS SET, 5 FR, STIFF INTRODUCER, STAINLESS STEEL GUIDEWIRE ECHOGENIC, STERILE, V-STICK, LATEX</t>
  </si>
  <si>
    <t>VASCULAR ACCESS SET, 5 FR, STIFF INTRO, STAINLESS STL GUIDEWIRE ECHOGENIC, STRL, V-STICK, LTX</t>
  </si>
  <si>
    <t>VASCULAR ACCESS SET, 5 FR, STIFF INTRO, ECHOGENIC, V-STICK</t>
  </si>
  <si>
    <t>STIFF INTRODUCER, STAINLESS STEEL GUIDEWIRE ECHOGENIC</t>
  </si>
  <si>
    <t>391605300E</t>
  </si>
  <si>
    <t>ARGON_391605300E</t>
  </si>
  <si>
    <t>V-Stick Vascular Access Set 5FR Stiff Introducer Nitinol Guidewire Echogenic</t>
  </si>
  <si>
    <t>PRODIGO1072761</t>
  </si>
  <si>
    <t>VASCULAR ACCESS SET, 5 FR, STIFF INTRODUCER, NITINOL GUIDEWIRE ECHOGENIC, STERILE, V-STICK, LATEX</t>
  </si>
  <si>
    <t>VASCULAR ACCESS SET, 5 FR, STIFF INTRO, NIT GUIDEWIRE ECHOGENIC, STRL, V-STICK, LTX</t>
  </si>
  <si>
    <t>VASCULAR ACCESS SET, 5 FR, STIFF INTRO, ECHOGENIC, STRL, V-STICK</t>
  </si>
  <si>
    <t>391605400E</t>
  </si>
  <si>
    <t>ARGON_391605400E</t>
  </si>
  <si>
    <t>V-Stick Vascular Access Set 5FR Stiff Introducer Nitinol Guidewire Non-Echogenic</t>
  </si>
  <si>
    <t>PRODIGO1072762</t>
  </si>
  <si>
    <t>VASCULAR ACCESS SET, 5 FR, STIFF INTRODUCER, NITINOL GUIDEWIRE NON-ECHOGENIC, STERILE, V-STICK, LATEX</t>
  </si>
  <si>
    <t>VASCULAR ACCESS SET, 5 FR, STIFF INTRO, NIT GUIDEWIRE NON-ECHOGENIC, STRL, V-STICK, LTX</t>
  </si>
  <si>
    <t>VASCULAR ACCESS SET, 5 FR, STIFF INTRO, NON-ECHOGENIC, V-STICK</t>
  </si>
  <si>
    <t>391704400E</t>
  </si>
  <si>
    <t>ARGON_391704400E</t>
  </si>
  <si>
    <t xml:space="preserve">V-Stick Vascular Access Set 4F </t>
  </si>
  <si>
    <t>PRODIGO1072763</t>
  </si>
  <si>
    <t>V•STICK VASCULAR ACCESS SET</t>
  </si>
  <si>
    <t>VASCULAR ACCESS SET, 4 FR, STERILE, V-STICK, LATEX</t>
  </si>
  <si>
    <t>VASCULAR ACCESS SET, 4 FR, STRL, V-STICK, LTX</t>
  </si>
  <si>
    <t>https://www.hipaaspace.com/medical_billing/coding/global.unique.medical.device.identification/00886333007059</t>
  </si>
  <si>
    <t>392299</t>
  </si>
  <si>
    <t>ARGON_392299</t>
  </si>
  <si>
    <t>Vessel Dilator 4FR .038 X 5.14 For Use With Up To .035 Guidewire</t>
  </si>
  <si>
    <t>PRODIGO1072764</t>
  </si>
  <si>
    <t>Vessel Dilator 4 French</t>
  </si>
  <si>
    <t>Vessel Dilator</t>
  </si>
  <si>
    <t>VESSEL DILATOR 4 FRENCH</t>
  </si>
  <si>
    <t>DILATOR, VESSEL, STANDARD, 4 FRX13.2 CM, 0.038 IN, FOR USE WITH UP TO 0.035 GUIDEWIRE, STERILE, LATEX</t>
  </si>
  <si>
    <t>DILATOR, VES, STD, 4 FRX13.2 CM, 0.038 IN, FOR USE W/ UP TO 0.035 GUIDEWIRE, STRL, LTX</t>
  </si>
  <si>
    <t>DILATOR, VES, STD, 4 FRX13.2 CM, 0.038 IN, 0.035 GUIDEWIRE, STRL</t>
  </si>
  <si>
    <t>DILATOR</t>
  </si>
  <si>
    <t>VESSEL</t>
  </si>
  <si>
    <t>4 FRX13.2 CM</t>
  </si>
  <si>
    <t>0.038 IN</t>
  </si>
  <si>
    <t>FOR USE WITH UP TO 0.035 GUIDEWIRE</t>
  </si>
  <si>
    <t>https://accessgudid.nlm.nih.gov/devices/00886333210312</t>
  </si>
  <si>
    <t>392300</t>
  </si>
  <si>
    <t>ARGON_392300</t>
  </si>
  <si>
    <t>Vessel Dilator 4FR .024 X 7.80 For Use With Up To .021 Guidewire</t>
  </si>
  <si>
    <t>PRODIGO1072765</t>
  </si>
  <si>
    <t>DILATOR VASC 4FR 20CM STD .024X7.8</t>
  </si>
  <si>
    <t>DILATOR, VESSEL, STANDARD, 4 FRX20 CM, 0.024X7.80 IN, FOR USE WITH UP TO 0.021 GUIDEWIRE, STERILE, LATEX</t>
  </si>
  <si>
    <t>DILATOR, VES, STD, 4 FRX20 CM, 0.024X7.80 IN, FOR USE W/ UP TO 0.021 GUIDEWIRE, STRL, LTX</t>
  </si>
  <si>
    <t>DILATOR, VES, STD, 4 FRX20 CM, 0.024X7.80 IN, 0.021 GUIDEWIRE</t>
  </si>
  <si>
    <t>4 FRX20 CM</t>
  </si>
  <si>
    <t>0.024X7.80 IN</t>
  </si>
  <si>
    <t>FOR USE WITH UP TO 0.021 GUIDEWIRE</t>
  </si>
  <si>
    <t>https://www.ciamedical.com/argon-medical-devices-392300-box-dilator-vasc-4fr-20cm-std-024x7-8-10-bx</t>
  </si>
  <si>
    <t>392301</t>
  </si>
  <si>
    <t>ARGON_392301</t>
  </si>
  <si>
    <t>Vessel Dilator 4FR .028 X 7.80 For Use With Up To .025 Guidewire</t>
  </si>
  <si>
    <t>PRODIGO1072766</t>
  </si>
  <si>
    <t>VESSEL DILATOR</t>
  </si>
  <si>
    <t>DILATOR, VESSEL, 4 FR, 0.028X7.80 IN, FOR USE WITH UP TO 0.025 GUIDEWIRE, STERILE, LATEX</t>
  </si>
  <si>
    <t>DILATOR, VES, 4 FR, 0.028X7.80 IN, FOR USE W/ UP TO 0.025 GUIDEWIRE, STRL, LTX</t>
  </si>
  <si>
    <t>DILATOR, VES, 4 FR, 0.028X7.80 IN, 0.025 GUIDEWIRE, STRL</t>
  </si>
  <si>
    <t>0.028X7.80 IN</t>
  </si>
  <si>
    <t>FOR USE WITH UP TO 0.025 GUIDEWIRE</t>
  </si>
  <si>
    <t>https://www.hipaaspace.com/medical_billing/coding/global.unique.medical.device.identification/00886333210336</t>
  </si>
  <si>
    <t>392303</t>
  </si>
  <si>
    <t>ARGON_392303</t>
  </si>
  <si>
    <t>Vessel Dilator 5FR .038 X 7.80 For Use With Up To .035 Guidewire</t>
  </si>
  <si>
    <t>PRODIGO1072767</t>
  </si>
  <si>
    <t>Vessel Dilator 5 French</t>
  </si>
  <si>
    <t>VESSEL DILATOR 5 FRENCH</t>
  </si>
  <si>
    <t>DILATOR, VESSEL, 5 FR, 0.038X7.80 IN, FOR USE WITH UP TO 0.035 GUIDEWIRE, STERILE, LATEX</t>
  </si>
  <si>
    <t>DILATOR, VES, 5 FR, 0.038X7.80 IN, FOR USE W/ UP TO 0.035 GUIDEWIRE, STRL, LTX</t>
  </si>
  <si>
    <t>DILATOR, VES, 5 FR, 0.038X7.80 IN, 0.035 GUIDEWIRE, STRL</t>
  </si>
  <si>
    <t>0.038X7.80 IN</t>
  </si>
  <si>
    <t>https://accessgudid.nlm.nih.gov/devices/00886333210350</t>
  </si>
  <si>
    <t>392304</t>
  </si>
  <si>
    <t>ARGON_392304</t>
  </si>
  <si>
    <t>Vessel Dilator 6FR .038 X 7.80 For Use With Up To .035 Guidewire</t>
  </si>
  <si>
    <t>PRODIGO1072768</t>
  </si>
  <si>
    <t>Vessel Dilator 6 French</t>
  </si>
  <si>
    <t>VESSEL DILATOR 6 FRENCH</t>
  </si>
  <si>
    <t>DILATOR, VESSEL, 6 FR, 0.038X7.80 IN, FOR USE WITH UP TO 0.035 GUIDEWIRE, STERILE, LATEX</t>
  </si>
  <si>
    <t>DILATOR, VES, 6 FR, 0.038X7.80 IN, FOR USE W/ UP TO 0.035 GUIDEWIRE, STRL, LTX</t>
  </si>
  <si>
    <t>DILATOR, VES, 6 FR, 0.038X7.80 IN, 0.035 GUIDEWIRE, STRL</t>
  </si>
  <si>
    <t>6 FR</t>
  </si>
  <si>
    <t>https://fda.report/GUDID/10886333210364</t>
  </si>
  <si>
    <t>392305</t>
  </si>
  <si>
    <t>ARGON_392305</t>
  </si>
  <si>
    <t>Vessel Dilator 6FR .041 X 7.80 For Use With Up To .038 Guidewire</t>
  </si>
  <si>
    <t>PRODIGO1072769</t>
  </si>
  <si>
    <t>DILATOR, VESSEL, STANDARD, 6 FRX19.8 CM, 0.041 IN, FOR USE WITH UP TO 0.038 GUIDEWIRE, STERILE, LATEX</t>
  </si>
  <si>
    <t>DILATOR, VES, STD, 6 FRX19.8 CM, 0.041 IN, FOR USE W/ UP TO 0.038 GUIDEWIRE, STRL, LTX</t>
  </si>
  <si>
    <t>DILATOR, VES, STD, 6 FRX19.8 CM, 0.041 IN, 0.038 GUIDEWIRE, STRL</t>
  </si>
  <si>
    <t>6 FRX19.8 CM</t>
  </si>
  <si>
    <t>0.041 IN</t>
  </si>
  <si>
    <t>FOR USE WITH UP TO 0.038 GUIDEWIRE</t>
  </si>
  <si>
    <t>392306</t>
  </si>
  <si>
    <t>ARGON_392306</t>
  </si>
  <si>
    <t>Vessel Dilator 7FR .041 X 7.80 For Use With Up To .038 Guidewire</t>
  </si>
  <si>
    <t>PRODIGO1072770</t>
  </si>
  <si>
    <t>Vessel Dilator 7 French</t>
  </si>
  <si>
    <t>VESSEL DILATOR 7 FRENCH</t>
  </si>
  <si>
    <t>DILATOR, VESSEL, STANDARD, 7 FRX19.8 CM, 0.041 IN, FOR USE WITH UP TO 0.038 GUIDEWIRE, STERILE, LATEX</t>
  </si>
  <si>
    <t>DILATOR, VES, STD, 7 FRX19.8 CM, 0.041 IN, FOR USE W/ UP TO 0.038 GUIDEWIRE, STRL, LTX</t>
  </si>
  <si>
    <t>DILATOR, VES, STD, 7 FRX19.8 CM, 0.041 IN, 0.038 GUIDEWIRE, STRL</t>
  </si>
  <si>
    <t>7 FRX19.8 CM</t>
  </si>
  <si>
    <t>392307</t>
  </si>
  <si>
    <t>ARGON_392307</t>
  </si>
  <si>
    <t>Vessel Dilator 8FR .041 X 7.80 For Use With Up To .038 Guidewire</t>
  </si>
  <si>
    <t>PRODIGO1072771</t>
  </si>
  <si>
    <t>Vessel Dilator 8 French</t>
  </si>
  <si>
    <t>VESSEL DILATOR 8 FRENCH</t>
  </si>
  <si>
    <t>DILATOR, VESSEL, STANDARD, 8 FRX19.8 CM, 0.041 IN, FOR USE WITH UP TO 0.038 GUIDEWIRE, STERILE, LATEX</t>
  </si>
  <si>
    <t>DILATOR, VES, STD, 8 FRX19.8 CM, 0.041 IN, FOR USE W/ UP TO 0.038 GUIDEWIRE, STRL, LTX</t>
  </si>
  <si>
    <t>DILATOR, VES, STD, 8 FRX19.8 CM, 0.041 IN, 0.038 GUIDEWIRE, STRL</t>
  </si>
  <si>
    <t>8 FRX19.8 CM</t>
  </si>
  <si>
    <t>392354</t>
  </si>
  <si>
    <t>ARGON_392354</t>
  </si>
  <si>
    <t>Vessel Dilator 4FR With Feathered Tip .0225 X 7.80 For Use With Up To .021 Guidewire</t>
  </si>
  <si>
    <t>PRODIGO1072775</t>
  </si>
  <si>
    <t>DILATOR, VESSEL, FEATHERED TIP, 4 FRX19.8 CM, 0.0225 IN, FOR USE WITH UP TO 0.021 GUIDEWIRE, STERILE, LATEX</t>
  </si>
  <si>
    <t>DILATOR, VES, FEATHERED TIP, 4 FRX19.8 CM, 0.0225 IN, FOR USE W/ UP TO 0.021 GUIDEWIRE, STRL, LTX</t>
  </si>
  <si>
    <t>DILATOR, VES, FEATHERED, 4 FRX19.8 CM, 0.0225 IN, 0.021 GUIDEWIRE</t>
  </si>
  <si>
    <t>FEATHERED TIP</t>
  </si>
  <si>
    <t>4 FRX19.8 CM</t>
  </si>
  <si>
    <t>0.0225 IN</t>
  </si>
  <si>
    <t>392355</t>
  </si>
  <si>
    <t>ARGON_392355</t>
  </si>
  <si>
    <t>Vessel Dilator 5FR With Feathered Tip .0225 X 7.80 For Use With Up To .021 Guidewire</t>
  </si>
  <si>
    <t>PRODIGO1072776</t>
  </si>
  <si>
    <t>Vessel Dilator with Feathered Tip 5 French</t>
  </si>
  <si>
    <t>Vessel Dilator with Feathered Tip</t>
  </si>
  <si>
    <t>VESSEL DILATOR WITH FEATHERED TIP 5 FRENCH</t>
  </si>
  <si>
    <t>DILATOR, VESSEL, FEATHERED TIP, 5 FRX19.8 CM, 0.0225 IN, FOR USE WITH UP TO 0.021 GUIDEWIRE, STERILE, LATEX</t>
  </si>
  <si>
    <t>DILATOR, VES, FEATHERED TIP, 5 FRX19.8 CM, 0.0225 IN, FOR USE W/ UP TO 0.021 GUIDEWIRE, STRL, LTX</t>
  </si>
  <si>
    <t>DILATOR, VES, FEATHERED, 5 FRX19.8 CM, 0.0225 IN, 0.021 GUIDEWIRE</t>
  </si>
  <si>
    <t>5 FRX19.8 CM</t>
  </si>
  <si>
    <t>392357</t>
  </si>
  <si>
    <t>ARGON_392357</t>
  </si>
  <si>
    <t>Vessel Dilator 7FR With Feathered Tip .0225 X 7.80 For Use With Up To .021 Guidewire</t>
  </si>
  <si>
    <t>PRODIGO1072778</t>
  </si>
  <si>
    <t>Vessel Dilator with Feathered Tip 7 French</t>
  </si>
  <si>
    <t>VESSEL DILATOR WITH FEATHERED TIP 7 FRENCH</t>
  </si>
  <si>
    <t>DILATOR, VESSEL, FEATHERED TIP, 7 FRX19.8 CM, 0.0225 IN, FOR USE WITH UP TO 0.021 GUIDEWIRE, STERILE, LATEX</t>
  </si>
  <si>
    <t>DILATOR, VES, FEATHERED TIP, 7 FRX19.8 CM, 0.0225 IN, FOR USE W/ UP TO 0.021 GUIDEWIRE, STRL, LTX</t>
  </si>
  <si>
    <t>DILATOR, VES, FEATHERED, 7 FRX19.8 CM, 0.0225 IN, 0.021 GUIDEWIRE</t>
  </si>
  <si>
    <t>https://accessgudid.nlm.nih.gov/devices/00886333210466</t>
  </si>
  <si>
    <t>392404</t>
  </si>
  <si>
    <t>00-392404</t>
  </si>
  <si>
    <t>00392404</t>
  </si>
  <si>
    <t>ARGON_00392404</t>
  </si>
  <si>
    <t>Obturator 5FR X 6.4</t>
  </si>
  <si>
    <t>PRODIGO1072779</t>
  </si>
  <si>
    <t>"Obturator 5F x 6.4"" (16.2cm)"</t>
  </si>
  <si>
    <t>Obturator</t>
  </si>
  <si>
    <t>42294978  Endoscopic trocar or sheath or obturator or cannula</t>
  </si>
  <si>
    <t>OBTURATOR 5F X 6.4 (16.2CM)</t>
  </si>
  <si>
    <t>OBTURATOR, ENDOSCOPIC, 5 FRX6.4 IN, INTRODUCER SHEATH, STERILE, LATEX</t>
  </si>
  <si>
    <t>OBTURATOR, ENDOSCP, 5 FRX6.4 IN, INTRO SHTH, STRL, LTX</t>
  </si>
  <si>
    <t>OBTURATOR</t>
  </si>
  <si>
    <t>5 FRX6.4 IN</t>
  </si>
  <si>
    <t>INTRODUCER SHEATH</t>
  </si>
  <si>
    <t>https://kategorizacia.mzsr.sk/Pomocky/Download/RequestAttachment/48658</t>
  </si>
  <si>
    <t>https://accessgudid.nlm.nih.gov/devices/00886333210503</t>
  </si>
  <si>
    <t>392410</t>
  </si>
  <si>
    <t>ARGON_392410</t>
  </si>
  <si>
    <t>Vessel Dilator 5FR With Collar .041 X 7.10 Cli For Use With Up To .038 Guidewire</t>
  </si>
  <si>
    <t>PRODIGO1072780</t>
  </si>
  <si>
    <t>Vessel Dilator with Collar 5 French</t>
  </si>
  <si>
    <t>Vessel Dilator with Collar</t>
  </si>
  <si>
    <t>VESSEL DILATOR WITH COLLAR 5 FRENCH</t>
  </si>
  <si>
    <t>DILATOR, VESSEL, WITH COLLAR, 5 FR, 0.041 X 7.10, FOR USE WITH UP TO 0.038 GUIDEWIRE, STERILE, LATEX</t>
  </si>
  <si>
    <t>DILATOR, VES, W/ CLLR, 5 FR, 0.041 X 7.10, FOR USE W/ UP TO 0.038 GUIDEWIRE, STRL, LTX</t>
  </si>
  <si>
    <t>DILATOR, VES, W/ CLLR, 5 FR, 0.041 X 7.10, 0.038 GUIDEWIRE, STRL</t>
  </si>
  <si>
    <t>WITH COLLAR</t>
  </si>
  <si>
    <t>0.041 X 7.10</t>
  </si>
  <si>
    <t>https://accessgudid.nlm.nih.gov/devices/00886333210510</t>
  </si>
  <si>
    <t>392411</t>
  </si>
  <si>
    <t>ARGON_392411</t>
  </si>
  <si>
    <t>Vessel Dilator 6FR With Collar .041 X 7.10 Cli For Use With Up To .038 Guidewire</t>
  </si>
  <si>
    <t>PRODIGO1072781</t>
  </si>
  <si>
    <t>Vessel Dilator with Collar 6 French</t>
  </si>
  <si>
    <t>VESSEL DILATOR WITH COLLAR 6 FRENCH</t>
  </si>
  <si>
    <t>DILATOR, VESSEL, WITH COLLAR, 6 FR, 0.041 X 7.10, FOR USE WITH UP TO 0.038 GUIDEWIRE, STERILE, LATEX</t>
  </si>
  <si>
    <t>DILATOR, VES, W/ CLLR, 6 FR, 0.041 X 7.10, FOR USE W/ UP TO 0.038 GUIDEWIRE, STRL, LTX</t>
  </si>
  <si>
    <t>DILATOR, VES, W/ CLLR, 6 FR, 0.041 X 7.10, 0.038 GUIDEWIRE, STRL</t>
  </si>
  <si>
    <t>https://www.graylinemedical.com/products/argon-medical-dilator-vessel-6fr-10-ca</t>
  </si>
  <si>
    <t>392412</t>
  </si>
  <si>
    <t>ARGON_392412</t>
  </si>
  <si>
    <t>Vessel Dilator 7FR With Collar .041 X 7.10 Cli For Use With Up To .038 Guidewire</t>
  </si>
  <si>
    <t>PRODIGO1072782</t>
  </si>
  <si>
    <t>Vessel Dilator with Collar 7 French</t>
  </si>
  <si>
    <t>VESSEL DILATOR WITH COLLAR 7 FRENCH</t>
  </si>
  <si>
    <t>DILATOR, VESSEL, WITH COLLAR, 7 FR, 0.041 X 7.10, FOR USE WITH UP TO 0.038 GUIDEWIRE, STERILE, LATEX</t>
  </si>
  <si>
    <t>DILATOR, VES, W/ CLLR, 7 FR, 0.041 X 7.10, FOR USE W/ UP TO 0.038 GUIDEWIRE, STRL, LTX</t>
  </si>
  <si>
    <t>DILATOR, VES, W/ CLLR, 7 FR, 0.041 X 7.10, 0.038 GUIDEWIRE, STRL</t>
  </si>
  <si>
    <t>7 FR</t>
  </si>
  <si>
    <t>https://www.hipaaspace.com/medical_billing/coding/global.unique.medical.device.identification/00886333210534</t>
  </si>
  <si>
    <t>392413</t>
  </si>
  <si>
    <t>ARGON_392413</t>
  </si>
  <si>
    <t>Vessel Dilator 8FR With Collar .041 X 7.10 Cli  For Use With Up To .038 Guidewire</t>
  </si>
  <si>
    <t>PRODIGO1072783</t>
  </si>
  <si>
    <t>Vessel Dilator with Collar 8F</t>
  </si>
  <si>
    <t>VESSEL DILATOR WITH COLLAR 8F</t>
  </si>
  <si>
    <t>DILATOR, VESSEL, WITH COLLAR, 8 FR, 0.041 X 7.10, FOR USE WITH UP TO 0.038 GUIDEWIRE, STERILE, LATEX</t>
  </si>
  <si>
    <t>DILATOR, VES, W/ CLLR, 8 FR, 0.041 X 7.10, FOR USE W/ UP TO 0.038 GUIDEWIRE, STRL, LTX</t>
  </si>
  <si>
    <t>DILATOR, VES, W/ CLLR, 8 FR, 0.041 X 7.10, 0.038 GUIDEWIRE, STRL</t>
  </si>
  <si>
    <t>8 FR</t>
  </si>
  <si>
    <t>https://accessgudid.nlm.nih.gov/devices/00886333210541</t>
  </si>
  <si>
    <t>392414</t>
  </si>
  <si>
    <t>ARGON_392414</t>
  </si>
  <si>
    <t>Vessel Dilator 9FR With Collar .041 X 7.10 Cli  For Use With Up To .038 Guidewire</t>
  </si>
  <si>
    <t>PRODIGO1072784</t>
  </si>
  <si>
    <t>Vessel Dilator with Collar 9 French</t>
  </si>
  <si>
    <t>VESSEL DILATOR WITH COLLAR 9 FRENCH</t>
  </si>
  <si>
    <t>DILATOR, VESSEL, WITH COLLAR, 9 FR, 0.041 X 7.10, FOR USE WITH UP TO 0.038 GUIDEWIRE, STERILE, LATEX</t>
  </si>
  <si>
    <t>DILATOR, VES, W/ CLLR, 9 FR, 0.041 X 7.10, FOR USE W/ UP TO 0.038 GUIDEWIRE, STRL, LTX</t>
  </si>
  <si>
    <t>DILATOR, VES, W/ CLLR, 9 FR, 0.041 X 7.10, 0.038 GUIDEWIRE, STRL</t>
  </si>
  <si>
    <t>9 FR</t>
  </si>
  <si>
    <t>https://accessgudid.nlm.nih.gov/devices/00886333210558</t>
  </si>
  <si>
    <t>393182</t>
  </si>
  <si>
    <t>ARGON_393182</t>
  </si>
  <si>
    <t>Guidewire - .035 X  150CM   Fixed Core   3J/HD/Z   PTFE</t>
  </si>
  <si>
    <t>PRODIGO1072785</t>
  </si>
  <si>
    <t>Guidewire 35/150/FC/PTFE/3J/HD/Z</t>
  </si>
  <si>
    <t>PTFE Coated Stainless Steel Guidewires - Fixed Core J Tip .035 150cm 3mm Z-Tip</t>
  </si>
  <si>
    <t>GUIDEWIRE, VASCULAR, J TIP, 3 MM, 0.035 INX150 CM, FIXED CORE, HD/Z TIP, PTFE COATED, STAINLESS STEEL, STERILE, LATEX</t>
  </si>
  <si>
    <t>GUIDEWIRE, VASC, J TIP, 3 MM, 0.035 INX150 CM, FIX COR, HD/Z TIP, PTFE COAT, SS, STRL, LTX</t>
  </si>
  <si>
    <t>GUIDEWIRE, VASC, J TIP, 3 MM, 0.035 INX150 CM, FIX COR, HD/Z TIP</t>
  </si>
  <si>
    <t>FIXED CORE, HD/Z TIP</t>
  </si>
  <si>
    <t>https://assets-global.website-files.com/609d867d872392abfec460b4/6144f7a4c075fa2e7a51bfd8_Argon%20Catalog_US-compressed.pdf, https://accessgudid.nlm.nih.gov/devices/00886333210572</t>
  </si>
  <si>
    <t>393184</t>
  </si>
  <si>
    <t>ARGON_393184</t>
  </si>
  <si>
    <t>Guidewire - .038 X  150CM   Fixed Core   3J/HD/Z   PTFE</t>
  </si>
  <si>
    <t>PRODIGO1072786</t>
  </si>
  <si>
    <t>Guidewire 38/150/FC/PTFE/3J/HD/Z</t>
  </si>
  <si>
    <t>PTFE Coated Stainless Steel Guidewires - Fixed Core J Tip .038 150cm 3mm Z-Tip</t>
  </si>
  <si>
    <t>GUIDEWIRE, VASCULAR, J TIP, 3 MM, 0.038 INX150 CM, FIXED CORE, HD/Z TIP, PTFE COATED, STAINLESS STEEL, STERILE, LATEX</t>
  </si>
  <si>
    <t>GUIDEWIRE, VASC, J TIP, 3 MM, 0.038 INX150 CM, FIX COR, HD/Z TIP, PTFE COAT, SS, STRL, LTX</t>
  </si>
  <si>
    <t>GUIDEWIRE, VASC, J TIP, 3 MM, 0.038 INX150 CM, FIX COR, HD/Z TIP</t>
  </si>
  <si>
    <t>https://assets-global.website-files.com/609d867d872392abfec460b4/6144f7a4c075fa2e7a51bfd8_Argon%20Catalog_US-compressed.pdf, https://accessgudid.nlm.nih.gov/devices/00886333210589</t>
  </si>
  <si>
    <t>393186</t>
  </si>
  <si>
    <t>ARGON_393186</t>
  </si>
  <si>
    <t>Guidewire - .035 X  175CM   Fixed Core   3J/HD/Z   PTFE</t>
  </si>
  <si>
    <t>PRODIGO1072787</t>
  </si>
  <si>
    <t>Guidewire 35/175/FC/PTFE/3J/HD/Z</t>
  </si>
  <si>
    <t>PTFE Coated Stainless Steel Guidewires - Fixed Core J Tip .035 175cm 3mm Z-Tip</t>
  </si>
  <si>
    <t>GUIDEWIRE, VASCULAR, J TIP, 3 MM, 0.035 INX175 CM, FIXED CORE, HD/Z TIP, PTFE COATED, STAINLESS STEEL, STERILE, LATEX</t>
  </si>
  <si>
    <t>GUIDEWIRE, VASC, J TIP, 3 MM, 0.035 INX175 CM, FIX COR, HD/Z TIP, PTFE COAT, SS, STRL, LTX</t>
  </si>
  <si>
    <t>GUIDEWIRE, VASC, J TIP, 3 MM, 0.035 INX175 CM, FIX COR, HD/Z TIP</t>
  </si>
  <si>
    <t>https://assets-global.website-files.com/609d867d872392abfec460b4/6144f7a4c075fa2e7a51bfd8_Argon%20Catalog_US-compressed.pdf, https://accessgudid.nlm.nih.gov/devices/00886333210596</t>
  </si>
  <si>
    <t>393187</t>
  </si>
  <si>
    <t>ARGON_393187</t>
  </si>
  <si>
    <t>Guidewire - .038 X  175CM   Fixed Core   3J/HD/Z   PTFE</t>
  </si>
  <si>
    <t>PRODIGO1072788</t>
  </si>
  <si>
    <t>Guidewire 38/175/FC/PTFE/3J/HD/Z</t>
  </si>
  <si>
    <t>PTFE Coated Stainless Steel Guidewires - Fixed Core J Tip .038 175cm 3mm Z-Tip</t>
  </si>
  <si>
    <t>GUIDEWIRE, VASCULAR, J TIP, 3 MM, 0.038 INX175 CM, FIXED CORE, HD/Z TIP, PTFE COATED, STAINLESS STEEL, STERILE, LATEX</t>
  </si>
  <si>
    <t>GUIDEWIRE, VASC, J TIP, 3 MM, 0.038 INX175 CM, FIX COR, HD/Z TIP, PTFE COAT, SS, STRL, LTX</t>
  </si>
  <si>
    <t>GUIDEWIRE, VASC, J TIP, 3 MM, 0.038 INX175 CM, FIX COR, HD/Z TIP</t>
  </si>
  <si>
    <t>0.038 INX175 CM</t>
  </si>
  <si>
    <t>https://assets-global.website-files.com/609d867d872392abfec460b4/6144f7a4c075fa2e7a51bfd8_Argon%20Catalog_US-compressed.pdf, https://accessgudid.nlm.nih.gov/devices/00886333210602</t>
  </si>
  <si>
    <t>393282</t>
  </si>
  <si>
    <t>ARGON_393282</t>
  </si>
  <si>
    <t>Guidewire - .035 X  150CM   Fixed Core   3J/Z   PTFE</t>
  </si>
  <si>
    <t>PRODIGO1072789</t>
  </si>
  <si>
    <t>Guidewire 35/150/FC/PTFE/3J/Z</t>
  </si>
  <si>
    <t>PTFE Coated Stainless Steel Guidewires - Fixed Core J Tip .035 150cm 3mm Flexible</t>
  </si>
  <si>
    <t>GUIDEWIRE, VASCULAR, J TIP, 3 MM, 0.035 INX150 CM, FIXED CORE, Z, FLEXIBLE TIP, PTFE COATED, STAINLESS STEEL, STERILE, LATEX</t>
  </si>
  <si>
    <t>GUIDEWIRE, VASC, J TIP, 3 MM, 0.035 INX150 CM, FIX COR, Z, FLX TIP, PTFE COAT, SS, STRL, LTX</t>
  </si>
  <si>
    <t>GUIDEWIRE, VASC, J TIP, 3 MM, 0.035 INX150 CM, FIX COR, Z, FLX TIP</t>
  </si>
  <si>
    <t>FIXED CORE, Z, FLEXIBLE TIP</t>
  </si>
  <si>
    <t>https://assets-global.website-files.com/609d867d872392abfec460b4/6144f7a4c075fa2e7a51bfd8_Argon%20Catalog_US-compressed.pdf, https://accessgudid.nlm.nih.gov/devices/00886333210619</t>
  </si>
  <si>
    <t>3935</t>
  </si>
  <si>
    <t>ARGON_3935</t>
  </si>
  <si>
    <t>Vpad  Non-Invasive Hemostasis Pad 4CM X 4CM</t>
  </si>
  <si>
    <t>PRODIGO1072790</t>
  </si>
  <si>
    <t>42294913  Endoscopic hemostatic balloons or needles or tubes or accessories</t>
  </si>
  <si>
    <t>V+ HEMOSTASIS PAD 4CM X 4CM</t>
  </si>
  <si>
    <t xml:space="preserve">PAD, HEMOSTATIC, NON INVASIVE, 4 CMX4 CM, VPAD </t>
  </si>
  <si>
    <t xml:space="preserve">PAD, HEMOSTATIC, N INVASIVE, 4 CMX4 CM, VPAD </t>
  </si>
  <si>
    <t>PAD</t>
  </si>
  <si>
    <t>HEMOSTATIC</t>
  </si>
  <si>
    <t>NON INVASIVE</t>
  </si>
  <si>
    <t>4 CMX4 CM</t>
  </si>
  <si>
    <t xml:space="preserve">VPAD </t>
  </si>
  <si>
    <t>https://www.esutures.com/product/2-indate-expired/206-/975-/46343016-argon-v-hemostasis-pad-4cm-x-4cm-ARG3935/</t>
  </si>
  <si>
    <t>393999</t>
  </si>
  <si>
    <t>ARGON_393999</t>
  </si>
  <si>
    <t>Guidewire - .035 X  180CM   Fixed Core   De-3J&amp;ST   PTFE</t>
  </si>
  <si>
    <t>PRODIGO1072791</t>
  </si>
  <si>
    <t>Guidewire 35/180/FC/PTFE/DE/3J&amp;ST</t>
  </si>
  <si>
    <t>GUIDEWIRE, VASCULAR, STRAIGHT, J TIP, 3 MM, 0.035 INX180 CM, FIXED CORE, DOUBLE ENDED, PTFE COATED, STERILE, LATEX</t>
  </si>
  <si>
    <t>GUIDEWIRE, VASC, STR, J TIP, 3 MM, 0.035 INX180 CM, FIX COR, DBL END, PTFE COAT, STRL, LTX</t>
  </si>
  <si>
    <t>GUIDEWIRE, VASC, STR, J TIP, 3 MM, 0.035 INX180 CM, FIX COR, DBL</t>
  </si>
  <si>
    <t>STRAIGHT, J TIP</t>
  </si>
  <si>
    <t>FIXED CORE, DOUBLE ENDED</t>
  </si>
  <si>
    <t>https://accessgudid.nlm.nih.gov/devices/00886333210626</t>
  </si>
  <si>
    <t>395073</t>
  </si>
  <si>
    <t>ARGON_395073</t>
  </si>
  <si>
    <t>Guidewire - .035 X  260CM   Fixed Core   ST/HD Mullins   PTFE</t>
  </si>
  <si>
    <t>PRODIGO1072792</t>
  </si>
  <si>
    <t>Guidewire 35/260/FC/PTFE/ST/HD/Mullins</t>
  </si>
  <si>
    <t>GUIDEWIRE, VASCULAR, STRAIGHT, 0.035 INX260 CM, FIXED CORE, MULLINS, HD, PTFE COATED, STERILE, LATEX</t>
  </si>
  <si>
    <t>GUIDEWIRE, VASC, STR, 0.035 INX260 CM, FIX COR, MULLINS, HD, PTFE COAT, STRL, LTX</t>
  </si>
  <si>
    <t>GUIDEWIRE, VASC, STR, 0.035 INX260 CM, FIX COR, MULLINS, HD, LTX</t>
  </si>
  <si>
    <t>FIXED CORE, MULLINS, HD</t>
  </si>
  <si>
    <t>https://accessgudid.nlm.nih.gov/devices/00886333210831</t>
  </si>
  <si>
    <t>395112</t>
  </si>
  <si>
    <t>ARGON_395112</t>
  </si>
  <si>
    <t>Guidewire - .035 X  150CM   Fixed Core   De-3J&amp;ST   PTFE</t>
  </si>
  <si>
    <t>PRODIGO1072793</t>
  </si>
  <si>
    <t>Guidewire 35/150/FC/PTFE/DE-3J&amp;ST</t>
  </si>
  <si>
    <t>GUIDEWIRE, VASCULAR, STRAIGHT, J TIP, 3 MM, 0.035 INX150 CM, FIXED CORE, DOUBLE ENDED, PTFE COATED, STERILE, LATEX</t>
  </si>
  <si>
    <t>GUIDEWIRE, VASC, STR, J TIP, 3 MM, 0.035 INX150 CM, FIX COR, DBL END, PTFE COAT, STRL, LTX</t>
  </si>
  <si>
    <t>GUIDEWIRE, VASC, STR, J TIP, 3 MM, 0.035 INX150 CM, FIX COR, DBL</t>
  </si>
  <si>
    <t>https://accessgudid.nlm.nih.gov/devices/00886333210879</t>
  </si>
  <si>
    <t>395125</t>
  </si>
  <si>
    <t>ARGON_395125</t>
  </si>
  <si>
    <t>Guidewire - .018 X    45CM  SS/Mandrel     ST</t>
  </si>
  <si>
    <t>PRODIGO1072794</t>
  </si>
  <si>
    <t>Guidewire 18/45/SS/Mandrel/Straight</t>
  </si>
  <si>
    <t>MANDREL WIRES FOR MICRO-PUNCTURE TECHNIQUE .018 45cm Stainless Steel Straight</t>
  </si>
  <si>
    <t>GUIDEWIRE, VASCULAR, STRAIGHT, 0.018 INX45 CM, MANDREL, FOR MICRO-PUNCTURE TECHNIQUE, STAINLESS STEEL, STERILE, LATEX</t>
  </si>
  <si>
    <t>GUIDEWIRE, VASC, STR, 0.018 INX45 CM, MANDREL, FOR MICRO-PUNCTURE TECH, SS, STRL, LTX</t>
  </si>
  <si>
    <t>GUIDEWIRE, VASC, STR, 0.018 INX45 CM, MANDREL, MICRO-PUNCTURE, SS</t>
  </si>
  <si>
    <t>0.018 INX45 CM</t>
  </si>
  <si>
    <t>MANDREL, FOR MICRO-PUNCTURE TECHNIQUE</t>
  </si>
  <si>
    <t>https://kategorizacia.mzsr.sk/Pomocky/Download/RequestAttachment/48658, https://accessgudid.nlm.nih.gov/devices/00886333210886</t>
  </si>
  <si>
    <t>395126</t>
  </si>
  <si>
    <t>ARGON_395126</t>
  </si>
  <si>
    <t>Guidewire - .018 X    40CM  Nitinol/Mandrel W/Palladium Coil     ST</t>
  </si>
  <si>
    <t>PRODIGO1072795</t>
  </si>
  <si>
    <t>Guidewire 18/40/NIT/Mandrel w/Palladium Coil/Straight</t>
  </si>
  <si>
    <t>MANDREL WIRES FOR MICRO-PUNCTURE TECHNIQUE .018 45cm NiTiNol Straight</t>
  </si>
  <si>
    <t>GUIDEWIRE, VASCULAR, STRAIGHT, 0.018 INX45 CM, MANDREL, WITH PALLADIUM COIL, FOR MICRO-PUNCTURE TECHNIQUE, NITINOL, STERILE, LATEX</t>
  </si>
  <si>
    <t>GUIDEWIRE, VASC, STR, 0.018 INX45 CM, MANDREL, W/ PD COIL, FOR MICRO-PUNCTURE TECH, NIT, STRL, LTX</t>
  </si>
  <si>
    <t>GUIDEWIRE, VASC, STR, 0.018 INX45 CM, MANDREL, MICRO-PUNCTURE, NIT</t>
  </si>
  <si>
    <t>MANDREL, WITH PALLADIUM COIL, FOR MICRO-PUNCTURE TECHNIQUE</t>
  </si>
  <si>
    <t>https://kategorizacia.mzsr.sk/Pomocky/Download/RequestAttachment/48658, https://accessgudid.nlm.nih.gov/devices/00886333210893</t>
  </si>
  <si>
    <t>395170</t>
  </si>
  <si>
    <t>ARGON_395170</t>
  </si>
  <si>
    <t>Guidewire - .035 X  180CM   Fixed Core   Bentson   PTFE</t>
  </si>
  <si>
    <t>PRODIGO1072796</t>
  </si>
  <si>
    <t>Guidewire 35/180/FC/PTFE/Bentson</t>
  </si>
  <si>
    <t>BENTSON CEREBRAL WIRES - PTFE COATED .035 180cm 16.0</t>
  </si>
  <si>
    <t>GUIDEWIRE, VASCULAR, BENTSON CEREBRAL, 0.035 INX180 CM, 16 CM, FIXED CORE, TAPERED, PTFE COATED, STERILE, LATEX</t>
  </si>
  <si>
    <t>GUIDEWIRE, VASC, BENT CEREB, 0.035 INX180 CM, 16 CM, FIX COR, TAPR, PTFE COAT, STRL, LTX</t>
  </si>
  <si>
    <t>GUIDEWIRE, VASC, BENT CEREB, 0.035 INX180 CM, 16 CM, FIX COR, TAPR</t>
  </si>
  <si>
    <t>BENTSON CEREBRAL</t>
  </si>
  <si>
    <t>16 CM</t>
  </si>
  <si>
    <t>FIXED CORE, TAPERED</t>
  </si>
  <si>
    <t>https://kategorizacia.mzsr.sk/Pomocky/Download/RequestAttachment/48658, https://accessgudid.nlm.nih.gov/devices/00886333210923</t>
  </si>
  <si>
    <t>395200</t>
  </si>
  <si>
    <t>ARGON_395200</t>
  </si>
  <si>
    <t>Guidewire - .018 X    80CM  Fixed Core   ST</t>
  </si>
  <si>
    <t>PRODIGO1072797</t>
  </si>
  <si>
    <t>Guidewire 18/80/FC/ST</t>
  </si>
  <si>
    <t>Fixed Core Straight .018“ 80cm Stainless Steel 9.0 Straight</t>
  </si>
  <si>
    <t>GUIDEWIRE, VASCULAR, STRAIGHT, 0.018 INX80 CM, 9 CM, FIXED CORE, TAPERED, STAINLESS STEEL, STERILE, LATEX, DISPOSABLE</t>
  </si>
  <si>
    <t>GUIDEWIRE, VASC, STR, 0.018 INX80 CM, 9 CM, FIX COR, TAPR, SS, STRL, LTX, DISP</t>
  </si>
  <si>
    <t>GUIDEWIRE, VASC, STR, 0.018 INX80 CM, 9 CM, FIX COR, TAPR, SS, DISP</t>
  </si>
  <si>
    <t>9 CM</t>
  </si>
  <si>
    <t>https://kategorizacia.mzsr.sk/Pomocky/Download/RequestAttachment/48658, https://accessgudid.nlm.nih.gov/devices/00886333210947</t>
  </si>
  <si>
    <t>395201</t>
  </si>
  <si>
    <t>ARGON_395201</t>
  </si>
  <si>
    <t>Guidewire - .018 X  100CM  Fixed Core   ST</t>
  </si>
  <si>
    <t>PRODIGO1072798</t>
  </si>
  <si>
    <t>Guidewire 18/100/FC/ST</t>
  </si>
  <si>
    <t>Fixed Core Straight .018“ 100cm Stainless Steel 9.0 Straight</t>
  </si>
  <si>
    <t>GUIDEWIRE, VASCULAR, STRAIGHT, 0.018 INX100 CM, 9 CM, FIXED CORE, TAPERED, STAINLESS STEEL, STERILE, LATEX, DISPOSABLE</t>
  </si>
  <si>
    <t>GUIDEWIRE, VASC, STR, 0.018 INX100 CM, 9 CM, FIX COR, TAPR, SS, STRL, LTX, DISP</t>
  </si>
  <si>
    <t>GUIDEWIRE, VASC, STR, 0.018 INX100 CM, 9 CM, FIX COR, TAPR, SS, DISP</t>
  </si>
  <si>
    <t>0.018 INX100 CM</t>
  </si>
  <si>
    <t>https://kategorizacia.mzsr.sk/Pomocky/Download/RequestAttachment/48658, https://accessgudid.nlm.nih.gov/devices/00886333210954</t>
  </si>
  <si>
    <t>395203</t>
  </si>
  <si>
    <t>ARGON_395203</t>
  </si>
  <si>
    <t>Guidewire - .021 X    80CM  Fixed Core   ST</t>
  </si>
  <si>
    <t>PRODIGO1072799</t>
  </si>
  <si>
    <t>Guidewire 21/80/FC/ST</t>
  </si>
  <si>
    <t>Fixed Core Straight .021 80cm Stainless Steel 9.0 Straight</t>
  </si>
  <si>
    <t>GUIDEWIRE, VASCULAR, STRAIGHT, 0.021 INX80 CM, 9 CM, FIXED CORE, TAPERED, STAINLESS STEEL, STERILE, LATEX, DISPOSABLE</t>
  </si>
  <si>
    <t>GUIDEWIRE, VASC, STR, 0.021 INX80 CM, 9 CM, FIX COR, TAPR, SS, STRL, LTX, DISP</t>
  </si>
  <si>
    <t>GUIDEWIRE, VASC, STR, 0.021 INX80 CM, 9 CM, FIX COR, TAPR, SS, DISP</t>
  </si>
  <si>
    <t>0.021 INX80 CM</t>
  </si>
  <si>
    <t>https://kategorizacia.mzsr.sk/Pomocky/Download/RequestAttachment/48658, https://accessgudid.nlm.nih.gov/devices/00886333210961</t>
  </si>
  <si>
    <t>395204</t>
  </si>
  <si>
    <t>ARGON_395204</t>
  </si>
  <si>
    <t>Guidewire - .021 X  100CM  Fixed Core   ST</t>
  </si>
  <si>
    <t>PRODIGO1072800</t>
  </si>
  <si>
    <t>Guidewire 21/100/FC/ST</t>
  </si>
  <si>
    <t>GUIDEWIRE, VASCULAR, STRAIGHT, 0.021 INX100 CM, 9 CM, FIXED CORE, TAPERED, STAINLESS STEEL, STERILE, LATEX, DISPOSABLE</t>
  </si>
  <si>
    <t>GUIDEWIRE, VASC, STR, 0.021 INX100 CM, 9 CM, FIX COR, TAPR, SS, STRL, LTX, DISP</t>
  </si>
  <si>
    <t>GUIDEWIRE, VASC, STR, 0.021 INX100 CM, 9 CM, FIX COR, TAPR, SS, DISP</t>
  </si>
  <si>
    <t>0.021 INX100 CM</t>
  </si>
  <si>
    <t>https://accessgudid.nlm.nih.gov/devices/00886333210978</t>
  </si>
  <si>
    <t>395205</t>
  </si>
  <si>
    <t>ARGON_395205</t>
  </si>
  <si>
    <t>Guidewire - .021 X  125CM  Fixed Core   ST</t>
  </si>
  <si>
    <t>PRODIGO1072801</t>
  </si>
  <si>
    <t>Guidewire 21/125/FC/ST</t>
  </si>
  <si>
    <t>Fixed Core Straight .021 125cm Stainless Steel 9.0 Straight</t>
  </si>
  <si>
    <t>GUIDEWIRE, VASCULAR, STRAIGHT, 0.021 INX125 CM, 9 CM, FIXED CORE, TAPERED, STAINLESS STEEL, STERILE, LATEX, DISPOSABLE</t>
  </si>
  <si>
    <t>GUIDEWIRE, VASC, STR, 0.021 INX125 CM, 9 CM, FIX COR, TAPR, SS, STRL, LTX, DISP</t>
  </si>
  <si>
    <t>GUIDEWIRE, VASC, STR, 0.021 INX125 CM, 9 CM, FIX COR, TAPR, SS, DISP</t>
  </si>
  <si>
    <t>0.021 INX125 CM</t>
  </si>
  <si>
    <t>https://kategorizacia.mzsr.sk/Pomocky/Download/RequestAttachment/48658, https://accessgudid.nlm.nih.gov/devices/00886333210985</t>
  </si>
  <si>
    <t>395206</t>
  </si>
  <si>
    <t>ARGON_395206</t>
  </si>
  <si>
    <t>Guidewire - .025 X    40CM  Fixed Core   ST</t>
  </si>
  <si>
    <t>PRODIGO1072802</t>
  </si>
  <si>
    <t>Guidewire 25/40/FC/ST</t>
  </si>
  <si>
    <t>Fixed Core Straight .025 40cm Stainless Steel 9.0 Straight</t>
  </si>
  <si>
    <t>GUIDEWIRE, VASCULAR, STRAIGHT, 0.025 INX40 CM, 9 CM, FIXED CORE, TAPERED, STAINLESS STEEL, STERILE, LATEX, DISPOSABLE</t>
  </si>
  <si>
    <t>GUIDEWIRE, VASC, STR, 0.025 INX40 CM, 9 CM, FIX COR, TAPR, SS, STRL, LTX, DISP</t>
  </si>
  <si>
    <t>GUIDEWIRE, VASC, STR, 0.025 INX40 CM, 9 CM, FIX COR, TAPR, SS, DISP</t>
  </si>
  <si>
    <t>0.025 INX40 CM</t>
  </si>
  <si>
    <t>https://kategorizacia.mzsr.sk/Pomocky/Download/RequestAttachment/48658, https://accessgudid.nlm.nih.gov/devices/00886333210992</t>
  </si>
  <si>
    <t>395208</t>
  </si>
  <si>
    <t>ARGON_395208</t>
  </si>
  <si>
    <t>Guidewire - .025 X  125CM  Fixed Core   ST</t>
  </si>
  <si>
    <t>PRODIGO1072803</t>
  </si>
  <si>
    <t>Guidewire 25/125/FC/ST</t>
  </si>
  <si>
    <t>GUIDEWIRE, VASCULAR, STRAIGHT, 0.025 INX125 CM, 9 CM, FIXED CORE, TAPERED, STAINLESS STEEL, STERILE, LATEX, DISPOSABLE</t>
  </si>
  <si>
    <t>GUIDEWIRE, VASC, STR, 0.025 INX125 CM, 9 CM, FIX COR, TAPR, SS, STRL, LTX, DISP</t>
  </si>
  <si>
    <t>GUIDEWIRE, VASC, STR, 0.025 INX125 CM, 9 CM, FIX COR, TAPR, SS, LTX</t>
  </si>
  <si>
    <t>0.025 INX125 CM</t>
  </si>
  <si>
    <t>https://accessgudid.nlm.nih.gov/devices/00886333211005</t>
  </si>
  <si>
    <t>395212</t>
  </si>
  <si>
    <t>ARGON_395212</t>
  </si>
  <si>
    <t>Guidewire - .032 X  150CM  Fixed Core   ST</t>
  </si>
  <si>
    <t>PRODIGO1072804</t>
  </si>
  <si>
    <t>Guidewire 32/150/FC/ST</t>
  </si>
  <si>
    <t>GUIDEWIRE, VASCULAR, STRAIGHT, 0.032 INX150 CM, 9 CM, FIXED CORE, TAPERED, STAINLESS STEEL, STERILE, LATEX, DISPOSABLE</t>
  </si>
  <si>
    <t>GUIDEWIRE, VASC, STR, 0.032 INX150 CM, 9 CM, FIX COR, TAPR, SS, STRL, LTX, DISP</t>
  </si>
  <si>
    <t>GUIDEWIRE, VASC, STR, 0.032 INX150 CM, 9 CM, FIX COR, TAPR, SS, LTX</t>
  </si>
  <si>
    <t>0.032 INX150 CM</t>
  </si>
  <si>
    <t>https://accessgudid.nlm.nih.gov/devices/00886333211012</t>
  </si>
  <si>
    <t>395213</t>
  </si>
  <si>
    <t>ARGON_395213</t>
  </si>
  <si>
    <t>Guidewire - .035 X    40CM  Fixed Core   ST</t>
  </si>
  <si>
    <t>PRODIGO1072805</t>
  </si>
  <si>
    <t>Guidewire 35/40/FC/ST</t>
  </si>
  <si>
    <t>GUIDEWIRE, VASCULAR, STRAIGHT, 0.035 INX40 CM, 9 CM, FIXED CORE, TAPERED, STAINLESS STEEL, STERILE, LATEX, DISPOSABLE</t>
  </si>
  <si>
    <t>GUIDEWIRE, VASC, STR, 0.035 INX40 CM, 9 CM, FIX COR, TAPR, SS, STRL, LTX, DISP</t>
  </si>
  <si>
    <t>GUIDEWIRE, VASC, STR, 0.035 INX40 CM, 9 CM, FIX COR, TAPR, SS, DISP</t>
  </si>
  <si>
    <t>0.035 INX40 CM</t>
  </si>
  <si>
    <t>https://accessgudid.nlm.nih.gov/devices/00886333211029</t>
  </si>
  <si>
    <t>395217</t>
  </si>
  <si>
    <t>ARGON_395217</t>
  </si>
  <si>
    <t>Guidewire - .038 X    40CM  Fixed Core   ST</t>
  </si>
  <si>
    <t>PRODIGO1072806</t>
  </si>
  <si>
    <t>Guidewire 38/40/FC/ST</t>
  </si>
  <si>
    <t>GUIDEWIRE, VASCULAR, STRAIGHT, 0.038 INX40 CM, 9 CM, FIXED CORE, TAPERED, STAINLESS STEEL, STERILE, LATEX, DISPOSABLE</t>
  </si>
  <si>
    <t>GUIDEWIRE, VASC, STR, 0.038 INX40 CM, 9 CM, FIX COR, TAPR, SS, STRL, LTX, DISP</t>
  </si>
  <si>
    <t>GUIDEWIRE, VASC, STR, 0.038 INX40 CM, 9 CM, FIX COR, TAPR, SS, DISP</t>
  </si>
  <si>
    <t>0.038 INX40 CM</t>
  </si>
  <si>
    <t>https://accessgudid.nlm.nih.gov/devices/00886333211036</t>
  </si>
  <si>
    <t>395224</t>
  </si>
  <si>
    <t>ARGON_395224</t>
  </si>
  <si>
    <t>Guidewire - .025 X  125CM   Fixed Core   ST   PTFE</t>
  </si>
  <si>
    <t>PRODIGO1072807</t>
  </si>
  <si>
    <t>Guidewire 25/125/FC/PTFE/ST</t>
  </si>
  <si>
    <t>GUIDEWIRE, VASCULAR, STRAIGHT, 0.025 INX125 CM, 9 CM, FIXED CORE, TAPERED, PTFE COATED, STAINLESS STEEL, STERILE, LATEX, DISPOSABLE</t>
  </si>
  <si>
    <t>GUIDEWIRE, VASC, STR, 0.025 INX125 CM, 9 CM, FIX COR, TAPR, PTFE COAT, SS, STRL, LTX, DISP</t>
  </si>
  <si>
    <t>GUIDEWIRE, VASC, STR, 0.025 INX125 CM, 9 CM, FIX COR, TAPR, PTFE, SS</t>
  </si>
  <si>
    <t>https://accessgudid.nlm.nih.gov/devices/00886333211043</t>
  </si>
  <si>
    <t>395225</t>
  </si>
  <si>
    <t>ARGON_395225</t>
  </si>
  <si>
    <t>Guidewire - .025 X  150CM   Fixed Core   ST   PTFE</t>
  </si>
  <si>
    <t>PRODIGO1072808</t>
  </si>
  <si>
    <t>Guidewire 25/150/FC/PTFE/ST</t>
  </si>
  <si>
    <t>Fixed Core Straight .025 150cm PTFE Coated Stainless Steel 9.0 Straight</t>
  </si>
  <si>
    <t>GUIDEWIRE, VASCULAR, STRAIGHT, 0.025 INX150 CM, 9 CM, FIXED CORE, TAPERED, PTFE COATED, STAINLESS STEEL, STERILE, LATEX, DISPOSABLE</t>
  </si>
  <si>
    <t>GUIDEWIRE, VASC, STR, 0.025 INX150 CM, 9 CM, FIX COR, TAPR, PTFE COAT, SS, STRL, LTX, DISP</t>
  </si>
  <si>
    <t>GUIDEWIRE, VASC, STR, 0.025 INX150 CM, 9 CM, FIX COR, TAPR, SS, DISP</t>
  </si>
  <si>
    <t>0.025 INX150 CM</t>
  </si>
  <si>
    <t>https://kategorizacia.mzsr.sk/Pomocky/Download/RequestAttachment/48658, https://accessgudid.nlm.nih.gov/devices/00886333211050</t>
  </si>
  <si>
    <t>395228</t>
  </si>
  <si>
    <t>ARGON_395228</t>
  </si>
  <si>
    <t>Guidewire - .032 X  150CM   Fixed Core   ST   PTFE</t>
  </si>
  <si>
    <t>PRODIGO1072809</t>
  </si>
  <si>
    <t>Guidewire 32/150/FC/PTFE/ST</t>
  </si>
  <si>
    <t>GUIDEWIRE, VASCULAR, STRAIGHT, 0.032 INX150 CM, 9 CM, FIXED CORE, TAPERED, PTFE COATED, STAINLESS STEEL, STERILE, LATEX, DISPOSABLE</t>
  </si>
  <si>
    <t>GUIDEWIRE, VASC, STR, 0.032 INX150 CM, 9 CM, FIX COR, TAPR, PTFE COAT, SS, STRL, LTX, DISP</t>
  </si>
  <si>
    <t>GUIDEWIRE, VASC, STR, 0.032 INX150 CM, 9 CM, FIX COR, TAPR, PTFE, SS</t>
  </si>
  <si>
    <t>https://accessgudid.nlm.nih.gov/devices/00886333211067</t>
  </si>
  <si>
    <t>395231</t>
  </si>
  <si>
    <t>ARGON_395231</t>
  </si>
  <si>
    <t>Guidewire - .035 X  150CM   Fixed Core   ST   PTFE</t>
  </si>
  <si>
    <t>PRODIGO1072810</t>
  </si>
  <si>
    <t>Guidewire 35/150/FC/PTFE/ST</t>
  </si>
  <si>
    <t>GUIDEWIRE, VASCULAR, STRAIGHT, 0.035 INX150 CM, 9 CM, FIXED CORE, TAPERED, PTFE COATED, STAINLESS STEEL, STERILE, LATEX, DISPOSABLE</t>
  </si>
  <si>
    <t>GUIDEWIRE, VASC, STR, 0.035 INX150 CM, 9 CM, FIX COR, TAPR, PTFE COAT, SS, STRL, LTX, DISP</t>
  </si>
  <si>
    <t>GUIDEWIRE, VASC, STR, 0.035 INX150 CM, 9 CM, FIX COR, TAPR, SS, DISP</t>
  </si>
  <si>
    <t>https://accessgudid.nlm.nih.gov/devices/00886333211074</t>
  </si>
  <si>
    <t>395234</t>
  </si>
  <si>
    <t>ARGON_395234</t>
  </si>
  <si>
    <t>Guidewire - .038 X  150CM   Fixed Core   ST   PTFE</t>
  </si>
  <si>
    <t>PRODIGO1072811</t>
  </si>
  <si>
    <t>Guidewire 38/150/FC/PTFE/ST</t>
  </si>
  <si>
    <t>Fixed Core Straight .038 150cm PTFE Coated Stainless Steel 9/3cm Straight</t>
  </si>
  <si>
    <t>GUIDEWIRE, VASCULAR, STRAIGHT, 0.038 INX150 CM, 9/3 CM, FIXED CORE, TAPERED, PTFE COATED, STAINLESS STEEL, STERILE, LATEX, DISPOSABLE</t>
  </si>
  <si>
    <t>GUIDEWIRE, VASC, STR, 0.038 INX150 CM, 9/3 CM, FIX COR, TAPR, PTFE COAT, SS, STRL, LTX, DISP</t>
  </si>
  <si>
    <t>GUIDEWIRE, VASC, STR, 0.038 INX150 CM, 9/3 CM, FIX COR, TAPR, SS</t>
  </si>
  <si>
    <t>9/3 CM</t>
  </si>
  <si>
    <t>https://kategorizacia.mzsr.sk/Pomocky/Download/RequestAttachment/48658, https://accessgudid.nlm.nih.gov/devices/00886333211098</t>
  </si>
  <si>
    <t>395258</t>
  </si>
  <si>
    <t>ARGON_395258</t>
  </si>
  <si>
    <t>PRODIGO1072812</t>
  </si>
  <si>
    <t>Guidewire 35/150/MC/PTFE/ST</t>
  </si>
  <si>
    <t>.035 x 150cm Movable Core, Straight - PTFE Coated</t>
  </si>
  <si>
    <t>GUIDEWIRE, VASCULAR, STRAIGHT, 0.035 INX150 CM, MOVABLE CORE, PTFE COATED, STERILE, LATEX, 395258</t>
  </si>
  <si>
    <t>GUIDEWIRE, VASC, STR, 0.035 INX150 CM, MOVABLE COR, STRL, 395258</t>
  </si>
  <si>
    <t>http://www.med-x.com/guide_wires/pdf/ptfe_heparin_coated_ss_GuideWires2.pdf, https://accessgudid.nlm.nih.gov/devices/00886333211104</t>
  </si>
  <si>
    <t>Description Duplicate, Ref# Added</t>
  </si>
  <si>
    <t>395261</t>
  </si>
  <si>
    <t>ARGON_395261</t>
  </si>
  <si>
    <t>Guidewire - .038 X  150CM   Movable Core   ST   PTFE</t>
  </si>
  <si>
    <t>PRODIGO1072813</t>
  </si>
  <si>
    <t>Guidewire 38/150/Movable Core/PTFE/ST</t>
  </si>
  <si>
    <t>.038 x 150cm Movable Core, Straight - PTFE Coated</t>
  </si>
  <si>
    <t>GUIDEWIRE, VASCULAR, STRAIGHT, 0.038 INX150 CM, MOVABLE CORE, PTFE COATED, STERILE, LATEX</t>
  </si>
  <si>
    <t>GUIDEWIRE, VASC, STR, 0.038 INX150 CM, MOVABLE COR, PTFE COAT, STRL, LTX</t>
  </si>
  <si>
    <t>GUIDEWIRE, VASC, STR, 0.038 INX150 CM, MOVABLE COR, STRL, LTX</t>
  </si>
  <si>
    <t>http://www.med-x.com/guide_wires/pdf/ptfe_heparin_coated_ss_GuideWires2.pdf, https://accessgudid.nlm.nih.gov/devices/00886333211111</t>
  </si>
  <si>
    <t>395266</t>
  </si>
  <si>
    <t>ARGON_395266</t>
  </si>
  <si>
    <t>Guidewire - .038 X  150CM   Movable Core   3J/HD   PTFE</t>
  </si>
  <si>
    <t>PRODIGO1072814</t>
  </si>
  <si>
    <t>Guidewire 38/150/Movable Core/PTFE/3J/HD</t>
  </si>
  <si>
    <t>GUIDEWIRE, VASCULAR, J TIP, 3 MM, 0.038 INX150 CM, MOVABLE CORE, HD, PTFE COATED, STERILE, LATEX</t>
  </si>
  <si>
    <t>GUIDEWIRE, VASC, J TIP, 3 MM, 0.038 INX150 CM, MOVABLE COR, HD, PTFE COAT, STRL, LTX</t>
  </si>
  <si>
    <t>GUIDEWIRE, VASC, J TIP, 3 MM, 0.038 INX150 CM, MOVABLE COR, HD, LTX</t>
  </si>
  <si>
    <t>MOVABLE CORE, HD</t>
  </si>
  <si>
    <t>https://accessgudid.nlm.nih.gov/devices/00886333211128</t>
  </si>
  <si>
    <t>395270</t>
  </si>
  <si>
    <t>ARGON_395270</t>
  </si>
  <si>
    <t>Guidewire - .025 X  125CM  Fixed Core   3J</t>
  </si>
  <si>
    <t>PRODIGO1072815</t>
  </si>
  <si>
    <t>Guidewire 25/125/FC/3J</t>
  </si>
  <si>
    <t>GUIDEWIRE, VASCULAR, J TIP, 3 MM, 0.025 INX125 CM, FIXED CORE, PTFE COATED, STAINLESS STEEL, STERILE, LATEX</t>
  </si>
  <si>
    <t>GUIDEWIRE, VASC, J TIP, 3 MM, 0.025 INX125 CM, FIX COR, PTFE COAT, SS, STRL, LTX</t>
  </si>
  <si>
    <t>GUIDEWIRE, VASC, J TIP, 3 MM, 0.025 INX125 CM, FIX COR, SS, LTX</t>
  </si>
  <si>
    <t>https://accessgudid.nlm.nih.gov/devices/00886333211142</t>
  </si>
  <si>
    <t>395271</t>
  </si>
  <si>
    <t>ARGON_395271</t>
  </si>
  <si>
    <t>Guidewire - .035 X    40CM  Fixed Core    3J</t>
  </si>
  <si>
    <t>PRODIGO1072816</t>
  </si>
  <si>
    <t>Guidewire 35/40/FC/3J</t>
  </si>
  <si>
    <t>PTFE COATED - STAINLESS STEEL .035 40cm 8.5 3mm</t>
  </si>
  <si>
    <t>GUIDEWIRE, VASCULAR, J TIP, 3 MM, 0.035 INX40 CM, FIXED CORE, PTFE COATED, STAINLESS STEEL, STERILE, LATEX, DISPOSABLE</t>
  </si>
  <si>
    <t>GUIDEWIRE, VASC, J TIP, 3 MM, 0.035 INX40 CM, FIX COR, PTFE COAT, SS, STRL, LTX, DISP</t>
  </si>
  <si>
    <t>GUIDEWIRE, VASC, J TIP, 3 MM, 0.035 INX40 CM, FIX COR, SS, LTX, DISP</t>
  </si>
  <si>
    <t>https://kategorizacia.mzsr.sk/Pomocky/Download/RequestAttachment/48658, https://accessgudid.nlm.nih.gov/devices/00886333211159</t>
  </si>
  <si>
    <t>395273</t>
  </si>
  <si>
    <t>ARGON_395273</t>
  </si>
  <si>
    <t>Guidewire - .035 X  150CM  Fixed Core   3J</t>
  </si>
  <si>
    <t>PRODIGO1072817</t>
  </si>
  <si>
    <t>Guidewire 35/150/FC/3J</t>
  </si>
  <si>
    <t>GUIDEWIRE, VASCULAR, J TIP, 3 MM, 0.035 INX150 CM, FIXED CORE, PTFE COATED, STAINLESS STEEL, STERILE, LATEX</t>
  </si>
  <si>
    <t>GUIDEWIRE, VASC, J TIP, 3 MM, 0.035 INX150 CM, FIX COR, PTFE COAT, SS, STRL, LTX</t>
  </si>
  <si>
    <t>GUIDEWIRE, VASC, J TIP, 3 MM, 0.035 INX150 CM, FIX COR, SS, LTX</t>
  </si>
  <si>
    <t>https://accessgudid.nlm.nih.gov/devices/00886333211166</t>
  </si>
  <si>
    <t>395279</t>
  </si>
  <si>
    <t>ARGON_395279</t>
  </si>
  <si>
    <t>Guidewire - .025 X  125CM   Fixed Core   3J  PTFE</t>
  </si>
  <si>
    <t>PRODIGO1072818</t>
  </si>
  <si>
    <t>Guidewire 25/125/FC/PTFE/3J</t>
  </si>
  <si>
    <t>GUIDEWIRE, VASCULAR, J TIP, 3 MM, 0.025 INX125 CM, FIXED CORE, PTFE COATED, STAINLESS STEEL, STERILE, LATEX, 395279</t>
  </si>
  <si>
    <t>GUIDEWIRE, VASC, J TIP, 3 MM, 0.025 INX125 CM, FIX COR, SS, 395279</t>
  </si>
  <si>
    <t>https://accessgudid.nlm.nih.gov/devices/00886333211197</t>
  </si>
  <si>
    <t>395280</t>
  </si>
  <si>
    <t>ARGON_395280</t>
  </si>
  <si>
    <t>Guidewire - .035 X  150CM   Fixed Core   1.5J/HD   PTFE</t>
  </si>
  <si>
    <t>PRODIGO1072819</t>
  </si>
  <si>
    <t>Guidewire 35/150/FC/PTFE/1.5J/HD</t>
  </si>
  <si>
    <t>035 x 150cm Fixed Core, Rosen - 1.5mm J - PTFE Coated (3.5cm Core)</t>
  </si>
  <si>
    <t>GUIDEWIRE, VASCULAR, J TIP, 1.5 MM, 0.035 INX150 CM, FIXED CORE, HD, PTFE COATED, STAINLESS STEEL, STERILE, LATEX</t>
  </si>
  <si>
    <t>GUIDEWIRE, VASC, J TIP, 1.5 MM, 0.035 INX150 CM, FIX COR, HD, PTFE COAT, SS, STRL, LTX</t>
  </si>
  <si>
    <t>GUIDEWIRE, VASC, J TIP, 1.5 MM, 0.035 INX150 CM, FIX COR, HD, SS</t>
  </si>
  <si>
    <t>FIXED CORE, HD</t>
  </si>
  <si>
    <t>http://www.med-x.com/guide_wires/pdf/heparin_coated_ss_guide_wires.pdf, https://accessgudid.nlm.nih.gov/devices/00886333211203</t>
  </si>
  <si>
    <t>395281</t>
  </si>
  <si>
    <t>ARGON_395281</t>
  </si>
  <si>
    <t>Guidewire - .035 X  125CM   Fixed Core   3J   PTFE</t>
  </si>
  <si>
    <t>PRODIGO1072820</t>
  </si>
  <si>
    <t>Guidewire 35/125/FC/PTFE/3J</t>
  </si>
  <si>
    <t>.035 x 125cm Fixed Core, 3mm J - PTFE Coated, Standard (8.5cm Core)</t>
  </si>
  <si>
    <t>GUIDEWIRE, VASCULAR, J TIP, 3 MM, 0.035 INX125 CM, FIXED CORE, PTFE COATED, STAINLESS STEEL, STERILE, LATEX</t>
  </si>
  <si>
    <t>GUIDEWIRE, VASC, J TIP, 3 MM, 0.035 INX125 CM, FIX COR, PTFE COAT, SS, STRL, LTX</t>
  </si>
  <si>
    <t>GUIDEWIRE, VASC, J TIP, 3 MM, 0.035 INX125 CM, FIX COR, SS, LTX</t>
  </si>
  <si>
    <t>0.035 INX125 CM</t>
  </si>
  <si>
    <t>http://www.med-x.com/guide_wires/pdf/ptfe_heparin_coated_ss_GuideWires2.pdf, https://accessgudid.nlm.nih.gov/devices/00886333211210</t>
  </si>
  <si>
    <t>395284</t>
  </si>
  <si>
    <t>ARGON_395284</t>
  </si>
  <si>
    <t>Guidewire - .038 X  150CM   Fixed Core   3J   PTFE</t>
  </si>
  <si>
    <t>PRODIGO1072821</t>
  </si>
  <si>
    <t>PTFE COATED - STAINLESS STEEL Fixed Core J Tip .038 150cm 8.5 3mm</t>
  </si>
  <si>
    <t>GUIDEWIRE, VASCULAR, J TIP, 3 MM, 0.038 INX150 CM, FIXED CORE, PTFE COATED, STAINLESS STEEL, STERILE, LATEX</t>
  </si>
  <si>
    <t>GUIDEWIRE, VASC, J TIP, 3 MM, 0.038 INX150 CM, FIX COR, PTFE COAT, SS, STRL, LTX</t>
  </si>
  <si>
    <t>GUIDEWIRE, VASC, J TIP, 3 MM, 0.038 INX150 CM, FIX COR, SS, LTX</t>
  </si>
  <si>
    <t>https://kategorizacia.mzsr.sk/Pomocky/Download/RequestAttachment/48658, https://accessgudid.nlm.nih.gov/devices/00886333211234</t>
  </si>
  <si>
    <t>395289</t>
  </si>
  <si>
    <t>ARGON_395289</t>
  </si>
  <si>
    <t>Guidewire - .035 X  150CM   Fixed Core   6J   PTFE</t>
  </si>
  <si>
    <t>PRODIGO1072822</t>
  </si>
  <si>
    <t>Guidewire 35/150/FC/PTFE/6J</t>
  </si>
  <si>
    <t>GUIDEWIRE, VASCULAR, J TIP, 6 MM, 0.035 INX150 CM, FIXED CORE, PTFE COATED, STAINLESS STEEL, STERILE, LATEX</t>
  </si>
  <si>
    <t>GUIDEWIRE, VASC, J TIP, 6 MM, 0.035 INX150 CM, FIX COR, PTFE COAT, SS, STRL, LTX</t>
  </si>
  <si>
    <t>GUIDEWIRE, VASC, J TIP, 6 MM, 0.035 INX150 CM, FIX COR, SS, LTX</t>
  </si>
  <si>
    <t>6 MM</t>
  </si>
  <si>
    <t>https://accessgudid.nlm.nih.gov/devices/00886333211241</t>
  </si>
  <si>
    <t>395309</t>
  </si>
  <si>
    <t>ARGON_395309</t>
  </si>
  <si>
    <t>Guidewire - .032 X  150CM   Movable Core   3J   PTFE</t>
  </si>
  <si>
    <t>PRODIGO1072823</t>
  </si>
  <si>
    <t>Guidewire 32/150/Movable Core/PTFE/3J</t>
  </si>
  <si>
    <t>MOVEABLE CORE PTFE COATED .032 150cm Standard 3mm</t>
  </si>
  <si>
    <t>GUIDEWIRE, VASCULAR, J TIP, STANDARD, 3 MM, 0.032 INX150 CM, MOVABLE CORE, PTFE COATED, STERILE, LATEX</t>
  </si>
  <si>
    <t>GUIDEWIRE, VASC, J TIP, STD, 3 MM, 0.032 INX150 CM, MOVABLE COR, PTFE COAT, STRL, LTX</t>
  </si>
  <si>
    <t>GUIDEWIRE, VASC, J TIP, STD, 3 MM, 0.032 INX150 CM, MOVABLE COR</t>
  </si>
  <si>
    <t>STANDARD, 3 MM</t>
  </si>
  <si>
    <t>https://kategorizacia.mzsr.sk/Pomocky/Download/RequestAttachment/48658, https://accessgudid.nlm.nih.gov/devices/00886333211265</t>
  </si>
  <si>
    <t>395312</t>
  </si>
  <si>
    <t>ARGON_395312</t>
  </si>
  <si>
    <t>Guidewire - .035 X  150CM   Movable Core/HD  3J   PTFE</t>
  </si>
  <si>
    <t>PRODIGO1072824</t>
  </si>
  <si>
    <t>Guidewire 35/150/MC/PTFE/3J/HD</t>
  </si>
  <si>
    <t>MOVEABLE CORE PTFE COATED .035 150cm Classsic (HD) Standard 3mm</t>
  </si>
  <si>
    <t>GUIDEWIRE, VASCULAR, J TIP, 3 MM, 0.035 INX150 CM, MOVABLE CORE, CLASSIC, HD, PTFE COATED, STERILE, LATEX</t>
  </si>
  <si>
    <t>GUIDEWIRE, VASC, J TIP, 3 MM, 0.035 INX150 CM, MOVABLE COR, CLASSIC, HD, PTFE COAT, STRL, LTX</t>
  </si>
  <si>
    <t>GUIDEWIRE, VASC, J TIP, 3 MM, 0.035 INX150 CM, MOVABLE, CLASSIC, HD</t>
  </si>
  <si>
    <t>MOVABLE CORE, CLASSIC, HD</t>
  </si>
  <si>
    <t>https://kategorizacia.mzsr.sk/Pomocky/Download/RequestAttachment/48658, https://accessgudid.nlm.nih.gov/devices/00886333211272</t>
  </si>
  <si>
    <t>395315</t>
  </si>
  <si>
    <t>ARGON_395315</t>
  </si>
  <si>
    <t>Guidewire - .038 X  150CM   Movable Core   3J   PTFE</t>
  </si>
  <si>
    <t>PRODIGO1072825</t>
  </si>
  <si>
    <t>Guidewire 38/150/MC/PTFE/3J</t>
  </si>
  <si>
    <t>MOVEABLE CORE PTFE COATED .038 150cm Standard 3mm</t>
  </si>
  <si>
    <t>GUIDEWIRE, VASCULAR, J TIP, STANDARD, 3 MM, 0.038 INX150 CM, MOVABLE CORE, PTFE COATED, STERILE, LATEX</t>
  </si>
  <si>
    <t>GUIDEWIRE, VASC, J TIP, STD, 3 MM, 0.038 INX150 CM, MOVABLE COR, PTFE COAT, STRL, LTX</t>
  </si>
  <si>
    <t>GUIDEWIRE, VASC, J TIP, STD, 3 MM, 0.038 INX150 CM, MOVABLE COR</t>
  </si>
  <si>
    <t>https://kategorizacia.mzsr.sk/Pomocky/Download/RequestAttachment/48658, https://accessgudid.nlm.nih.gov/devices/00886333211289</t>
  </si>
  <si>
    <t>395320</t>
  </si>
  <si>
    <t>ARGON_395320</t>
  </si>
  <si>
    <t>Guidewire - .035 X  150CM   Movable Core/Slip  3J   PTFE</t>
  </si>
  <si>
    <t>PRODIGO1072826</t>
  </si>
  <si>
    <t>MOVEABLE CORE PTFE COATED .035 150cm Standard 3mm</t>
  </si>
  <si>
    <t>GUIDEWIRE, VASCULAR, J TIP, STANDARD, 3 MM, 0.035 INX150 CM, MOVABLE CORE, SLIP TIP, PTFE COATED, STERILE, LATEX</t>
  </si>
  <si>
    <t>GUIDEWIRE, VASC, J TIP, STD, 3 MM, 0.035 INX150 CM, MOVABLE COR, SLIP TIP, PTFE COAT, STRL, LTX</t>
  </si>
  <si>
    <t>GUIDEWIRE, VASC, J TIP, STD, 3 MM, 0.035 INX150 CM, MOVABLE, SLIP</t>
  </si>
  <si>
    <t>MOVABLE CORE, SLIP TIP</t>
  </si>
  <si>
    <t>https://kategorizacia.mzsr.sk/Pomocky/Download/RequestAttachment/48658, https://accessgudid.nlm.nih.gov/devices/00886333211296</t>
  </si>
  <si>
    <t>395332</t>
  </si>
  <si>
    <t>ARGON_395332</t>
  </si>
  <si>
    <t>Guidewire - .032 X  150CM   Fixed Core   3J/HD   PTFE</t>
  </si>
  <si>
    <t>PRODIGO1072827</t>
  </si>
  <si>
    <t>Guidewire 32/150/FC/PTFE/3J/HD</t>
  </si>
  <si>
    <t>GUIDEWIRE, VASCULAR, J TIP, 3 MM, 0.032 INX150 CM, FIXED CORE, HD, PTFE COATED, STERILE, LATEX</t>
  </si>
  <si>
    <t>GUIDEWIRE, VASC, J TIP, 3 MM, 0.032 INX150 CM, FIX COR, HD, PTFE COAT, STRL, LTX</t>
  </si>
  <si>
    <t>GUIDEWIRE, VASC, J TIP, 3 MM, 0.032 INX150 CM, FIX COR, HD, LTX</t>
  </si>
  <si>
    <t>https://accessgudid.nlm.nih.gov/devices/00886333211319</t>
  </si>
  <si>
    <t>395337</t>
  </si>
  <si>
    <t>ARGON_395337</t>
  </si>
  <si>
    <t>Guidewire - .035 X  125CM   Movable Core   6J   PTFE</t>
  </si>
  <si>
    <t>PRODIGO1072828</t>
  </si>
  <si>
    <t>Guidewire 35/125/Movable Core/PTFE/6J</t>
  </si>
  <si>
    <t>GUIDEWIRE, VASCULAR, J TIP, 6 MM, 0.035 INX125 CM, MOVABLE CORE, PTFE COATED, STERILE, LATEX</t>
  </si>
  <si>
    <t>GUIDEWIRE, VASC, J TIP, 6 MM, 0.035 INX125 CM, MOVABLE COR, PTFE COAT, STRL, LTX</t>
  </si>
  <si>
    <t>GUIDEWIRE, VASC, J TIP, 6 MM, 0.035 INX125 CM, MOVABLE COR, LTX</t>
  </si>
  <si>
    <t>https://accessgudid.nlm.nih.gov/devices/00886333211333</t>
  </si>
  <si>
    <t>395345</t>
  </si>
  <si>
    <t>ARGON_395345</t>
  </si>
  <si>
    <t xml:space="preserve">Guidewire - .035 X  150CM   Fixed Core   De-3J&amp;Lt   PTFE </t>
  </si>
  <si>
    <t>PRODIGO1072829</t>
  </si>
  <si>
    <t>Guidewire 35/150/FC/PTFE/DE-3J&amp;LT</t>
  </si>
  <si>
    <t>.035 x 150cm Fixed Core, DE (St. &amp; 3mm J) - PTFE Coated</t>
  </si>
  <si>
    <t>GUIDEWIRE, VASCULAR, STRAIGHT, J TIP, 3 MM, 0.035 INX150 CM, FIXED CORE, DOUBLE ENDED, LT, PTFE COATED, STAINLESS STEEL, STERILE, LATEX</t>
  </si>
  <si>
    <t>GUIDEWIRE, VASC, STR, J TIP, 3 MM, 0.035 INX150 CM, FIX COR, DBL END, LT, PTFE COAT, SS, STRL, LTX</t>
  </si>
  <si>
    <t>GUIDEWIRE, VASC, STR, J TIP, 3 MM, 0.035 INX150 CM, FIX COR, DBL, LT</t>
  </si>
  <si>
    <t>FIXED CORE, DOUBLE ENDED, LT</t>
  </si>
  <si>
    <t>http://www.med-x.com/guide_wires/pdf/heparin_coated_ss_guide_wires.pdf, https://accessgudid.nlm.nih.gov/devices/00886333211340</t>
  </si>
  <si>
    <t>395350</t>
  </si>
  <si>
    <t>ARGON_395350</t>
  </si>
  <si>
    <t>Guidewire - .035 X  180CM   Fixed Core   1.5J/HD   PTFE</t>
  </si>
  <si>
    <t>PRODIGO1072830</t>
  </si>
  <si>
    <t>Guidewire 35/180/FC/PTFE/1.5J/HD</t>
  </si>
  <si>
    <t>.035 x 180cm Fixed Core, Rosen - 1.5mm J - PTFE Coated</t>
  </si>
  <si>
    <t>GUIDEWIRE, VASCULAR, J TIP, 1.5 MM, 0.035 INX180 CM, FIXED CORE, HD, PTFE COATED, STAINLESS STEEL, STERILE, LATEX</t>
  </si>
  <si>
    <t>GUIDEWIRE, VASC, J TIP, 1.5 MM, 0.035 INX180 CM, FIX COR, HD, PTFE COAT, SS, STRL, LTX</t>
  </si>
  <si>
    <t>GUIDEWIRE, VASC, J TIP, 1.5 MM, 0.035 INX180 CM, FIX COR, HD, SS</t>
  </si>
  <si>
    <t>http://www.med-x.com/guide_wires/pdf/heparin_coated_ss_guide_wires.pdf, https://accessgudid.nlm.nih.gov/devices/00886333211357</t>
  </si>
  <si>
    <t>395352</t>
  </si>
  <si>
    <t>ARGON_395352</t>
  </si>
  <si>
    <t>Guidewire - .035 X  150CM   Fixed Core   1.5J/Lt   PTFE</t>
  </si>
  <si>
    <t>PRODIGO1072831</t>
  </si>
  <si>
    <t>Guidewire 35/150/FC/PTFE/15J/LT</t>
  </si>
  <si>
    <t>GUIDEWIRE, VASCULAR, J TIP, 1.5 MM, 0.035 INX150 CM, FIXED CORE, LT, PTFE COATED, STAINLESS STEEL, STERILE, LATEX</t>
  </si>
  <si>
    <t>GUIDEWIRE, VASC, J TIP, 1.5 MM, 0.035 INX150 CM, FIX COR, LT, PTFE COAT, SS, STRL, LTX</t>
  </si>
  <si>
    <t>GUIDEWIRE, VASC, J TIP, 1.5 MM, 0.035 INX150 CM, FIX COR, LT, SS</t>
  </si>
  <si>
    <t>FIXED CORE, LT</t>
  </si>
  <si>
    <t>https://accessgudid.nlm.nih.gov/devices/00886333211364</t>
  </si>
  <si>
    <t>395367</t>
  </si>
  <si>
    <t>ARGON_395367</t>
  </si>
  <si>
    <t>Guidewire - .025 X  260CM   Fixed Core   ST   PTFE</t>
  </si>
  <si>
    <t>PRODIGO1072832</t>
  </si>
  <si>
    <t>Guidewire 25/260/FC/PTFE/ST</t>
  </si>
  <si>
    <t>EXCHANGE WIRES - PTFE COATED .025 260cm Exchange Wires - PTFE Coated 9.0 Straight</t>
  </si>
  <si>
    <t>GUIDEWIRE, VASCULAR, STRAIGHT, 0.025 INX260 CM, 9 CM, FIXED CORE, EXCHANGE, TAPERED, PTFE COATED, STAINLESS STEEL, STERILE, LATEX</t>
  </si>
  <si>
    <t>GUIDEWIRE, VASC, STR, 0.025 INX260 CM, 9 CM, FIX COR, EXCHANGE, TAPR, PTFE COAT, SS, STRL, LTX</t>
  </si>
  <si>
    <t>GUIDEWIRE, VASC, STR, 0.025 INX260 CM, 9 CM, FIX, EXCHANGE, TAPR, SS</t>
  </si>
  <si>
    <t>0.025 INX260 CM</t>
  </si>
  <si>
    <t>FIXED CORE, EXCHANGE, TAPERED</t>
  </si>
  <si>
    <t>https://kategorizacia.mzsr.sk/Pomocky/Download/RequestAttachment/48658, https://accessgudid.nlm.nih.gov/devices/00886333211388</t>
  </si>
  <si>
    <t>395368</t>
  </si>
  <si>
    <t>ARGON_395368</t>
  </si>
  <si>
    <t>Guidewire - .032 X  260CM   Fixed Core   ST   PTFE</t>
  </si>
  <si>
    <t>PRODIGO1072833</t>
  </si>
  <si>
    <t>Guidewire 32/260/FC/PTFE/ST</t>
  </si>
  <si>
    <t>GUIDEWIRE, VASCULAR, STRAIGHT, 0.032 INX260 CM, 9 CM, FIXED CORE, EXCHANGE, TAPERED, PTFE COATED, STAINLESS STEEL, STERILE, LATEX</t>
  </si>
  <si>
    <t>GUIDEWIRE, VASC, STR, 0.032 INX260 CM, 9 CM, FIX COR, EXCHANGE, TAPR, PTFE COAT, SS, STRL, LTX</t>
  </si>
  <si>
    <t>GUIDEWIRE, VASC, STR, 0.032 INX260 CM, 9 CM, FIX, EXCHANGE, TAPR, SS</t>
  </si>
  <si>
    <t>0.032 INX260 CM</t>
  </si>
  <si>
    <t>https://accessgudid.nlm.nih.gov/devices/00886333211395</t>
  </si>
  <si>
    <t>395369</t>
  </si>
  <si>
    <t>ARGON_395369</t>
  </si>
  <si>
    <t>Guidewire - .035 X  260CM   Fixed Core   ST   PTFE</t>
  </si>
  <si>
    <t>PRODIGO1072834</t>
  </si>
  <si>
    <t>Guidewire 35/260/FC/PTFE/ST</t>
  </si>
  <si>
    <t>EXCHANGE WIRES - PTFE COATED .035 260cm Exchange Wires - PTFE Coated 8.5 Straight</t>
  </si>
  <si>
    <t>GUIDEWIRE, VASCULAR, STRAIGHT, 0.035 INX260 CM, 8.5 CM, FIXED CORE, EXCHANGE, TAPERED, PTFE COATED, STAINLESS STEEL, STERILE, LATEX</t>
  </si>
  <si>
    <t>GUIDEWIRE, VASC, STR, 0.035 INX260 CM, 8.5 CM, FIX COR, EXCHANGE, TAPR, PTFE COAT, SS, STRL, LTX</t>
  </si>
  <si>
    <t>GUIDEWIRE, VASC, STR, 0.035 INX260 CM, 8.5 CM, FIX, EXCHANGE, TAPR</t>
  </si>
  <si>
    <t>8.5 CM</t>
  </si>
  <si>
    <t>https://kategorizacia.mzsr.sk/Pomocky/Download/RequestAttachment/48658, https://accessgudid.nlm.nih.gov/devices/00886333211401</t>
  </si>
  <si>
    <t>395370</t>
  </si>
  <si>
    <t>ARGON_395370</t>
  </si>
  <si>
    <t>Guidewire - .038 X  260CM   Fixed Core   ST   PTFE</t>
  </si>
  <si>
    <t>PRODIGO1072835</t>
  </si>
  <si>
    <t>Guidewire 38/260/FC/PTFE/ST</t>
  </si>
  <si>
    <t>EXCHANGE WIRES - PTFE COATED .038 260cm Exchange Wires - PTFE Coated 8.5/3 Straight</t>
  </si>
  <si>
    <t>GUIDEWIRE, VASCULAR, STRAIGHT, 0.038 INX260 CM, 8.5/3 CM, FIXED CORE, EXCHANGE, TAPERED, PTFE COATED, STAINLESS STEEL, STERILE, LATEX</t>
  </si>
  <si>
    <t>GUIDEWIRE, VASC, STR, 0.038 INX260 CM, 8.5/3 CM, FIX COR, EXCHANGE, TAPR, PTFE COAT, SS, STRL, LTX</t>
  </si>
  <si>
    <t>GUIDEWIRE, VASC, STR, 0.038 INX260 CM, 8.5/3 CM, FIX, EXCHANGE, SS</t>
  </si>
  <si>
    <t>0.038 INX260 CM</t>
  </si>
  <si>
    <t>8.5/3 CM</t>
  </si>
  <si>
    <t>https://kategorizacia.mzsr.sk/Pomocky/Download/RequestAttachment/48658, https://accessgudid.nlm.nih.gov/devices/00886333211418</t>
  </si>
  <si>
    <t>395382</t>
  </si>
  <si>
    <t>ARGON_395382</t>
  </si>
  <si>
    <t>Guidewire - .035 X  150CM   Fixed Core   Lt   PTFE</t>
  </si>
  <si>
    <t>PRODIGO1072836</t>
  </si>
  <si>
    <t>Guidewire 35/150/FC/PTFE/LT</t>
  </si>
  <si>
    <t>.035 x 150cm Fixed Core, Newton - Straight - PTFE Coated</t>
  </si>
  <si>
    <t>GUIDEWIRE, VASCULAR, STRAIGHT, 0.035 INX150 CM, FIXED CORE, NEWTON LT, PTFE COATED, STAINLESS STEEL, STERILE, LATEX</t>
  </si>
  <si>
    <t>GUIDEWIRE, VASC, STR, 0.035 INX150 CM, FIX COR, N LT, PTFE COAT, SS, STRL, LTX</t>
  </si>
  <si>
    <t>GUIDEWIRE, VASC, STR, 0.035 INX150 CM, FIX COR, N LT, SS, STRL, LTX</t>
  </si>
  <si>
    <t>FIXED CORE, NEWTON LT</t>
  </si>
  <si>
    <t>http://www.med-x.com/guide_wires/pdf/heparin_coated_ss_guide_wires.pdf, https://accessgudid.nlm.nih.gov/devices/00886333211425</t>
  </si>
  <si>
    <t>395384</t>
  </si>
  <si>
    <t>ARGON_395384</t>
  </si>
  <si>
    <t>Guidewire - .035 X  150CM   Fixed Core   LLT   PTFE</t>
  </si>
  <si>
    <t>PRODIGO1072837</t>
  </si>
  <si>
    <t>Guidewire 35/150/FC/PTFE/LLT</t>
  </si>
  <si>
    <t>GUIDEWIRE, VASCULAR, STRAIGHT, 0.035 INX150 CM, FIXED CORE, NEWTON LLT, PTFE COATED, STAINLESS STEEL, STERILE, LATEX</t>
  </si>
  <si>
    <t>GUIDEWIRE, VASC, STR, 0.035 INX150 CM, FIX COR, N LLT, PTFE COAT, SS, STRL, LTX</t>
  </si>
  <si>
    <t>GUIDEWIRE, VASC, STR, 0.035 INX150 CM, FIX COR, N LLT, SS, STRL, LTX</t>
  </si>
  <si>
    <t>FIXED CORE, NEWTON LLT</t>
  </si>
  <si>
    <t>http://www.med-x.com/guide_wires/pdf/heparin_coated_ss_guide_wires.pdf, https://accessgudid.nlm.nih.gov/devices/00886333211432</t>
  </si>
  <si>
    <t>395398</t>
  </si>
  <si>
    <t>ARGON_395398</t>
  </si>
  <si>
    <t>Guidewire - .035 X  150CM   Movable Core   1.5J   PTFE</t>
  </si>
  <si>
    <t>PRODIGO1072838</t>
  </si>
  <si>
    <t>Guidewire 35/150/Movable Core/PTFE/1.5J</t>
  </si>
  <si>
    <t>GUIDEWIRE, VASCULAR, J TIP, 1.5 MM, 0.035 INX150 CM, MOVABLE CORE, PTFE COATED, STAINLESS STEEL, STERILE, LATEX</t>
  </si>
  <si>
    <t>GUIDEWIRE, VASC, J TIP, 1.5 MM, 0.035 INX150 CM, MOVABLE COR, PTFE COAT, SS, STRL, LTX</t>
  </si>
  <si>
    <t>GUIDEWIRE, VASC, J TIP, 1.5 MM, 0.035 INX150 CM, MOVABLE COR, SS</t>
  </si>
  <si>
    <t>https://accessgudid.nlm.nih.gov/devices/00886333211449</t>
  </si>
  <si>
    <t>395400</t>
  </si>
  <si>
    <t>ARGON_395400</t>
  </si>
  <si>
    <t>Guidewire - .025 X    50CM  Fixed Core   ST</t>
  </si>
  <si>
    <t>PRODIGO1072839</t>
  </si>
  <si>
    <t>Guidewire 25/50/FC/ST</t>
  </si>
  <si>
    <t>GUIDEWIRE, VASCULAR, STRAIGHT, 0.025 INX50 CM, FIXED CORE, PTFE COATED, STAINLESS STEEL, STERILE, LATEX</t>
  </si>
  <si>
    <t>GUIDEWIRE, VASC, STR, 0.025 INX50 CM, FIX COR, PTFE COAT, SS, STRL, LTX</t>
  </si>
  <si>
    <t>GUIDEWIRE, VASC, STR, 0.025 INX50 CM, FIX COR, SS, STRL, LTX</t>
  </si>
  <si>
    <t>0.025 INX50 CM</t>
  </si>
  <si>
    <t>https://accessgudid.nlm.nih.gov/devices/00886333211456</t>
  </si>
  <si>
    <t>395406</t>
  </si>
  <si>
    <t>ARGON_395406</t>
  </si>
  <si>
    <t>Guidewire - .021 X  260CM   Fixed Core   3J   PTFE</t>
  </si>
  <si>
    <t>PRODIGO1072840</t>
  </si>
  <si>
    <t>Guidewire 21/260/FC/PTFE/3J</t>
  </si>
  <si>
    <t>GUIDEWIRE, VASCULAR, J TIP, 3 MM, 0.021 INX260 CM, FIXED CORE, PTFE COATED, STAINLESS STEEL, STERILE, LATEX</t>
  </si>
  <si>
    <t>GUIDEWIRE, VASC, J TIP, 3 MM, 0.021 INX260 CM, FIX COR, PTFE COAT, SS, STRL, LTX</t>
  </si>
  <si>
    <t>GUIDEWIRE, VASC, J TIP, 3 MM, 0.021 INX260 CM, FIX COR, SS, LTX</t>
  </si>
  <si>
    <t>0.021 INX260 CM</t>
  </si>
  <si>
    <t>https://accessgudid.nlm.nih.gov/devices/00886333211463</t>
  </si>
  <si>
    <t>395415</t>
  </si>
  <si>
    <t>ARGON_395415</t>
  </si>
  <si>
    <t>Guidewire - .025 X    65CM  Fixed Core   DE/3J&amp;ST</t>
  </si>
  <si>
    <t>PRODIGO1072841</t>
  </si>
  <si>
    <t>Guidewire 25/65/FC/DE/3J&amp;ST</t>
  </si>
  <si>
    <t>STAINLESS STEEL DOUBLE ENDED .025 65cm Straight &amp; 3mm 9.0 3mm</t>
  </si>
  <si>
    <t>GUIDEWIRE, VASCULAR, STRAIGHT, J TIP, 3 MM, 0.025 INX65 CM, 9 CM, FIXED CORE, DOUBLE ENDED, TAPERED, PTFE COATED, STAINLESS STEEL, STERILE, LATEX</t>
  </si>
  <si>
    <t>GUIDEWIRE, VASC, STR, J TIP, 3 MM, 0.025 INX65 CM, 9 CM, FIX COR, DBL END, TAPR, PTFE COAT, SS, STRL, LTX</t>
  </si>
  <si>
    <t>GUIDEWIRE, VASC, STR, J TIP, 3 MM, 0.025 INX65 CM, 9 CM, FIX, DBL, SS</t>
  </si>
  <si>
    <t>0.025 INX65 CM</t>
  </si>
  <si>
    <t>FIXED CORE, DOUBLE ENDED, TAPERED</t>
  </si>
  <si>
    <t>https://kategorizacia.mzsr.sk/Pomocky/Download/RequestAttachment/48658, https://accessgudid.nlm.nih.gov/devices/00886333211470</t>
  </si>
  <si>
    <t>395420</t>
  </si>
  <si>
    <t>ARGON_395420</t>
  </si>
  <si>
    <t>Guidewire - .025 X  150CM   Fixed Core   1.5J   PTFE</t>
  </si>
  <si>
    <t>PRODIGO1072842</t>
  </si>
  <si>
    <t>Guidewire 25/150/FC/PTFE/1.5J</t>
  </si>
  <si>
    <t>PTFE COATED - STAINLESS STEEL - Fixed Core J Tip .025 150cm 9.0 1.5mm</t>
  </si>
  <si>
    <t>GUIDEWIRE, VASCULAR, J TIP, 1.5 MM, 0.025 INX150 CM, 9 CM, FIXED CORE, TAPERED, PTFE COATED, STAINLESS STEEL, STERILE, LATEX</t>
  </si>
  <si>
    <t>GUIDEWIRE, VASC, J TIP, 1.5 MM, 0.025 INX150 CM, 9 CM, FIX COR, TAPR, PTFE COAT, SS, STRL, LTX</t>
  </si>
  <si>
    <t>GUIDEWIRE, VASC, J TIP, 1.5 MM, 0.025 INX150 CM, 9 CM, FIX, TAPR, SS</t>
  </si>
  <si>
    <t>https://kategorizacia.mzsr.sk/Pomocky/Download/RequestAttachment/48658, https://accessgudid.nlm.nih.gov/devices/00886333211487</t>
  </si>
  <si>
    <t>395451</t>
  </si>
  <si>
    <t>ARGON_395451</t>
  </si>
  <si>
    <t>Guidewire - .018 X    40CM  Fixed Core   ST</t>
  </si>
  <si>
    <t>PRODIGO1072843</t>
  </si>
  <si>
    <t>Guidewire 18/40/FC/ST</t>
  </si>
  <si>
    <t>Fixed Core Straight .018“ 40cm Stainless Steel 9.0 Straight</t>
  </si>
  <si>
    <t>GUIDEWIRE, VASCULAR, STRAIGHT, 0.018 INX40 CM, 9 CM, FIXED CORE, TAPERED, PTFE COATED, STAINLESS STEEL, STERILE, LATEX</t>
  </si>
  <si>
    <t>GUIDEWIRE, VASC, STR, 0.018 INX40 CM, 9 CM, FIX COR, TAPR, PTFE COAT, SS, STRL, LTX</t>
  </si>
  <si>
    <t>GUIDEWIRE, VASC, STR, 0.018 INX40 CM, 9 CM, FIX COR, TAPR, SS, LTX</t>
  </si>
  <si>
    <t>https://kategorizacia.mzsr.sk/Pomocky/Download/RequestAttachment/48658, https://accessgudid.nlm.nih.gov/devices/00886333211500</t>
  </si>
  <si>
    <t>395454</t>
  </si>
  <si>
    <t>ARGON_395454</t>
  </si>
  <si>
    <t>Guidewire - .018 X    40CM  Fixed Core   3J</t>
  </si>
  <si>
    <t>PRODIGO1072844</t>
  </si>
  <si>
    <t>Guidewire 18/40/FC/3J</t>
  </si>
  <si>
    <t>GUIDEWIRE, VASCULAR, J TIP, 3 MM, 0.018 INX40 CM, FIXED CORE, PTFE COATED, STAINLESS STEEL, STERILE, LATEX</t>
  </si>
  <si>
    <t>GUIDEWIRE, VASC, J TIP, 3 MM, 0.018 INX40 CM, FIX COR, PTFE COAT, SS, STRL, LTX</t>
  </si>
  <si>
    <t>GUIDEWIRE, VASC, J TIP, 3 MM, 0.018 INX40 CM, FIX COR, SS, STRL, LTX</t>
  </si>
  <si>
    <t>https://accessgudid.nlm.nih.gov/devices/00886333211517</t>
  </si>
  <si>
    <t>395457</t>
  </si>
  <si>
    <t>ARGON_395457</t>
  </si>
  <si>
    <t>Guidewire - .018 X  150CM   Fixed Core   ST   PTFE</t>
  </si>
  <si>
    <t>PRODIGO1072845</t>
  </si>
  <si>
    <t>Guidewire 18/150/FC/PTFE/ST</t>
  </si>
  <si>
    <t>GUIDEWIRE, VASCULAR, STRAIGHT, 0.018 INX150 CM, FIXED CORE, PTFE COATED, STAINLESS STEEL, STERILE, LATEX</t>
  </si>
  <si>
    <t>GUIDEWIRE, VASC, STR, 0.018 INX150 CM, FIX COR, PTFE COAT, SS, STRL, LTX</t>
  </si>
  <si>
    <t>GUIDEWIRE, VASC, STR, 0.018 INX150 CM, FIX COR, SS, STRL, LTX</t>
  </si>
  <si>
    <t>0.018 INX150 CM</t>
  </si>
  <si>
    <t>https://accessgudid.nlm.nih.gov/devices/00886333211524</t>
  </si>
  <si>
    <t>395465</t>
  </si>
  <si>
    <t>ARGON_395465</t>
  </si>
  <si>
    <t>Guidewire - .018 X  150CM   Fixed Core   3J   PTFE</t>
  </si>
  <si>
    <t>PRODIGO1072846</t>
  </si>
  <si>
    <t>Guidewire 18/150/FC/PTFE/3J</t>
  </si>
  <si>
    <t>GUIDEWIRE, VASCULAR, J TIP, 3 MM, 0.018 INX150 CM, FIXED CORE, PTFE COATED, STAINLESS STEEL, STERILE, LATEX</t>
  </si>
  <si>
    <t>GUIDEWIRE, VASC, J TIP, 3 MM, 0.018 INX150 CM, FIX COR, PTFE COAT, SS, STRL, LTX</t>
  </si>
  <si>
    <t>GUIDEWIRE, VASC, J TIP, 3 MM, 0.018 INX150 CM, FIX COR, SS, LTX</t>
  </si>
  <si>
    <t>https://accessgudid.nlm.nih.gov/devices/00886333211531</t>
  </si>
  <si>
    <t>395469</t>
  </si>
  <si>
    <t>ARGON_395469</t>
  </si>
  <si>
    <t>Guidewire - .018 X  260CM   Fixed Core   ST   PTFE</t>
  </si>
  <si>
    <t>PRODIGO1072847</t>
  </si>
  <si>
    <t>Guidewire 18/260/FC/PTFE/ST</t>
  </si>
  <si>
    <t>GUIDEWIRE, VASCULAR, STRAIGHT, 0.018 INX260 CM, FIXED CORE, PTFE COATED, STAINLESS STEEL, STERILE, LATEX</t>
  </si>
  <si>
    <t>GUIDEWIRE, VASC, STR, 0.018 INX260 CM, FIX COR, PTFE COAT, SS, STRL, LTX</t>
  </si>
  <si>
    <t>GUIDEWIRE, VASC, STR, 0.018 INX260 CM, FIX COR, SS, STRL, LTX</t>
  </si>
  <si>
    <t>0.018 INX260 CM</t>
  </si>
  <si>
    <t>https://accessgudid.nlm.nih.gov/devices/00886333211548</t>
  </si>
  <si>
    <t>395470</t>
  </si>
  <si>
    <t>ARGON_395470</t>
  </si>
  <si>
    <t>Guidewire - .018 X  150CM   Fixed Core   1.5J   PTFE</t>
  </si>
  <si>
    <t>PRODIGO1072848</t>
  </si>
  <si>
    <t>Guidewire 18/150/FC/PTFE/1.5J</t>
  </si>
  <si>
    <t>GUIDEWIRE, VASCULAR, J TIP, 1.5 MM, 0.018 INX150 CM, FIXED CORE, PTFE COATED, STAINLESS STEEL, STERILE, LATEX</t>
  </si>
  <si>
    <t>GUIDEWIRE, VASC, J TIP, 1.5 MM, 0.018 INX150 CM, FIX COR, PTFE COAT, SS, STRL, LTX</t>
  </si>
  <si>
    <t>GUIDEWIRE, VASC, J TIP, 1.5 MM, 0.018 INX150 CM, FIX COR, SS, LTX</t>
  </si>
  <si>
    <t>https://accessgudid.nlm.nih.gov/devices/00886333211555</t>
  </si>
  <si>
    <t>395501</t>
  </si>
  <si>
    <t>ARGON_395501</t>
  </si>
  <si>
    <t>Guidewire - .021 X  150CM   Fixed Core   ST   PTFE</t>
  </si>
  <si>
    <t>PRODIGO1072849</t>
  </si>
  <si>
    <t>Guidewire 21/150/FC/PTFE/ST</t>
  </si>
  <si>
    <t>GUIDEWIRE, VASCULAR, STRAIGHT, 0.021 INX150 CM, FIXED CORE, PTFE COATED, STAINLESS STEEL, STERILE, LATEX</t>
  </si>
  <si>
    <t>GUIDEWIRE, VASC, STR, 0.021 INX150 CM, FIX COR, PTFE COAT, SS, STRL, LTX</t>
  </si>
  <si>
    <t>GUIDEWIRE, VASC, STR, 0.021 INX150 CM, FIX COR, SS, STRL, LTX</t>
  </si>
  <si>
    <t>0.021 INX150 CM</t>
  </si>
  <si>
    <t>https://accessgudid.nlm.nih.gov/devices/00886333211562</t>
  </si>
  <si>
    <t>395504</t>
  </si>
  <si>
    <t>ARGON_395504</t>
  </si>
  <si>
    <t>Guidewire - .021 X  125CM   Fixed Core   ST   PTFE</t>
  </si>
  <si>
    <t>PRODIGO1072850</t>
  </si>
  <si>
    <t>Guidewire 21/125/FC/PTFE/ST</t>
  </si>
  <si>
    <t>GUIDEWIRE, VASCULAR, STRAIGHT, 0.021 INX125 CM, FIXED CORE, PTFE COATED, STAINLESS STEEL, STERILE, LATEX</t>
  </si>
  <si>
    <t>GUIDEWIRE, VASC, STR, 0.021 INX125 CM, FIX COR, PTFE COAT, SS, STRL, LTX</t>
  </si>
  <si>
    <t>GUIDEWIRE, VASC, STR, 0.021 INX125 CM, FIX COR, SS, STRL, LTX</t>
  </si>
  <si>
    <t>https://accessgudid.nlm.nih.gov/devices/00886333211579</t>
  </si>
  <si>
    <t>395508</t>
  </si>
  <si>
    <t>ARGON_395508</t>
  </si>
  <si>
    <t>Guidewire - .021 X    50CM  Fixed Core   3J</t>
  </si>
  <si>
    <t>PRODIGO1072851</t>
  </si>
  <si>
    <t>Guidewire 21/50/FC/3J</t>
  </si>
  <si>
    <t>GUIDEWIRE, VASCULAR, J TIP, 3 MM, 0.021 INX50 CM, FIXED CORE, PTFE COATED, STAINLESS STEEL, STERILE, LATEX</t>
  </si>
  <si>
    <t>GUIDEWIRE, VASC, J TIP, 3 MM, 0.021 INX50 CM, FIX COR, PTFE COAT, SS, STRL, LTX</t>
  </si>
  <si>
    <t>GUIDEWIRE, VASC, J TIP, 3 MM, 0.021 INX50 CM, FIX COR, SS, STRL, LTX</t>
  </si>
  <si>
    <t>0.021 INX50 CM</t>
  </si>
  <si>
    <t>https://accessgudid.nlm.nih.gov/devices/00886333211586</t>
  </si>
  <si>
    <t>395509</t>
  </si>
  <si>
    <t>ARGON_395509</t>
  </si>
  <si>
    <t>Guidewire - .021 X  150CM  Fixed Core   ST</t>
  </si>
  <si>
    <t>PRODIGO1072852</t>
  </si>
  <si>
    <t>Guidewire 21/150/FC/ST</t>
  </si>
  <si>
    <t>Fixed Core Straight .021 150cm Stainless Steel 9.0 Straight</t>
  </si>
  <si>
    <t>GUIDEWIRE, VASCULAR, STRAIGHT, 0.021 INX150 CM, FIXED CORE, PTFE COATED, STAINLESS STEEL, STERILE, LATEX, 395509</t>
  </si>
  <si>
    <t>GUIDEWIRE, VASC, STR, 0.021 INX150 CM, FIX COR, SS, STRL, 395509</t>
  </si>
  <si>
    <t>https://kategorizacia.mzsr.sk/Pomocky/Download/RequestAttachment/48658, https://accessgudid.nlm.nih.gov/devices/00886333211593</t>
  </si>
  <si>
    <t>395510</t>
  </si>
  <si>
    <t>ARGON_395510</t>
  </si>
  <si>
    <t>Guidewire - .021 X    40CM  Fixed Core   3J</t>
  </si>
  <si>
    <t>PRODIGO1072853</t>
  </si>
  <si>
    <t>Guidewire 21/40/FC/3J</t>
  </si>
  <si>
    <t>PTFE COATED - STAINLESS STEEL .021 40cm 9.0 3mm</t>
  </si>
  <si>
    <t>GUIDEWIRE, VASCULAR, J TIP, 3 MM, 0.021 INX40 CM, 9 CM, FIXED CORE, TAPERED, PTFE COATED, STAINLESS STEEL, STERILE, LATEX</t>
  </si>
  <si>
    <t>GUIDEWIRE, VASC, J TIP, 3 MM, 0.021 INX40 CM, 9 CM, FIX COR, TAPR, PTFE COAT, SS, STRL, LTX</t>
  </si>
  <si>
    <t>GUIDEWIRE, VASC, J TIP, 3 MM, 0.021 INX40 CM, 9 CM, FIX, TAPR, SS</t>
  </si>
  <si>
    <t>0.021 INX40 CM</t>
  </si>
  <si>
    <t>https://kategorizacia.mzsr.sk/Pomocky/Download/RequestAttachment/48658, https://accessgudid.nlm.nih.gov/devices/00886333211609</t>
  </si>
  <si>
    <t>395513</t>
  </si>
  <si>
    <t>ARGON_395513</t>
  </si>
  <si>
    <t>Guidewire - .021 X    40CM  Fixed Core   ST</t>
  </si>
  <si>
    <t>PRODIGO1072854</t>
  </si>
  <si>
    <t>Guidewire 21/40/FC/ST</t>
  </si>
  <si>
    <t>Fixed Core Straight .021 40cm Stainless Steel 9.0 Straight</t>
  </si>
  <si>
    <t>GUIDEWIRE, VASCULAR, STRAIGHT, 0.021 INX40 CM, FIXED CORE, PTFE COATED, STAINLESS STEEL, STERILE, LATEX</t>
  </si>
  <si>
    <t>GUIDEWIRE, VASC, STR, 0.021 INX40 CM, FIX COR, PTFE COAT, SS, STRL, LTX</t>
  </si>
  <si>
    <t>GUIDEWIRE, VASC, STR, 0.021 INX40 CM, FIX COR, SS, STRL, LTX</t>
  </si>
  <si>
    <t>https://kategorizacia.mzsr.sk/Pomocky/Download/RequestAttachment/48658, https://accessgudid.nlm.nih.gov/devices/00886333211616</t>
  </si>
  <si>
    <t>395518</t>
  </si>
  <si>
    <t>ARGON_395518</t>
  </si>
  <si>
    <t>Guidewire - .021 X    80CM  Fixed Core   De/3J&amp;ST</t>
  </si>
  <si>
    <t>PRODIGO1072855</t>
  </si>
  <si>
    <t>Guidewire 21/80/FC/DE/3J&amp;ST</t>
  </si>
  <si>
    <t>GUIDEWIRE, VASCULAR, STRAIGHT, J TIP, 3 MM, 0.021 INX80 CM, FIXED CORE, DOUBLE ENDED, PTFE COATED, STAINLESS STEEL, STERILE, LATEX</t>
  </si>
  <si>
    <t>GUIDEWIRE, VASC, STR, J TIP, 3 MM, 0.021 INX80 CM, FIX COR, DBL END, PTFE COAT, SS, STRL, LTX</t>
  </si>
  <si>
    <t>GUIDEWIRE, VASC, STR, J TIP, 3 MM, 0.021 INX80 CM, FIX, DBL END, SS</t>
  </si>
  <si>
    <t>https://accessgudid.nlm.nih.gov/devices/00886333211623</t>
  </si>
  <si>
    <t>395522</t>
  </si>
  <si>
    <t>ARGON_395522</t>
  </si>
  <si>
    <t>Guidewire - .021 X  260CM   Fixed Core   ST   PTFE</t>
  </si>
  <si>
    <t>PRODIGO1072856</t>
  </si>
  <si>
    <t>Guidewire 21/260/FC/PTFE/ST</t>
  </si>
  <si>
    <t>GUIDEWIRE, VASCULAR, STRAIGHT, 0.021 INX260 CM, FIXED CORE, PTFE COATED, STAINLESS STEEL, STERILE, LATEX</t>
  </si>
  <si>
    <t>GUIDEWIRE, VASC, STR, 0.021 INX260 CM, FIX COR, PTFE COAT, SS, STRL, LTX</t>
  </si>
  <si>
    <t>GUIDEWIRE, VASC, STR, 0.021 INX260 CM, FIX COR, SS, STRL, LTX</t>
  </si>
  <si>
    <t>https://accessgudid.nlm.nih.gov/devices/00886333211630</t>
  </si>
  <si>
    <t>395523</t>
  </si>
  <si>
    <t>ARGON_395523</t>
  </si>
  <si>
    <t>Guidewire - .021 X  150CM   Fixed Core   3J   PTFE</t>
  </si>
  <si>
    <t>PRODIGO1072857</t>
  </si>
  <si>
    <t>Guidewire 21/150/FC/PTFE/3J</t>
  </si>
  <si>
    <t>PTFE COATED - STAINLESS STEEL Fixed Core J Tip .021 150cm 9.0 3mm</t>
  </si>
  <si>
    <t>GUIDEWIRE, VASCULAR, J TIP, 3 MM, 0.021 INX150 CM, 9 CM, FIXED CORE, TAPERED, PTFE COATED, STAINLESS STEEL, STERILE, LATEX</t>
  </si>
  <si>
    <t>GUIDEWIRE, VASC, J TIP, 3 MM, 0.021 INX150 CM, 9 CM, FIX COR, TAPR, PTFE COAT, SS, STRL, LTX</t>
  </si>
  <si>
    <t>GUIDEWIRE, VASC, J TIP, 3 MM, 0.021 INX150 CM, 9 CM, FIX, TAPR, SS</t>
  </si>
  <si>
    <t>https://kategorizacia.mzsr.sk/Pomocky/Download/RequestAttachment/48658, https://accessgudid.nlm.nih.gov/devices/00886333211647</t>
  </si>
  <si>
    <t>395536</t>
  </si>
  <si>
    <t>ARGON_395536</t>
  </si>
  <si>
    <t>Guidewire - .021 X    25CM  Fixed Core   ST</t>
  </si>
  <si>
    <t>PRODIGO1072858</t>
  </si>
  <si>
    <t>Guidewire 21/25/FC/ST</t>
  </si>
  <si>
    <t>Fixed Core Straight .021 25cm Stainless Steel 9.0 Straight</t>
  </si>
  <si>
    <t>GUIDEWIRE, VASCULAR, STRAIGHT, 0.021 INX25 CM, FIXED CORE, PTFE COATED, STAINLESS STEEL, STERILE, LATEX</t>
  </si>
  <si>
    <t>GUIDEWIRE, VASC, STR, 0.021 INX25 CM, FIX COR, PTFE COAT, SS, STRL, LTX</t>
  </si>
  <si>
    <t>GUIDEWIRE, VASC, STR, 0.021 INX25 CM, FIX COR, SS, STRL, LTX</t>
  </si>
  <si>
    <t>0.021 INX25 CM</t>
  </si>
  <si>
    <t>https://kategorizacia.mzsr.sk/Pomocky/Download/RequestAttachment/48658, https://accessgudid.nlm.nih.gov/devices/00886333211654</t>
  </si>
  <si>
    <t>395539</t>
  </si>
  <si>
    <t>ARGON_395539</t>
  </si>
  <si>
    <t>Guidewire - .032 X    65CM  Fixed Core   DE/3J&amp;ST</t>
  </si>
  <si>
    <t>PRODIGO1072859</t>
  </si>
  <si>
    <t>Guidewire 32/65/FC/DE/3J&amp;ST</t>
  </si>
  <si>
    <t>STAINLESS STEEL DOUBLE ENDED .032 65cm Straight &amp; 3mm 8.5 3mm</t>
  </si>
  <si>
    <t>GUIDEWIRE, VASCULAR, STRAIGHT, J TIP, 3 MM, 0.032 INX65 CM, FIXED CORE, DOUBLE ENDED, PTFE COATED, STAINLESS STEEL, STERILE, LATEX</t>
  </si>
  <si>
    <t>GUIDEWIRE, VASC, STR, J TIP, 3 MM, 0.032 INX65 CM, FIX COR, DBL END, PTFE COAT, SS, STRL, LTX</t>
  </si>
  <si>
    <t>GUIDEWIRE, VASC, STR, J TIP, 3 MM, 0.032 INX65 CM, FIX, DBL END, SS</t>
  </si>
  <si>
    <t>0.032 INX65 CM</t>
  </si>
  <si>
    <t>https://kategorizacia.mzsr.sk/Pomocky/Download/RequestAttachment/48658, https://accessgudid.nlm.nih.gov/devices/00886333211678</t>
  </si>
  <si>
    <t>395541</t>
  </si>
  <si>
    <t>ARGON_395541</t>
  </si>
  <si>
    <t>Guidewire - .021 X    50CM   Fixed Core   DE/3J&amp;ST   PTFE</t>
  </si>
  <si>
    <t>PRODIGO1072860</t>
  </si>
  <si>
    <t>Guidewire 21/50/FC/PTFE/DE/3J&amp;ST</t>
  </si>
  <si>
    <t>GUIDEWIRE, VASCULAR, STRAIGHT, J TIP, 3 MM, 0.021 INX50 CM, FIXED CORE, DOUBLE ENDED, PTFE COATED, STAINLESS STEEL, STERILE, LATEX</t>
  </si>
  <si>
    <t>GUIDEWIRE, VASC, STR, J TIP, 3 MM, 0.021 INX50 CM, FIX COR, DBL END, PTFE COAT, SS, STRL, LTX</t>
  </si>
  <si>
    <t>GUIDEWIRE, VASC, STR, J TIP, 3 MM, 0.021 INX50 CM, FIX, DBL END, SS</t>
  </si>
  <si>
    <t>https://accessgudid.nlm.nih.gov/devices/00886333211685</t>
  </si>
  <si>
    <t>395559</t>
  </si>
  <si>
    <t>ARGON_395559</t>
  </si>
  <si>
    <t>Guidewire - .025 X  150CM   Fixed Core    3J   PTFE</t>
  </si>
  <si>
    <t>PRODIGO1072861</t>
  </si>
  <si>
    <t>Guidewire 25/150/FC/PTFE/3J</t>
  </si>
  <si>
    <t>PTFE COATED - STAINLESS STEEL Fixed Core J Tip .025 150cm 9.0 3mm</t>
  </si>
  <si>
    <t>GUIDEWIRE, VASCULAR, J TIP, 3 MM, 0.025 INX150 CM, 9 CM, FIXED CORE, TAPERED, PTFE COATED, STAINLESS STEEL, STERILE, LATEX</t>
  </si>
  <si>
    <t>GUIDEWIRE, VASC, J TIP, 3 MM, 0.025 INX150 CM, 9 CM, FIX COR, TAPR, PTFE COAT, SS, STRL, LTX</t>
  </si>
  <si>
    <t>GUIDEWIRE, VASC, J TIP, 3 MM, 0.025 INX150 CM, 9 CM, FIX, TAPR, SS</t>
  </si>
  <si>
    <t>https://kategorizacia.mzsr.sk/Pomocky/Download/RequestAttachment/48658, https://accessgudid.nlm.nih.gov/devices/00886333211692</t>
  </si>
  <si>
    <t>395573</t>
  </si>
  <si>
    <t>ARGON_395573</t>
  </si>
  <si>
    <t>Guidewire - .025 X    40CM  Fixed Core   3J</t>
  </si>
  <si>
    <t>PRODIGO1072862</t>
  </si>
  <si>
    <t>Guidewire 25/40/FC/3J</t>
  </si>
  <si>
    <t>PTFE COATED - STAINLESS STEEL .025 40cm 9.0 3mm</t>
  </si>
  <si>
    <t>GUIDEWIRE, VASCULAR, J TIP, 3 MM, 0.025 INX40 CM, 9 CM, FIXED CORE, TAPERED, PTFE COATED, STAINLESS STEEL, STERILE, LATEX</t>
  </si>
  <si>
    <t>GUIDEWIRE, VASC, J TIP, 3 MM, 0.025 INX40 CM, 9 CM, FIX COR, TAPR, PTFE COAT, SS, STRL, LTX</t>
  </si>
  <si>
    <t>GUIDEWIRE, VASC, J TIP, 3 MM, 0.025 INX40 CM, 9 CM, FIX, TAPR, SS</t>
  </si>
  <si>
    <t>https://kategorizacia.mzsr.sk/Pomocky/Download/RequestAttachment/48658, https://accessgudid.nlm.nih.gov/devices/00886333211708</t>
  </si>
  <si>
    <t>395600</t>
  </si>
  <si>
    <t>ARGON_395600</t>
  </si>
  <si>
    <t>Guidewire - .032 X  150CM   Fixed Core   3J   PTFE</t>
  </si>
  <si>
    <t>PRODIGO1072863</t>
  </si>
  <si>
    <t>Guidewire 32/150/FC/PTFE/3J</t>
  </si>
  <si>
    <t>PTFE COATED - STAINLESS STEEL Fixed Core J Tip .032 150cm 8.5 3mm</t>
  </si>
  <si>
    <t>GUIDEWIRE, VASCULAR, J TIP, 3 MM, 0.032 INX150 CM, FIXED CORE, PTFE COATED, STAINLESS STEEL, STERILE, LATEX</t>
  </si>
  <si>
    <t>GUIDEWIRE, VASC, J TIP, 3 MM, 0.032 INX150 CM, FIX COR, PTFE COAT, SS, STRL, LTX</t>
  </si>
  <si>
    <t>GUIDEWIRE, VASC, J TIP, 3 MM, 0.032 INX150 CM, FIX COR, SS, LTX</t>
  </si>
  <si>
    <t>https://kategorizacia.mzsr.sk/Pomocky/Download/RequestAttachment/48658, https://accessgudid.nlm.nih.gov/devices/00886333211722</t>
  </si>
  <si>
    <t>395603</t>
  </si>
  <si>
    <t>ARGON_395603</t>
  </si>
  <si>
    <t>Guidewire - .032 X  150CM  Fixed Core   3J</t>
  </si>
  <si>
    <t>PRODIGO1072864</t>
  </si>
  <si>
    <t>Guidewire 32/150/FC/3J</t>
  </si>
  <si>
    <t>GUIDEWIRE, VASCULAR, J TIP, 3 MM, 0.032 INX150 CM, FIXED CORE, PTFE COATED, STAINLESS STEEL, STERILE, LATEX, 395603</t>
  </si>
  <si>
    <t>GUIDEWIRE, VASC, J TIP, 3 MM, 0.032 INX150 CM, FIX COR, SS, 395603</t>
  </si>
  <si>
    <t>https://accessgudid.nlm.nih.gov/devices/00886333211739</t>
  </si>
  <si>
    <t>395610</t>
  </si>
  <si>
    <t>ARGON_395610</t>
  </si>
  <si>
    <t>Guidewire - .032 X    40CM  Fixed Core   3J</t>
  </si>
  <si>
    <t>PRODIGO1072865</t>
  </si>
  <si>
    <t>Guidewire 32/40/FC/3J</t>
  </si>
  <si>
    <t>GUIDEWIRE, VASCULAR, J TIP, 3 MM, 0.032 INX40 CM, FIXED CORE, PTFE COATED, STAINLESS STEEL, STERILE, LATEX</t>
  </si>
  <si>
    <t>GUIDEWIRE, VASC, J TIP, 3 MM, 0.032 INX40 CM, FIX COR, PTFE COAT, SS, STRL, LTX</t>
  </si>
  <si>
    <t>GUIDEWIRE, VASC, J TIP, 3 MM, 0.032 INX40 CM, FIX COR, SS, STRL, LTX</t>
  </si>
  <si>
    <t>0.032 INX40 CM</t>
  </si>
  <si>
    <t>https://accessgudid.nlm.nih.gov/devices/00886333211746</t>
  </si>
  <si>
    <t>395622</t>
  </si>
  <si>
    <t>ARGON_395622</t>
  </si>
  <si>
    <t>Guidewire - .032 X  260CM   Fixed Core   3J   PTFE</t>
  </si>
  <si>
    <t>PRODIGO1072866</t>
  </si>
  <si>
    <t>Guidewire 32/260/FC/PTFE/3J</t>
  </si>
  <si>
    <t>GUIDEWIRE, VASCULAR, J TIP, 3 MM, 0.032 INX260 CM, FIXED CORE, PTFE COATED, STAINLESS STEEL, STERILE, LATEX</t>
  </si>
  <si>
    <t>GUIDEWIRE, VASC, J TIP, 3 MM, 0.032 INX260 CM, FIX COR, PTFE COAT, SS, STRL, LTX</t>
  </si>
  <si>
    <t>GUIDEWIRE, VASC, J TIP, 3 MM, 0.032 INX260 CM, FIX COR, SS, LTX</t>
  </si>
  <si>
    <t>https://accessgudid.nlm.nih.gov/devices/00886333211760</t>
  </si>
  <si>
    <t>395654</t>
  </si>
  <si>
    <t>ARGON_395654</t>
  </si>
  <si>
    <t>Guidewire - .035 X    50CM  Fixed Core   3J</t>
  </si>
  <si>
    <t>PRODIGO1072867</t>
  </si>
  <si>
    <t>Guidewire 35/50/FC/3J</t>
  </si>
  <si>
    <t>PTFE COATED - STAINLESS STEEL .035 50cm 8.5 3mm</t>
  </si>
  <si>
    <t>GUIDEWIRE, VASCULAR, J TIP, 3 MM, 0.035 INX50 CM, 8.5 CM, FIXED CORE, TAPERED, PTFE COATED, STAINLESS STEEL, STERILE, LATEX</t>
  </si>
  <si>
    <t>GUIDEWIRE, VASC, J TIP, 3 MM, 0.035 INX50 CM, 8.5 CM, FIX COR, TAPR, PTFE COAT, SS, STRL, LTX</t>
  </si>
  <si>
    <t>GUIDEWIRE, VASC, J TIP, 3 MM, 0.035 INX50 CM, 8.5 CM, FIX, TAPR, SS</t>
  </si>
  <si>
    <t>0.035 INX50 CM</t>
  </si>
  <si>
    <t>https://kategorizacia.mzsr.sk/Pomocky/Download/RequestAttachment/48658, https://accessgudid.nlm.nih.gov/devices/00886333211777</t>
  </si>
  <si>
    <t>395656</t>
  </si>
  <si>
    <t>ARGON_395656</t>
  </si>
  <si>
    <t>Guidewire - .035 X  200CM   Movable Core   3J   PTFE</t>
  </si>
  <si>
    <t>PRODIGO1072868</t>
  </si>
  <si>
    <t>Guidewire 35/200/Movable Core/PTFE/3J</t>
  </si>
  <si>
    <t>.035 x 200cm Movable Core, 3mm J - PTFE Coated</t>
  </si>
  <si>
    <t>GUIDEWIRE, VASCULAR, J TIP, 3 MM, 0.035 INX200 CM, MOVABLE CORE, PTFE COATED, STAINLESS STEEL, STERILE, LATEX</t>
  </si>
  <si>
    <t>GUIDEWIRE, VASC, J TIP, 3 MM, 0.035 INX200 CM, MOVABLE COR, PTFE COAT, SS, STRL, LTX</t>
  </si>
  <si>
    <t>GUIDEWIRE, VASC, J TIP, 3 MM, 0.035 INX200 CM, MOVABLE COR, SS, LTX</t>
  </si>
  <si>
    <t>0.035 INX200 CM</t>
  </si>
  <si>
    <t>http://www.med-x.com/guide_wires/pdf/ptfe_heparin_coated_ss_GuideWires2.pdf, https://accessgudid.nlm.nih.gov/devices/00886333211784</t>
  </si>
  <si>
    <t>395680</t>
  </si>
  <si>
    <t>ARGON_395680</t>
  </si>
  <si>
    <t>Guidewire - .035 X    45CM  Fixed Core   DE/3J&amp;ST</t>
  </si>
  <si>
    <t>PRODIGO1072869</t>
  </si>
  <si>
    <t>Guidewire 35/45/FC/DE/3J&amp;ST</t>
  </si>
  <si>
    <t>PTFE COATED STAINLESS STEEL DOUBLE ENDED .035 45cm Straight &amp; 3mm 8.5 3mm</t>
  </si>
  <si>
    <t>GUIDEWIRE, VASCULAR, STRAIGHT, J TIP, 3 MM, 0.035 INX45 CM, 8.5 CM, FIXED CORE, DOUBLE ENDED, TAPERED, PTFE COATED, STAINLESS STEEL, STERILE, LATEX</t>
  </si>
  <si>
    <t>GUIDEWIRE, VASC, STR, J TIP, 3 MM, 0.035 INX45 CM, 8.5 CM, FIX COR, DBL END, TAPR, PTFE COAT, SS, STRL, LTX</t>
  </si>
  <si>
    <t>GUIDEWIRE, VASC, STR, J TIP, 3 MM, 0.035 INX45 CM, 8.5 CM, FIX, DBL</t>
  </si>
  <si>
    <t>0.035 INX45 CM</t>
  </si>
  <si>
    <t>https://kategorizacia.mzsr.sk/Pomocky/Download/RequestAttachment/48658, https://accessgudid.nlm.nih.gov/devices/00886333211791</t>
  </si>
  <si>
    <t>395687</t>
  </si>
  <si>
    <t>ARGON_395687</t>
  </si>
  <si>
    <t>Guidewire - .035 X  150CM   Fixed Core   ST/HD   PTFE</t>
  </si>
  <si>
    <t>PRODIGO1072870</t>
  </si>
  <si>
    <t>Guidewire 35/150/FC/PTFE/ST/HD</t>
  </si>
  <si>
    <t>Fixed Core Straight .035 150cm PTFE Coated Stainless Steel 9/3cm Straight</t>
  </si>
  <si>
    <t>GUIDEWIRE, VASCULAR, STRAIGHT, 0.035 INX150 CM, 9 CM, FIXED CORE, HD, TAPERED, PTFE COATED, STAINLESS STEEL, STERILE, LATEX</t>
  </si>
  <si>
    <t>GUIDEWIRE, VASC, STR, 0.035 INX150 CM, 9 CM, FIX COR, HD, TAPR, PTFE COAT, SS, STRL, LTX</t>
  </si>
  <si>
    <t>GUIDEWIRE, VASC, STR, 0.035 INX150 CM, 9 CM, FIX COR, HD, TAPR, SS</t>
  </si>
  <si>
    <t>FIXED CORE, HD, TAPERED</t>
  </si>
  <si>
    <t>https://kategorizacia.mzsr.sk/Pomocky/Download/RequestAttachment/48658, https://accessgudid.nlm.nih.gov/devices/00886333211807</t>
  </si>
  <si>
    <t>395692</t>
  </si>
  <si>
    <t>ARGON_395692</t>
  </si>
  <si>
    <t>Guidewire - .035 X    65CM   Fixed Core   3J   PTFE</t>
  </si>
  <si>
    <t>PRODIGO1072871</t>
  </si>
  <si>
    <t>Guidewire 35/65/FC/PTFE/3J</t>
  </si>
  <si>
    <t>GUIDEWIRE, VASCULAR, J TIP, 3 MM, 0.035 INX65 CM, FIXED CORE, PTFE COATED, STAINLESS STEEL, STERILE, LATEX</t>
  </si>
  <si>
    <t>GUIDEWIRE, VASC, J TIP, 3 MM, 0.035 INX65 CM, FIX COR, PTFE COAT, SS, STRL, LTX</t>
  </si>
  <si>
    <t>GUIDEWIRE, VASC, J TIP, 3 MM, 0.035 INX65 CM, FIX COR, SS, STRL, LTX</t>
  </si>
  <si>
    <t>0.035 INX65 CM</t>
  </si>
  <si>
    <t>https://accessgudid.nlm.nih.gov/devices/00886333211814</t>
  </si>
  <si>
    <t>395701</t>
  </si>
  <si>
    <t>ARGON_395701</t>
  </si>
  <si>
    <t>Guidewire - .035 X    70CM  Fixed Core   ST</t>
  </si>
  <si>
    <t>PRODIGO1072872</t>
  </si>
  <si>
    <t>Guidewire 35/70/FC/ST</t>
  </si>
  <si>
    <t>GUIDEWIRE, VASCULAR, STRAIGHT, 0.035 INX70 CM, FIXED CORE, PTFE COATED, STAINLESS STEEL, STERILE, LATEX</t>
  </si>
  <si>
    <t>GUIDEWIRE, VASC, STR, 0.035 INX70 CM, FIX COR, PTFE COAT, SS, STRL, LTX</t>
  </si>
  <si>
    <t>GUIDEWIRE, VASC, STR, 0.035 INX70 CM, FIX COR, SS, STRL, LTX</t>
  </si>
  <si>
    <t>0.035 INX70 CM</t>
  </si>
  <si>
    <t>https://accessgudid.nlm.nih.gov/devices/00886333211821</t>
  </si>
  <si>
    <t>395703</t>
  </si>
  <si>
    <t>ARGON_395703</t>
  </si>
  <si>
    <t>Guidewire - .035 X  200CM   Fixed Core   ST   PTFE</t>
  </si>
  <si>
    <t>PRODIGO1072873</t>
  </si>
  <si>
    <t>Guidewire 35/200/FC/PTFE/ST</t>
  </si>
  <si>
    <t>GUIDEWIRE, VASCULAR, STRAIGHT, 0.035 INX200 CM, FIXED CORE, PTFE COATED, STAINLESS STEEL, STERILE, LATEX</t>
  </si>
  <si>
    <t>GUIDEWIRE, VASC, STR, 0.035 INX200 CM, FIX COR, PTFE COAT, SS, STRL, LTX</t>
  </si>
  <si>
    <t>GUIDEWIRE, VASC, STR, 0.035 INX200 CM, FIX COR, SS, STRL, LTX</t>
  </si>
  <si>
    <t>https://accessgudid.nlm.nih.gov/devices/00886333211838</t>
  </si>
  <si>
    <t>395708</t>
  </si>
  <si>
    <t>ARGON_395708</t>
  </si>
  <si>
    <t>Guidewire - .035 X  150CM   Fixed Core   3J/LLT   PTFE</t>
  </si>
  <si>
    <t>PRODIGO1072874</t>
  </si>
  <si>
    <t>Guidewire 35/150/FC/PTFE/3J/LLT</t>
  </si>
  <si>
    <t>.035 x 150cm Fixed Core, Newton - 3mm J - PTFE Coated</t>
  </si>
  <si>
    <t>GUIDEWIRE, VASCULAR, J TIP, 3 MM, 0.035 INX150 CM, FIXED CORE, NEWTON LLT, PTFE COATED, STAINLESS STEEL, STERILE, LATEX</t>
  </si>
  <si>
    <t>GUIDEWIRE, VASC, J TIP, 3 MM, 0.035 INX150 CM, FIX COR, N LLT, PTFE COAT, SS, STRL, LTX</t>
  </si>
  <si>
    <t>GUIDEWIRE, VASC, J TIP, 3 MM, 0.035 INX150 CM, FIX COR, N LLT, SS</t>
  </si>
  <si>
    <t>http://www.med-x.com/guide_wires/pdf/heparin_coated_ss_guide_wires.pdf, https://accessgudid.nlm.nih.gov/devices/00886333211845</t>
  </si>
  <si>
    <t>395711</t>
  </si>
  <si>
    <t>ARGON_395711</t>
  </si>
  <si>
    <t>Guidewire - .035 X    75CM  Fixed Core   ST</t>
  </si>
  <si>
    <t>PRODIGO1072875</t>
  </si>
  <si>
    <t>Guidewire 35/75/FC/ST</t>
  </si>
  <si>
    <t>Fixed Core Straight .035 75cm Stainless Steel Straight</t>
  </si>
  <si>
    <t>GUIDEWIRE, VASCULAR, STRAIGHT, 0.035 INX75 CM, FIXED CORE, PTFE COATED, STAINLESS STEEL, STERILE, LATEX</t>
  </si>
  <si>
    <t>GUIDEWIRE, VASC, STR, 0.035 INX75 CM, FIX COR, PTFE COAT, SS, STRL, LTX</t>
  </si>
  <si>
    <t>GUIDEWIRE, VASC, STR, 0.035 INX75 CM, FIX COR, SS, STRL, LTX</t>
  </si>
  <si>
    <t>0.035 INX75 CM</t>
  </si>
  <si>
    <t>https://kategorizacia.mzsr.sk/Pomocky/Download/RequestAttachment/48658, https://accessgudid.nlm.nih.gov/devices/00886333211852</t>
  </si>
  <si>
    <t>395721</t>
  </si>
  <si>
    <t>ARGON_395721</t>
  </si>
  <si>
    <t>Guidewire - .035 X  145CM   Movable Core   Lt/3J   PTFE</t>
  </si>
  <si>
    <t>PRODIGO1072876</t>
  </si>
  <si>
    <t>Guidewire 35/145/Movable Core/PTFE/LT/3J</t>
  </si>
  <si>
    <t>MOVEABLE CORE PTFE COATED .035 145cm Tapered 9.0 3mm</t>
  </si>
  <si>
    <t>GUIDEWIRE, VASCULAR, J TIP, 3 MM, 0.035 INX145 CM, MOVABLE CORE, LT, PTFE COATED, STAINLESS STEEL, STERILE, LATEX</t>
  </si>
  <si>
    <t>GUIDEWIRE, VASC, J TIP, 3 MM, 0.035 INX145 CM, MOVABLE COR, LT, PTFE COAT, SS, STRL, LTX</t>
  </si>
  <si>
    <t>GUIDEWIRE, VASC, J TIP, 3 MM, 0.035 INX145 CM, MOVABLE COR, LT, SS</t>
  </si>
  <si>
    <t>0.035 INX145 CM</t>
  </si>
  <si>
    <t>MOVABLE CORE, LT</t>
  </si>
  <si>
    <t>https://kategorizacia.mzsr.sk/Pomocky/Download/RequestAttachment/48658, https://accessgudid.nlm.nih.gov/devices/00886333211869</t>
  </si>
  <si>
    <t>395722</t>
  </si>
  <si>
    <t>ARGON_395722</t>
  </si>
  <si>
    <t>Guidewire - .035 X  200CM   Fixed Core   3J   PTFE</t>
  </si>
  <si>
    <t>PRODIGO1072877</t>
  </si>
  <si>
    <t>Guidewire 35/200/FC/PTFE/3J</t>
  </si>
  <si>
    <t>Fixed Core J Tip EXCHANGE WIRES - PTFE COATED .035 200cm 8.5 3mm</t>
  </si>
  <si>
    <t>GUIDEWIRE, VASCULAR, J TIP, 3 MM, 0.035 INX200 CM, FIXED CORE, PTFE COATED, STAINLESS STEEL, STERILE, LATEX</t>
  </si>
  <si>
    <t>GUIDEWIRE, VASC, J TIP, 3 MM, 0.035 INX200 CM, FIX COR, PTFE COAT, SS, STRL, LTX</t>
  </si>
  <si>
    <t>GUIDEWIRE, VASC, J TIP, 3 MM, 0.035 INX200 CM, FIX COR, SS, LTX</t>
  </si>
  <si>
    <t>https://kategorizacia.mzsr.sk/Pomocky/Download/RequestAttachment/48658, https://accessgudid.nlm.nih.gov/devices/00886333211876</t>
  </si>
  <si>
    <t>395752</t>
  </si>
  <si>
    <t>ARGON_395752</t>
  </si>
  <si>
    <t>Guidewire - .035 X    75CM  Fixed Core   3J</t>
  </si>
  <si>
    <t>PRODIGO1072878</t>
  </si>
  <si>
    <t>Guidewire 35/75/FC/3J</t>
  </si>
  <si>
    <t>PTFE COATED - STAINLESS STEEL .035 75cm 8.5 3mm</t>
  </si>
  <si>
    <t>GUIDEWIRE, VASCULAR, J TIP, 3 MM, 0.035 INX75 CM, FIXED CORE, PTFE COATED, STAINLESS STEEL, STERILE, LATEX</t>
  </si>
  <si>
    <t>GUIDEWIRE, VASC, J TIP, 3 MM, 0.035 INX75 CM, FIX COR, PTFE COAT, SS, STRL, LTX</t>
  </si>
  <si>
    <t>GUIDEWIRE, VASC, J TIP, 3 MM, 0.035 INX75 CM, FIX COR, SS, STRL, LTX</t>
  </si>
  <si>
    <t>https://kategorizacia.mzsr.sk/Pomocky/Download/RequestAttachment/48658, https://accessgudid.nlm.nih.gov/devices/00886333211913</t>
  </si>
  <si>
    <t>395768</t>
  </si>
  <si>
    <t>ARGON_395768</t>
  </si>
  <si>
    <t>PRODIGO1072879</t>
  </si>
  <si>
    <t>GUIDEWIRE, VASCULAR, J TIP, 3 MM, 0.035 INX175 CM, FIXED CORE, PTFE COATED, STAINLESS STEEL, STERILE, LATEX</t>
  </si>
  <si>
    <t>GUIDEWIRE, VASC, J TIP, 3 MM, 0.035 INX175 CM, FIX COR, PTFE COAT, SS, STRL, LTX</t>
  </si>
  <si>
    <t>GUIDEWIRE, VASC, J TIP, 3 MM, 0.035 INX175 CM, FIX COR, SS, LTX</t>
  </si>
  <si>
    <t>https://accessgudid.nlm.nih.gov/devices/00886333211920</t>
  </si>
  <si>
    <t>395770</t>
  </si>
  <si>
    <t>ARGON_395770</t>
  </si>
  <si>
    <t>Guidewire - .035 X    50CM  Fixed Core   ST</t>
  </si>
  <si>
    <t>PRODIGO1072880</t>
  </si>
  <si>
    <t>Guidewire 35/50/FC/ST</t>
  </si>
  <si>
    <t>GUIDEWIRE, VASCULAR, STRAIGHT, 0.035 INX50 CM, FIXED CORE, PTFE COATED, STAINLESS STEEL, STERILE, LATEX</t>
  </si>
  <si>
    <t>GUIDEWIRE, VASC, STR, 0.035 INX50 CM, FIX COR, PTFE COAT, SS, STRL, LTX</t>
  </si>
  <si>
    <t>GUIDEWIRE, VASC, STR, 0.035 INX50 CM, FIX COR, SS, STRL, LTX</t>
  </si>
  <si>
    <t>https://accessgudid.nlm.nih.gov/devices/00886333211937</t>
  </si>
  <si>
    <t>395780</t>
  </si>
  <si>
    <t>ARGON_395780</t>
  </si>
  <si>
    <t>Guidewire - .035 X  150CM   Fixed Core   7.5J   PTFE</t>
  </si>
  <si>
    <t>PRODIGO1072881</t>
  </si>
  <si>
    <t>Guidewire 35/150/FC/PTFE/7.5J</t>
  </si>
  <si>
    <t>GUIDEWIRE, VASCULAR, J TIP, 7.5 MM, 0.035 INX150 CM, FIXED CORE, PTFE COATED, STAINLESS STEEL, STERILE, LATEX</t>
  </si>
  <si>
    <t>GUIDEWIRE, VASC, J TIP, 7.5 MM, 0.035 INX150 CM, FIX COR, PTFE COAT, SS, STRL, LTX</t>
  </si>
  <si>
    <t>GUIDEWIRE, VASC, J TIP, 7.5 MM, 0.035 INX150 CM, FIX COR, SS, LTX</t>
  </si>
  <si>
    <t>7.5 MM</t>
  </si>
  <si>
    <t>https://accessgudid.nlm.nih.gov/devices/00886333211944</t>
  </si>
  <si>
    <t>395787</t>
  </si>
  <si>
    <t>ARGON_395787</t>
  </si>
  <si>
    <t>Guidewire - .035 X  150CM   Fixed Core   1.5J   PTFE</t>
  </si>
  <si>
    <t>PRODIGO1072882</t>
  </si>
  <si>
    <t>Guidewire 35/150/FC/PTFE/1.5J</t>
  </si>
  <si>
    <t>PTFE COATED - STAINLESS STEEL Fixed Core J TiP .035 150cm 8.5 1.5mm</t>
  </si>
  <si>
    <t>GUIDEWIRE, VASCULAR, J TIP, 1.5 MM, 0.035 INX150 CM, FIXED CORE, PTFE COATED, STAINLESS STEEL, STERILE, LATEX</t>
  </si>
  <si>
    <t>GUIDEWIRE, VASC, J TIP, 1.5 MM, 0.035 INX150 CM, FIX COR, PTFE COAT, SS, STRL, LTX</t>
  </si>
  <si>
    <t>GUIDEWIRE, VASC, J TIP, 1.5 MM, 0.035 INX150 CM, FIX COR, SS, LTX</t>
  </si>
  <si>
    <t>https://kategorizacia.mzsr.sk/Pomocky/Download/RequestAttachment/48658, https://accessgudid.nlm.nih.gov/devices/00886333211951</t>
  </si>
  <si>
    <t>395794</t>
  </si>
  <si>
    <t>ARGON_395794</t>
  </si>
  <si>
    <t>Guidewire - .035 X  260CM   Fixed Core   3J   PTFE</t>
  </si>
  <si>
    <t>PRODIGO1072883</t>
  </si>
  <si>
    <t>Guidewire 35/260/FC/PTFE/3J</t>
  </si>
  <si>
    <t>EXCHANGE WIRES - PTFE COATED - Fixed Core J Tip .035 260cm 8.5 3mm</t>
  </si>
  <si>
    <t>GUIDEWIRE, VASCULAR, J TIP, 3 MM, 0.035 INX260 CM, FIXED CORE, PTFE COATED, STAINLESS STEEL, STERILE, LATEX</t>
  </si>
  <si>
    <t>GUIDEWIRE, VASC, J TIP, 3 MM, 0.035 INX260 CM, FIX COR, PTFE COAT, SS, STRL, LTX</t>
  </si>
  <si>
    <t>GUIDEWIRE, VASC, J TIP, 3 MM, 0.035 INX260 CM, FIX COR, SS, LTX</t>
  </si>
  <si>
    <t>https://kategorizacia.mzsr.sk/Pomocky/Download/RequestAttachment/48658, https://accessgudid.nlm.nih.gov/devices/00886333211968</t>
  </si>
  <si>
    <t>395817</t>
  </si>
  <si>
    <t>ARGON_395817</t>
  </si>
  <si>
    <t>Guidewire - .038 X  200CM   Fixed Core   3J   PTFE</t>
  </si>
  <si>
    <t>PRODIGO1072885</t>
  </si>
  <si>
    <t>Guidewire 38/200/FC/PTFE/3J</t>
  </si>
  <si>
    <t>GUIDEWIRE, VASCULAR, J TIP, 3 MM, 0.038 INX200 CM, FIXED CORE, PTFE COATED, STAINLESS STEEL, STERILE, LATEX</t>
  </si>
  <si>
    <t>GUIDEWIRE, VASC, J TIP, 3 MM, 0.038 INX200 CM, FIX COR, PTFE COAT, SS, STRL, LTX</t>
  </si>
  <si>
    <t>GUIDEWIRE, VASC, J TIP, 3 MM, 0.038 INX200 CM, FIX COR, SS, LTX</t>
  </si>
  <si>
    <t>0.038 INX200 CM</t>
  </si>
  <si>
    <t>https://accessgudid.nlm.nih.gov/devices/00886333211982</t>
  </si>
  <si>
    <t>395820</t>
  </si>
  <si>
    <t>ARGON_395820</t>
  </si>
  <si>
    <t>Guidewire - .038 X    50CM  Fixed Core   3J</t>
  </si>
  <si>
    <t>PRODIGO1072886</t>
  </si>
  <si>
    <t>Guidewire 38/50/FC/3J</t>
  </si>
  <si>
    <t>GUIDEWIRE, VASCULAR, J TIP, 3 MM, 0.038 INX50 CM, FIXED CORE, PTFE COATED, STAINLESS STEEL, STERILE, LATEX</t>
  </si>
  <si>
    <t>GUIDEWIRE, VASC, J TIP, 3 MM, 0.038 INX50 CM, FIX COR, PTFE COAT, SS, STRL, LTX</t>
  </si>
  <si>
    <t>GUIDEWIRE, VASC, J TIP, 3 MM, 0.038 INX50 CM, FIX COR, SS, STRL, LTX</t>
  </si>
  <si>
    <t>0.038 INX50 CM</t>
  </si>
  <si>
    <t>https://accessgudid.nlm.nih.gov/devices/00886333211999</t>
  </si>
  <si>
    <t>395835</t>
  </si>
  <si>
    <t>ARGON_395835</t>
  </si>
  <si>
    <t>Guidewire - .038 X    60CM  Fixed Core   3J</t>
  </si>
  <si>
    <t>PRODIGO1072887</t>
  </si>
  <si>
    <t>Guidewire 38/60/FC/3J</t>
  </si>
  <si>
    <t>GUIDEWIRE, VASCULAR, J TIP, 3 MM, 0.038 INX60 CM, FIXED CORE, PTFE COATED, STAINLESS STEEL, STERILE, LATEX</t>
  </si>
  <si>
    <t>GUIDEWIRE, VASC, J TIP, 3 MM, 0.038 INX60 CM, FIX COR, PTFE COAT, SS, STRL, LTX</t>
  </si>
  <si>
    <t>GUIDEWIRE, VASC, J TIP, 3 MM, 0.038 INX60 CM, FIX COR, SS, STRL, LTX</t>
  </si>
  <si>
    <t>0.038 INX60 CM</t>
  </si>
  <si>
    <t>https://accessgudid.nlm.nih.gov/devices/00886333212002</t>
  </si>
  <si>
    <t>395839</t>
  </si>
  <si>
    <t>ARGON_395839</t>
  </si>
  <si>
    <t>Guidewire - .038 X  260CM   Fixed Core   3J   PTFE</t>
  </si>
  <si>
    <t>PRODIGO1072888</t>
  </si>
  <si>
    <t>Guidewire 38/260/FC/PTFE/3J</t>
  </si>
  <si>
    <t>GUIDEWIRE, VASCULAR, J TIP, 3 MM, 0.038 INX260 CM, FIXED CORE, PTFE COATED, STAINLESS STEEL, STERILE, LATEX</t>
  </si>
  <si>
    <t>GUIDEWIRE, VASC, J TIP, 3 MM, 0.038 INX260 CM, FIX COR, PTFE COAT, SS, STRL, LTX</t>
  </si>
  <si>
    <t>GUIDEWIRE, VASC, J TIP, 3 MM, 0.038 INX260 CM, FIX COR, SS, LTX</t>
  </si>
  <si>
    <t>https://accessgudid.nlm.nih.gov/devices/00886333212019</t>
  </si>
  <si>
    <t>395844</t>
  </si>
  <si>
    <t>ARGON_395844</t>
  </si>
  <si>
    <t>Guidewire - .038 X    70CM  Fixed Core   ST</t>
  </si>
  <si>
    <t>PRODIGO1072889</t>
  </si>
  <si>
    <t>Guidewire 38/70/FC/ST</t>
  </si>
  <si>
    <t>GUIDEWIRE, VASCULAR, STRAIGHT, 0.038 INX70 CM, FIXED CORE, PTFE COATED, STAINLESS STEEL, STERILE, LATEX</t>
  </si>
  <si>
    <t>GUIDEWIRE, VASC, STR, 0.038 INX70 CM, FIX COR, PTFE COAT, SS, STRL, LTX</t>
  </si>
  <si>
    <t>GUIDEWIRE, VASC, STR, 0.038 INX70 CM, FIX COR, SS, STRL, LTX</t>
  </si>
  <si>
    <t>0.038 INX70 CM</t>
  </si>
  <si>
    <t>https://accessgudid.nlm.nih.gov/devices/00886333212026</t>
  </si>
  <si>
    <t>395855</t>
  </si>
  <si>
    <t>ARGON_395855</t>
  </si>
  <si>
    <t>Guidewire - .038 X    50CM  Fixed Core   DE/3J&amp;ST</t>
  </si>
  <si>
    <t>PRODIGO1072890</t>
  </si>
  <si>
    <t>Guidewire 38/50/FC/DE/3J&amp;ST</t>
  </si>
  <si>
    <t>GUIDEWIRE, VASCULAR, STRAIGHT, J TIP, 3 MM, 0.038 INX50 CM, FIXED CORE, DOUBLE ENDED, PTFE COATED, STAINLESS STEEL, STERILE, LATEX</t>
  </si>
  <si>
    <t>GUIDEWIRE, VASC, STR, J TIP, 3 MM, 0.038 INX50 CM, FIX COR, DBL END, PTFE COAT, SS, STRL, LTX</t>
  </si>
  <si>
    <t>GUIDEWIRE, VASC, STR, J TIP, 3 MM, 0.038 INX50 CM, FIX, DBL END, SS</t>
  </si>
  <si>
    <t>https://accessgudid.nlm.nih.gov/devices/00886333212033</t>
  </si>
  <si>
    <t>395868</t>
  </si>
  <si>
    <t>ARGON_395868</t>
  </si>
  <si>
    <t>Guidewire - .035 X    80CM  Fixed Core   DE/3J&amp;ST</t>
  </si>
  <si>
    <t>PRODIGO1072891</t>
  </si>
  <si>
    <t>Guidewire 35/80/FC/DE/3J&amp;ST</t>
  </si>
  <si>
    <t>STAINLESS STEEL DOUBLE ENDED .035 80cm Straight &amp; 3mm 5/8.5 3mm</t>
  </si>
  <si>
    <t>GUIDEWIRE, VASCULAR, STRAIGHT, J TIP, 3 MM, 0.035 INX80 CM, FIXED CORE, DOUBLE ENDED, PTFE COATED, STAINLESS STEEL, STERILE, LATEX</t>
  </si>
  <si>
    <t>GUIDEWIRE, VASC, STR, J TIP, 3 MM, 0.035 INX80 CM, FIX COR, DBL END, PTFE COAT, SS, STRL, LTX</t>
  </si>
  <si>
    <t>GUIDEWIRE, VASC, STR, J TIP, 3 MM, 0.035 INX80 CM, FIX, DBL END, SS</t>
  </si>
  <si>
    <t>https://kategorizacia.mzsr.sk/Pomocky/Download/RequestAttachment/48658, https://accessgudid.nlm.nih.gov/devices/00886333212057</t>
  </si>
  <si>
    <t>395872</t>
  </si>
  <si>
    <t>ARGON_395872</t>
  </si>
  <si>
    <t>Guidewire - .018 X    65CM   Fixed Core   ST   PTFE</t>
  </si>
  <si>
    <t>PRODIGO1072892</t>
  </si>
  <si>
    <t>Guidewire 18/65/FC/PTFE/ST</t>
  </si>
  <si>
    <t>GUIDEWIRE, VASCULAR, STRAIGHT, 0.018 INX65 CM, FIXED CORE, PTFE COATED, STAINLESS STEEL, STERILE, LATEX</t>
  </si>
  <si>
    <t>GUIDEWIRE, VASC, STR, 0.018 INX65 CM, FIX COR, PTFE COAT, SS, STRL, LTX</t>
  </si>
  <si>
    <t>GUIDEWIRE, VASC, STR, 0.018 INX65 CM, FIX COR, SS, STRL, LTX</t>
  </si>
  <si>
    <t>0.018 INX65 CM</t>
  </si>
  <si>
    <t>https://accessgudid.nlm.nih.gov/devices/00886333212064</t>
  </si>
  <si>
    <t>395874</t>
  </si>
  <si>
    <t>ARGON_395874</t>
  </si>
  <si>
    <t>Guidewire - .021 X    65CM   Fixed Core   ST   PTFE</t>
  </si>
  <si>
    <t>PRODIGO1072893</t>
  </si>
  <si>
    <t>Guidewire 21/65/FC/PTFE/ST</t>
  </si>
  <si>
    <t>GUIDEWIRE, VASCULAR, STRAIGHT, 0.021 INX65 CM, FIXED CORE, PTFE COATED, STAINLESS STEEL, STERILE, LATEX</t>
  </si>
  <si>
    <t>GUIDEWIRE, VASC, STR, 0.021 INX65 CM, FIX COR, PTFE COAT, SS, STRL, LTX</t>
  </si>
  <si>
    <t>GUIDEWIRE, VASC, STR, 0.021 INX65 CM, FIX COR, SS, STRL, LTX</t>
  </si>
  <si>
    <t>0.021 INX65 CM</t>
  </si>
  <si>
    <t>https://accessgudid.nlm.nih.gov/devices/00886333212071</t>
  </si>
  <si>
    <t>395875</t>
  </si>
  <si>
    <t>ARGON_395875</t>
  </si>
  <si>
    <t>Guidewire - .025 X    65CM  Fixed Core   ST</t>
  </si>
  <si>
    <t>PRODIGO1072894</t>
  </si>
  <si>
    <t>Guidewire 25/65/FC/ST</t>
  </si>
  <si>
    <t>GUIDEWIRE, VASCULAR, STRAIGHT, 0.025 INX65 CM, FIXED CORE, PTFE COATED, STAINLESS STEEL, STERILE, LATEX</t>
  </si>
  <si>
    <t>GUIDEWIRE, VASC, STR, 0.025 INX65 CM, FIX COR, PTFE COAT, SS, STRL, LTX</t>
  </si>
  <si>
    <t>GUIDEWIRE, VASC, STR, 0.025 INX65 CM, FIX COR, SS, STRL, LTX</t>
  </si>
  <si>
    <t>https://accessgudid.nlm.nih.gov/devices/00886333212088</t>
  </si>
  <si>
    <t>395884</t>
  </si>
  <si>
    <t>ARGON_395884</t>
  </si>
  <si>
    <t>Guidewire - .028 X  150CM   Fixed Core   ST   PTFE</t>
  </si>
  <si>
    <t>PRODIGO1072895</t>
  </si>
  <si>
    <t>Guidewire 28/150/FC/PTFE/ST</t>
  </si>
  <si>
    <t>GUIDEWIRE, VASCULAR, STRAIGHT, 0.028 INX150 CM, FIXED CORE, PTFE COATED, STAINLESS STEEL, STERILE, LATEX</t>
  </si>
  <si>
    <t>GUIDEWIRE, VASC, STR, 0.028 INX150 CM, FIX COR, PTFE COAT, SS, STRL, LTX</t>
  </si>
  <si>
    <t>GUIDEWIRE, VASC, STR, 0.028 INX150 CM, FIX COR, SS, STRL, LTX</t>
  </si>
  <si>
    <t>0.028 INX150 CM</t>
  </si>
  <si>
    <t>https://accessgudid.nlm.nih.gov/devices/00886333212095</t>
  </si>
  <si>
    <t>395899</t>
  </si>
  <si>
    <t>ARGON_395899</t>
  </si>
  <si>
    <t>Guidewire - .035 X    65CM  Fixed Core   DE/3J&amp;ST</t>
  </si>
  <si>
    <t>PRODIGO1072896</t>
  </si>
  <si>
    <t>Guidewire 35/65/FC/DE/3J&amp;ST</t>
  </si>
  <si>
    <t>STAINLESS STEEL DOUBLE ENDED .035 65cm Straight &amp; 3mm 5/8.5 3mm</t>
  </si>
  <si>
    <t>GUIDEWIRE, VASCULAR, STRAIGHT, J TIP, 3 MM, 0.035 INX65 CM, FIXED CORE, DOUBLE ENDED, PTFE COATED, STAINLESS STEEL, STERILE, LATEX</t>
  </si>
  <si>
    <t>GUIDEWIRE, VASC, STR, J TIP, 3 MM, 0.035 INX65 CM, FIX COR, DBL END, PTFE COAT, SS, STRL, LTX</t>
  </si>
  <si>
    <t>GUIDEWIRE, VASC, STR, J TIP, 3 MM, 0.035 INX65 CM, FIX, DBL END, SS</t>
  </si>
  <si>
    <t>https://kategorizacia.mzsr.sk/Pomocky/Download/RequestAttachment/48658, https://accessgudid.nlm.nih.gov/devices/00886333212101</t>
  </si>
  <si>
    <t>395900</t>
  </si>
  <si>
    <t>ARGON_395900</t>
  </si>
  <si>
    <t>Guidewire - .032 X  150CM   Fixed Core   1.5J   PTFE</t>
  </si>
  <si>
    <t>PRODIGO1072897</t>
  </si>
  <si>
    <t>Guidewire 32/150/FC/PTFE/1.5J</t>
  </si>
  <si>
    <t>GUIDEWIRE, VASCULAR, J TIP, 1.5 MM, 0..032 INX150 CM, FIXED CORE, PTFE COATED, STAINLESS STEEL, STERILE, LATEX</t>
  </si>
  <si>
    <t>GUIDEWIRE, VASC, J TIP, 1.5 MM, 0..032 INX150 CM, FIX COR, PTFE COAT, SS, STRL, LTX</t>
  </si>
  <si>
    <t>GUIDEWIRE, VASC, J TIP, 1.5 MM, 0..032 INX150 CM, FIX COR, SS, LTX</t>
  </si>
  <si>
    <t>0..032 INX150 CM</t>
  </si>
  <si>
    <t>https://accessgudid.nlm.nih.gov/devices/00886333212118</t>
  </si>
  <si>
    <t>395924</t>
  </si>
  <si>
    <t>ARGON_395924</t>
  </si>
  <si>
    <t>Guidewire - .038 X    80CM  Fixed Core   3J</t>
  </si>
  <si>
    <t>PRODIGO1072898</t>
  </si>
  <si>
    <t>Guidewire 38/80/FC/3J</t>
  </si>
  <si>
    <t>GUIDEWIRE, VASCULAR, J TIP, 3 MM, 0..038 INX80 CM, FIXED CORE, PTFE COATED, STAINLESS STEEL, STERILE, LATEX</t>
  </si>
  <si>
    <t>GUIDEWIRE, VASC, J TIP, 3 MM, 0..038 INX80 CM, FIX COR, PTFE COAT, SS, STRL, LTX</t>
  </si>
  <si>
    <t>GUIDEWIRE, VASC, J TIP, 3 MM, 0..038 INX80 CM, FIX COR, SS, LTX</t>
  </si>
  <si>
    <t>0..038 INX80 CM</t>
  </si>
  <si>
    <t>https://accessgudid.nlm.nih.gov/devices/00886333212132</t>
  </si>
  <si>
    <t>395930E</t>
  </si>
  <si>
    <t>ARGON_395930E</t>
  </si>
  <si>
    <t>Guidewire - .035 X  150CM   Fixed Core   Bentson   PTFE</t>
  </si>
  <si>
    <t>PRODIGO1072899</t>
  </si>
  <si>
    <t>Guidewire 35/150/FC/PTFE/BENTSON</t>
  </si>
  <si>
    <t>BENTSON CEREBRAL WIRES - PTFE COATED .035 150cm 16.0</t>
  </si>
  <si>
    <t>GUIDEWIRE, VASCULAR, BENTSON, 0..035 INX150 CM, FIXED CORE, PTFE COATED, STAINLESS STEEL, STERILE, LATEX</t>
  </si>
  <si>
    <t>GUIDEWIRE, VASC, BENT, 0..035 INX150 CM, FIX COR, PTFE COAT, SS, STRL, LTX</t>
  </si>
  <si>
    <t>GUIDEWIRE, VASC, BENT, 0..035 INX150 CM, FIX COR, SS, STRL, LTX</t>
  </si>
  <si>
    <t>BENTSON</t>
  </si>
  <si>
    <t>0..035 INX150 CM</t>
  </si>
  <si>
    <t>https://kategorizacia.mzsr.sk/Pomocky/Download/RequestAttachment/48658, https://accessgudid.nlm.nih.gov/devices/00886333212149</t>
  </si>
  <si>
    <t>395931</t>
  </si>
  <si>
    <t>ARGON_395931</t>
  </si>
  <si>
    <t>Guidewire - .032 X  150CM   Fixed Core   Bentson   PTFE</t>
  </si>
  <si>
    <t>PRODIGO1072900</t>
  </si>
  <si>
    <t>Guidewire 32/150/FC/PTFE/BENTSON</t>
  </si>
  <si>
    <t>GUIDEWIRE, VASCULAR, BENTSON, 0..032 INX150 CM, FIXED CORE, PTFE COATED, STAINLESS STEEL, STERILE, LATEX</t>
  </si>
  <si>
    <t>GUIDEWIRE, VASC, BENT, 0..032 INX150 CM, FIX COR, PTFE COAT, SS, STRL, LTX</t>
  </si>
  <si>
    <t>GUIDEWIRE, VASC, BENT, 0..032 INX150 CM, FIX COR, SS, STRL, LTX</t>
  </si>
  <si>
    <t>https://accessgudid.nlm.nih.gov/devices/00886333212156</t>
  </si>
  <si>
    <t>395933C</t>
  </si>
  <si>
    <t>ARGON_395933C</t>
  </si>
  <si>
    <t>Guidewire - .038 X  150CM   Fixed Core   Bentson   PTFE</t>
  </si>
  <si>
    <t>PRODIGO1072901</t>
  </si>
  <si>
    <t>Guidewire 38/150/FC/PTFE/BENTSON</t>
  </si>
  <si>
    <t>BENTSON CEREBRAL WIRES - PTFE COATED .038 150cm</t>
  </si>
  <si>
    <t>GUIDEWIRE, VASCULAR, BENTSON, 0..038 INX150 CM, FIXED CORE, PTFE COATED, STAINLESS STEEL, STERILE, LATEX</t>
  </si>
  <si>
    <t>GUIDEWIRE, VASC, BENT, 0..038 INX150 CM, FIX COR, PTFE COAT, SS, STRL, LTX</t>
  </si>
  <si>
    <t>GUIDEWIRE, VASC, BENT, 0..038 INX150 CM, FIX COR, SS, STRL, LTX</t>
  </si>
  <si>
    <t>0..038 INX150 CM</t>
  </si>
  <si>
    <t>https://kategorizacia.mzsr.sk/Pomocky/Download/RequestAttachment/48658, https://accessgudid.nlm.nih.gov/devices/00886333212163</t>
  </si>
  <si>
    <t>395945</t>
  </si>
  <si>
    <t>ARGON_395945</t>
  </si>
  <si>
    <t>Guidewire - .018 X  100CM  Fixed Core/Mullins     2CM Soft Tip</t>
  </si>
  <si>
    <t>PRODIGO1072903</t>
  </si>
  <si>
    <t>Guidewire 18/100/FC/Mullins/2cm Soft Tip</t>
  </si>
  <si>
    <t>Fixed Core Straight MULLINS TIP DEFLECTOR WIRES - STAINLESS STEEL .018 100cm Stainless Steel 1.5/2 Straight</t>
  </si>
  <si>
    <t>GUIDEWIRE, VASCULAR, MULLINS, 2 CM, 0..018 INX100 CM, FIXED CORE, SOFT TIP, PTFE COATED, STAINLESS STEEL, STERILE, LATEX</t>
  </si>
  <si>
    <t>GUIDEWIRE, VASC, MULLINS, 2 CM, 0..018 INX100 CM, FIX COR, SFT TIP, PTFE COAT, SS, STRL, LTX</t>
  </si>
  <si>
    <t>GUIDEWIRE, VASC, MULLINS, 2 CM, 0..018 INX100 CM, FIX, SFT TIP, SS</t>
  </si>
  <si>
    <t>MULLINS</t>
  </si>
  <si>
    <t>2 CM</t>
  </si>
  <si>
    <t>0..018 INX100 CM</t>
  </si>
  <si>
    <t>FIXED CORE, SOFT TIP</t>
  </si>
  <si>
    <t>https://kategorizacia.mzsr.sk/Pomocky/Download/RequestAttachment/48658, https://accessgudid.nlm.nih.gov/devices/00886333212187</t>
  </si>
  <si>
    <t>395946</t>
  </si>
  <si>
    <t>ARGON_395946</t>
  </si>
  <si>
    <t>Guidewire - .021 X    65CM  Fixed Core/Mullins     2CM Soft Tip</t>
  </si>
  <si>
    <t>PRODIGO1072904</t>
  </si>
  <si>
    <t>Guidewire 21/65/FC/Mullins/2cm Soft Tip</t>
  </si>
  <si>
    <t>GUIDEWIRE, VASCULAR, MULLINS, 2 CM, 0..021 INX65 CM, FIXED CORE, SOFT TIP, PTFE COATED, STAINLESS STEEL, STERILE, LATEX</t>
  </si>
  <si>
    <t>GUIDEWIRE, VASC, MULLINS, 2 CM, 0..021 INX65 CM, FIX COR, SFT TIP, PTFE COAT, SS, STRL, LTX</t>
  </si>
  <si>
    <t>GUIDEWIRE, VASC, MULLINS, 2 CM, 0..021 INX65 CM, FIX, SFT TIP, SS</t>
  </si>
  <si>
    <t>0..021 INX65 CM</t>
  </si>
  <si>
    <t>https://accessgudid.nlm.nih.gov/devices/00886333212194</t>
  </si>
  <si>
    <t>395948</t>
  </si>
  <si>
    <t>ARGON_395948</t>
  </si>
  <si>
    <t>Guidewire - .021 X  100CM  Fixed Core/Mullins     2CM Soft Tip</t>
  </si>
  <si>
    <t>PRODIGO1072905</t>
  </si>
  <si>
    <t>Guidewire 21/100/FC/Mullins/2cm Soft Tip</t>
  </si>
  <si>
    <t>Fixed Core Straight MULLINS TIP DEFLECTOR WIRES - STAINLESS STEEL .021 100cm Stainless Steel Straight</t>
  </si>
  <si>
    <t>GUIDEWIRE, VASCULAR, MULLINS, 2 CM, 0..021 INX100 CM, FIXED CORE, SOFT TIP, PTFE COATED, STAINLESS STEEL, STERILE, LATEX</t>
  </si>
  <si>
    <t>GUIDEWIRE, VASC, MULLINS, 2 CM, 0..021 INX100 CM, FIX COR, SFT TIP, PTFE COAT, SS, STRL, LTX</t>
  </si>
  <si>
    <t>GUIDEWIRE, VASC, MULLINS, 2 CM, 0..021 INX100 CM, FIX, SFT TIP, SS</t>
  </si>
  <si>
    <t>0..021 INX100 CM</t>
  </si>
  <si>
    <t>https://kategorizacia.mzsr.sk/Pomocky/Download/RequestAttachment/48658, https://accessgudid.nlm.nih.gov/devices/00886333212200</t>
  </si>
  <si>
    <t>395961</t>
  </si>
  <si>
    <t>ARGON_395961</t>
  </si>
  <si>
    <t>Guidewire - .028 X  150CM   Fixed Core   3J   PTFE</t>
  </si>
  <si>
    <t>PRODIGO1072906</t>
  </si>
  <si>
    <t>Guidewire 28/150/FC/PTFE/3J</t>
  </si>
  <si>
    <t>GUIDEWIRE, VASCULAR, J TIP, 3 MM, 0..028 INX150 CM, FIXED CORE, PTFE COATED, STAINLESS STEEL, STERILE, LATEX</t>
  </si>
  <si>
    <t>GUIDEWIRE, VASC, J TIP, 3 MM, 0..028 INX150 CM, FIX COR, PTFE COAT, SS, STRL, LTX</t>
  </si>
  <si>
    <t>GUIDEWIRE, VASC, J TIP, 3 MM, 0..028 INX150 CM, FIX COR, SS, LTX</t>
  </si>
  <si>
    <t>0..028 INX150 CM</t>
  </si>
  <si>
    <t>https://accessgudid.nlm.nih.gov/devices/00886333212217</t>
  </si>
  <si>
    <t>395962</t>
  </si>
  <si>
    <t>ARGON_395962</t>
  </si>
  <si>
    <t>Guidewire - .028 X    40CM  Fixed Core   ST</t>
  </si>
  <si>
    <t>PRODIGO1072907</t>
  </si>
  <si>
    <t>Guidewire 28/40/FC/ST</t>
  </si>
  <si>
    <t>GUIDEWIRE, VASCULAR, STRAIGHT, 0..028 INX40 CM, FIXED CORE, PTFE COATED, STAINLESS STEEL, STERILE, LATEX</t>
  </si>
  <si>
    <t>GUIDEWIRE, VASC, STR, 0..028 INX40 CM, FIX COR, PTFE COAT, SS, STRL, LTX</t>
  </si>
  <si>
    <t>GUIDEWIRE, VASC, STR, 0..028 INX40 CM, FIX COR, SS, STRL, LTX</t>
  </si>
  <si>
    <t>0..028 INX40 CM</t>
  </si>
  <si>
    <t>https://accessgudid.nlm.nih.gov/devices/00886333212224</t>
  </si>
  <si>
    <t>395989</t>
  </si>
  <si>
    <t>ARGON_395989</t>
  </si>
  <si>
    <t>Guidewire - .028 X    50CM  Fixed Core   DE/3J&amp;ST</t>
  </si>
  <si>
    <t>PRODIGO1072908</t>
  </si>
  <si>
    <t>Guidewire 28/50/FC/DE/3J&amp;ST</t>
  </si>
  <si>
    <t>GUIDEWIRE, VASCULAR, STRAIGHT, J TIP, 3 MM, 0..028 INX50 CM, FIXED CORE, DOUBLE ENDED, PTFE COATED, STAINLESS STEEL, STERILE, LATEX</t>
  </si>
  <si>
    <t>GUIDEWIRE, VASC, STR, J TIP, 3 MM, 0..028 INX50 CM, FIX COR, DBL END, PTFE COAT, SS, STRL, LTX</t>
  </si>
  <si>
    <t>GUIDEWIRE, VASC, STR, J TIP, 3 MM, 0..028 INX50 CM, FIX, DBL END, SS</t>
  </si>
  <si>
    <t>0..028 INX50 CM</t>
  </si>
  <si>
    <t>https://accessgudid.nlm.nih.gov/devices/00886333212255</t>
  </si>
  <si>
    <t>395993</t>
  </si>
  <si>
    <t>ARGON_395993</t>
  </si>
  <si>
    <t>Guidewire - .035 X  150CM   Fixed Core   3J/HD   PTFE</t>
  </si>
  <si>
    <t>PRODIGO1072909</t>
  </si>
  <si>
    <t>Guidewire 35/150/FC/PTFE/3J/HD</t>
  </si>
  <si>
    <t>GUIDEWIRE, VASCULAR, J TIP, 3 MM, 0..035 INX150 CM, FIXED CORE, HD, PTFE COATED, STAINLESS STEEL, STERILE, LATEX</t>
  </si>
  <si>
    <t>GUIDEWIRE, VASC, J TIP, 3 MM, 0..035 INX150 CM, FIX COR, HD, PTFE COAT, SS, STRL, LTX</t>
  </si>
  <si>
    <t>GUIDEWIRE, VASC, J TIP, 3 MM, 0..035 INX150 CM, FIX COR, HD, SS, LTX</t>
  </si>
  <si>
    <t>https://accessgudid.nlm.nih.gov/devices/00886333212279</t>
  </si>
  <si>
    <t>395998</t>
  </si>
  <si>
    <t>ARGON_395998</t>
  </si>
  <si>
    <t>Guidewire - .035 X    50CM   Fixed Core   De/3J&amp;ST   PTFE</t>
  </si>
  <si>
    <t>PRODIGO1072910</t>
  </si>
  <si>
    <t>Guidewire 35/50/FC/PTFE/DE/3J&amp;ST</t>
  </si>
  <si>
    <t>PTFE Coated Stainless Steel Double Ended .035 50cm Str &amp; 3mm</t>
  </si>
  <si>
    <t>GUIDEWIRE, VASCULAR, STRAIGHT, J TIP, 3 MM, 0..035 INX50 CM, FIXED CORE, DOUBLE ENDED, PTFE COATED, STAINLESS STEEL, STERILE, LATEX</t>
  </si>
  <si>
    <t>GUIDEWIRE, VASC, STR, J TIP, 3 MM, 0..035 INX50 CM, FIX COR, DBL END, PTFE COAT, SS, STRL, LTX</t>
  </si>
  <si>
    <t>GUIDEWIRE, VASC, STR, J TIP, 3 MM, 0..035 INX50 CM, FIX, DBL END, SS</t>
  </si>
  <si>
    <t>0..035 INX50 CM</t>
  </si>
  <si>
    <t>https://assets-global.website-files.com/609d867d872392abfec460b4/6144f7a4c075fa2e7a51bfd8_Argon%20Catalog_US-compressed.pdf, https://accessgudid.nlm.nih.gov/devices/00886333212293</t>
  </si>
  <si>
    <t>396007</t>
  </si>
  <si>
    <t>ARGON_396007</t>
  </si>
  <si>
    <t>Equipment Cover Bag Type W/ Corners 42 X 38 107CM X 96CM</t>
  </si>
  <si>
    <t>PRODIGO1072912</t>
  </si>
  <si>
    <t>Equipment Cover Bag Type 42GÇ¥ x 38GÇ¥ (107cm x 96cm)</t>
  </si>
  <si>
    <t>Equipment Cover Bag Type</t>
  </si>
  <si>
    <t>42295415  Surgical equipment covers</t>
  </si>
  <si>
    <t>Equipment Covers Bag Type with Elastic Band 42 x 38 (107cm x 96cm) With Corners</t>
  </si>
  <si>
    <t>DRAPE, EQUIPMENT, BAG TYPE, 42X38 IN, WITH ELASTIC BAND, CORNER, STERILE, LATEX</t>
  </si>
  <si>
    <t>DRAPE, EQUIP, BG TYP, 42X38 IN, W/ ELASTIC BND, CORNER, STRL, LTX</t>
  </si>
  <si>
    <t>EQUIPMENT</t>
  </si>
  <si>
    <t>BAG TYPE</t>
  </si>
  <si>
    <t>42X38 IN</t>
  </si>
  <si>
    <t>WITH ELASTIC BAND, CORNER</t>
  </si>
  <si>
    <t>107CM X 96CM</t>
  </si>
  <si>
    <t>https://assets-global.website-files.com/609d867d872392abfec460b4/6144f7a4c075fa2e7a51bfd8_Argon%20Catalog_US-compressed.pdf, https://accessgudid.nlm.nih.gov/devices/00886333212330</t>
  </si>
  <si>
    <t>396008</t>
  </si>
  <si>
    <t>ARGON_396008</t>
  </si>
  <si>
    <t>Equipment Cover Bag Type W/ Corners 48 X 27 122CM X 69CM</t>
  </si>
  <si>
    <t>PRODIGO1072913</t>
  </si>
  <si>
    <t>Equipment Cover Bag Type 48GÇ¥ x 27GÇ¥ (122cm x 69cm)</t>
  </si>
  <si>
    <t>Equipment Cover Bag Type 48 x 27 (122cm x 69cm)</t>
  </si>
  <si>
    <t>DRAPE, EQUIPMENT, BAG TYPE, 48X27 IN, WITH ELASTIC BAND, CORNER, STERILE, LATEX</t>
  </si>
  <si>
    <t>DRAPE, EQUIP, BG TYP, 48X27 IN, W/ ELASTIC BND, CORNER, STRL, LTX</t>
  </si>
  <si>
    <t>48X27 IN</t>
  </si>
  <si>
    <t>122CM X 69CM</t>
  </si>
  <si>
    <t>https://accessgudid.nlm.nih.gov/devices/00886333212347, https://accessgudid.nlm.nih.gov/devices/00886333212347</t>
  </si>
  <si>
    <t>396009</t>
  </si>
  <si>
    <t>ARGON_396009</t>
  </si>
  <si>
    <t>Equipment Cover Bag Type W/ Corners 48 X 36 122CM X 91CM</t>
  </si>
  <si>
    <t>PRODIGO1072914</t>
  </si>
  <si>
    <t>Equipment Cover Bag Type 48GÇ¥ x 36GÇ¥ (122cm x 91cm)</t>
  </si>
  <si>
    <t>Equipment Covers Bag Type with Elastic Band 48 x 36 (122cm x 91cm) With Corners</t>
  </si>
  <si>
    <t>DRAPE, EQUIPMENT, BAG TYPE, 48X36 IN, WITH ELASTIC BAND, CORNER, STERILE, LATEX</t>
  </si>
  <si>
    <t>DRAPE, EQUIP, BG TYP, 48X36 IN, W/ ELASTIC BND, CORNER, STRL, LTX</t>
  </si>
  <si>
    <t>48X36 IN</t>
  </si>
  <si>
    <t>122CM X 91CM</t>
  </si>
  <si>
    <t>https://assets-global.website-files.com/609d867d872392abfec460b4/6144f7a4c075fa2e7a51bfd8_Argon%20Catalog_US-compressed.pdf, https://accessgudid.nlm.nih.gov/devices/00886333212354</t>
  </si>
  <si>
    <t>396014</t>
  </si>
  <si>
    <t>ARGON_396014</t>
  </si>
  <si>
    <t>Equipment Cover Dome Type 27 68.58CM</t>
  </si>
  <si>
    <t>PRODIGO1072915</t>
  </si>
  <si>
    <t>Equipment Cover Dome Type 27GÇ¥ (68.58cm)</t>
  </si>
  <si>
    <t>Equipment Cover Dome Type</t>
  </si>
  <si>
    <t>Equipment Cover Dome Type 27 (68.58cm)</t>
  </si>
  <si>
    <t>DRAPE, EQUIPMENT, DOME TYPE, 27 IN, STERILE, LATEX</t>
  </si>
  <si>
    <t>DRAPE, EQUIP, DOME TYP, 27 IN, STRL, LTX</t>
  </si>
  <si>
    <t>DOME TYPE</t>
  </si>
  <si>
    <t>27 IN</t>
  </si>
  <si>
    <t>68.58CM</t>
  </si>
  <si>
    <t>https://accessgudid.nlm.nih.gov/devices/00886333212392</t>
  </si>
  <si>
    <t>396101</t>
  </si>
  <si>
    <t>ARGON_396101</t>
  </si>
  <si>
    <t>Epd Neonatal Femoral Angiography Drape 75 X 125 W/ Full Transparent Windows</t>
  </si>
  <si>
    <t>PRODIGO1072917</t>
  </si>
  <si>
    <t>"Neonatal EPD Femoral Angio Drape 75"" x 125"" w/ Full Transparent Windows"</t>
  </si>
  <si>
    <t>Neonatal EPD Femoral Angio Drape</t>
  </si>
  <si>
    <t>NEONATAL EPD FEMORAL ANGIO DRAPE 75 X 125 W/ FULL TRANSPARENT WINDOWS</t>
  </si>
  <si>
    <t>DRAPE, ANGIOGRAPHY, NEONATAL, 75X125 IN, FEMORAL, FULL TRANSPARENT WINDOWS, POLY, STERILE, EPD, LATEX</t>
  </si>
  <si>
    <t>DRAPE, ANGIO, NEONATAL, 75X125 IN, FEM, FULL TRANSPARENT WIND, POLY, STRL, EPD, LTX</t>
  </si>
  <si>
    <t>DRAPE, ANGIO, 75X125 IN, FEM, FULL TRANSPARENT WIND, POLY, EPD</t>
  </si>
  <si>
    <t>ANGIOGRAPHY</t>
  </si>
  <si>
    <t>NEONATAL</t>
  </si>
  <si>
    <t>75X125 IN</t>
  </si>
  <si>
    <t>FEMORAL</t>
  </si>
  <si>
    <t>FULL TRANSPARENT WINDOWS</t>
  </si>
  <si>
    <t>POLY</t>
  </si>
  <si>
    <t>EPD</t>
  </si>
  <si>
    <t>https://accessgudid.nlm.nih.gov/devices/00886333212415</t>
  </si>
  <si>
    <t>396102</t>
  </si>
  <si>
    <t>ARGON_396102</t>
  </si>
  <si>
    <t>Edp Pediatric Femoral Angiography Drape 75 X 125 W/Full Transparent Windows</t>
  </si>
  <si>
    <t>PRODIGO1072918</t>
  </si>
  <si>
    <t>"Pediatric EPD Femoral Angio Drape 75"" x 125"" w/Full Transparent Windows"</t>
  </si>
  <si>
    <t>Pediatric EPD Femoral Angio Drape</t>
  </si>
  <si>
    <t>PEDIATRIC EPD FEMORAL ANGIO DRAPE 75 X 125 W/FULL TRANSPARENT WINDOWS</t>
  </si>
  <si>
    <t>DRAPE, ANGIOGRAPHY, PEDIATRIC, 75X125 IN, FEMORAL, FULL TRANSPARENT WINDOWS, POLY, STERILE, EPD, LATEX</t>
  </si>
  <si>
    <t>DRAPE, ANGIO, PEDIATRIC, 75X125 IN, FEM, FULL TRANSPARENT WIND, POLY, STRL, EPD, LTX</t>
  </si>
  <si>
    <t>PEDIATRIC</t>
  </si>
  <si>
    <t>396110</t>
  </si>
  <si>
    <t>ARGON_396110</t>
  </si>
  <si>
    <t>Edp Basic Adult Femoral Angiography Drape 75 X 125 W/Full Transparent Windows</t>
  </si>
  <si>
    <t>PRODIGO1072919</t>
  </si>
  <si>
    <t>"Basic Adult EPD Femoral Angio Drape 75"" x 125"" w/Full Transparent Windows"</t>
  </si>
  <si>
    <t>Basic Adult EPD Femoral Angio Drape</t>
  </si>
  <si>
    <t>BASIC ADULT EPD FEMORAL ANGIO DRAPE 75 X 125 W/FULL TRANSPARENT WINDOWS</t>
  </si>
  <si>
    <t>DRAPE, ANGIOGRAPHY, BASIC, ADULT, 75X125 IN, FEMORAL, FULL TRANSPARENT WINDOWS, POLY, STERILE, EPD, LATEX</t>
  </si>
  <si>
    <t>DRAPE, ANGIO, BASIC, AD, 75X125 IN, FEM, FULL TRANSPARENT WIND, POLY, STRL, EPD, LTX</t>
  </si>
  <si>
    <t>BASIC</t>
  </si>
  <si>
    <t>ADULT</t>
  </si>
  <si>
    <t>396111</t>
  </si>
  <si>
    <t>ARGON_396111</t>
  </si>
  <si>
    <t>PRODIGO1072920</t>
  </si>
  <si>
    <t>DRAPE, ANGIOGRAPHY, BASIC, ADULT, 75X125 IN, FEMORAL, FULL TRANSPARENT WINDOWS, STERILE, EPD, LATEX</t>
  </si>
  <si>
    <t>DRAPE, ANGIO, BASIC, AD, 75X125 IN, FEM, FULL TRANSPARENT WIND, STRL, EPD, LTX</t>
  </si>
  <si>
    <t>DRAPE, ANGIO, 75X125 IN, FEM, FULL TRANSPARENT WIND, EPD</t>
  </si>
  <si>
    <t>https://accessgudid.nlm.nih.gov/devices/00886333212446</t>
  </si>
  <si>
    <t>396112</t>
  </si>
  <si>
    <t>ARGON_396112</t>
  </si>
  <si>
    <t>PRODIGO1072921</t>
  </si>
  <si>
    <t>DRAPE, ANGIO, 75X125 IN, FEM, FULL TRANSPARENT WIND, STRL, EPD</t>
  </si>
  <si>
    <t>https://www.graylinemedical.com/products/argon-medical-femoral-angiography-drapes-femoral-angiography-drape-adult-396112</t>
  </si>
  <si>
    <t>396120</t>
  </si>
  <si>
    <t>ARGON_396120</t>
  </si>
  <si>
    <t>Edp Basic Grande Femoral Drape 86 X 135 W/Full Transparent Windows</t>
  </si>
  <si>
    <t>PRODIGO1072922</t>
  </si>
  <si>
    <t>"Argon Basic EPD Grande Femoral Drape 86"" x 135"" w/Full Transparent Windows"</t>
  </si>
  <si>
    <t>Argon Basic EPD Grande Femoral Drape</t>
  </si>
  <si>
    <t>ARGON BASIC EPD GRANDE FEMORAL DRAPE 86 X 135 W/FULL TRANSPARENT WINDOWS</t>
  </si>
  <si>
    <t>DRAPE, ANGIOGRAPHY, BASIC, ADULT, 86X135 IN, FEMORAL, FULL TRANSPARENT WINDOWS, STERILE, EPD GRANDE, LATEX</t>
  </si>
  <si>
    <t>DRAPE, ANGIO, BASIC, AD, 86X135 IN, FEM, FULL TRANSPARENT WIND, STRL, EPD GRANDE, LTX</t>
  </si>
  <si>
    <t>DRAPE, ANGIO, 86X135 IN, FEM, FULL WIND, STRL, EPD GRANDE</t>
  </si>
  <si>
    <t>86X135 IN</t>
  </si>
  <si>
    <t>EPD GRANDE</t>
  </si>
  <si>
    <t>https://punchout.medline.com/sku/item/MDPARM396120?skuIndex=S2&amp;question=&amp;flowType=&amp;indexCount=</t>
  </si>
  <si>
    <t>396122</t>
  </si>
  <si>
    <t>ARGON_396122</t>
  </si>
  <si>
    <t>Edp Basic Grande Drape86 X 135 W/ Full Transparent Windows</t>
  </si>
  <si>
    <t>PRODIGO1072923</t>
  </si>
  <si>
    <t>"Argon Adult EPD Grande Femoral Drape 86"" x 135"" w/Full Transparent Windows"</t>
  </si>
  <si>
    <t>Argon Adult EPD Grande Femoral Drape</t>
  </si>
  <si>
    <t>ARGON ADULT EPD GRANDE FEMORAL DRAPE 86 X 135 W/FULL TRANSPARENT WINDOWS</t>
  </si>
  <si>
    <t>DRAPE, ANGIOGRAPHY, ADULT, 86X135 IN, FEMORAL, FULL TRANSPARENT WINDOWS, STERILE, EPD GRANDE, LATEX</t>
  </si>
  <si>
    <t>DRAPE, ANGIO, AD, 86X135 IN, FEM, FULL TRANSPARENT WIND, STRL, EPD GRANDE, LTX</t>
  </si>
  <si>
    <t>DRAPE, ANGIO, AD, 86X135 IN, FEM, FULL WIND, EPD GRANDE</t>
  </si>
  <si>
    <t>https://www.hipaaspace.com/medical_billing/coding/global.unique.medical.device.identification/00886333212477</t>
  </si>
  <si>
    <t>396204</t>
  </si>
  <si>
    <t>ARGON_396204</t>
  </si>
  <si>
    <t>Brachial/Axillary/Cerebral Drape 38 1/2 X 60 Fenestration</t>
  </si>
  <si>
    <t>PRODIGO1072924</t>
  </si>
  <si>
    <t>"Brachial/Axillary/Cerebral Drape 38 1/2"" x 60"""</t>
  </si>
  <si>
    <t>Brachial/Axillary/Cerebral Drape</t>
  </si>
  <si>
    <t>DRAPE BRACHIAL AXILLARY AND CEREBRAL 3.5 FENESTRATIONS 38.5 X 60</t>
  </si>
  <si>
    <t>DRAPE, ANGIOGRAPHY, 38.5X60 IN, BRACHIAL, AXILLARY, CEREBRAL, FENESTRATION, STERILE, EPD, LATEX</t>
  </si>
  <si>
    <t>DRAPE, ANGIO, 38.5X60 IN, BRACH, AX, CEREB, FEN, STRL, EPD, LTX</t>
  </si>
  <si>
    <t>38.5X60 IN</t>
  </si>
  <si>
    <t>BRACHIAL, AXILLARY, CEREBRAL</t>
  </si>
  <si>
    <t>FENESTRATION</t>
  </si>
  <si>
    <t>https://punchout.medline.com/sku/item/MDPARM396204?skuIndex=S3&amp;question=&amp;flowType=&amp;indexCount=</t>
  </si>
  <si>
    <t>https://accessgudid.nlm.nih.gov/devices/00886333212491</t>
  </si>
  <si>
    <t>396207</t>
  </si>
  <si>
    <t>ARGON_396207</t>
  </si>
  <si>
    <t>Angiography Pediatric Femoral Angio Drape 77 X 90</t>
  </si>
  <si>
    <t>PRODIGO1072925</t>
  </si>
  <si>
    <t>"Argon Pediatric Femoral Angio Drape 77"" x 90"""</t>
  </si>
  <si>
    <t>Argon Pediatric Femoral Angio Drape</t>
  </si>
  <si>
    <t>PERI-LOC 4.5MM T25 LOCKING SCREW 125MM SELF-TAPPING</t>
  </si>
  <si>
    <t>DRAPE, ANGIOGRAPHY, PEDIATRIC, 77X90 IN, FEMORAL, STERILE, LATEX</t>
  </si>
  <si>
    <t>DRAPE, ANGIO, PEDIATRIC, 77X90 IN, FEM, STRL, LTX</t>
  </si>
  <si>
    <t>77X90 IN</t>
  </si>
  <si>
    <t>https://accessgudid.nlm.nih.gov/devices/00885556068533</t>
  </si>
  <si>
    <t>396208</t>
  </si>
  <si>
    <t>ARGON_396208</t>
  </si>
  <si>
    <t>Angiography Femoral Drape W/ Full Right Side Transparent Window 77 X 110</t>
  </si>
  <si>
    <t>PRODIGO1072926</t>
  </si>
  <si>
    <t>"Argon Femoral Angio Drape w/ Full Right Side Transparent Window 77"" x 110"""</t>
  </si>
  <si>
    <t>Argon Femoral Angio Drape</t>
  </si>
  <si>
    <t>EPD ANGIO DRAPE - DRAPE ANGIO 5.5 FENESTRATIONS ADULT 77 X 110</t>
  </si>
  <si>
    <t>DRAPE, ANGIOGRAPHY, 77X110 IN, FEMORAL, FULL RIGHT SIDE TRANSPARENT WINDOW, STERILE, LATEX</t>
  </si>
  <si>
    <t>DRAPE, ANGIO, 77X110 IN, FEM, FULL RT SIDE TRANSPARENT WINDOW, STRL, LTX</t>
  </si>
  <si>
    <t>DRAPE, ANGIO, 77X110 IN, FEM, FULL RT SIDE TRANSPARENT WINDOW</t>
  </si>
  <si>
    <t>77X110 IN</t>
  </si>
  <si>
    <t>FULL RIGHT SIDE TRANSPARENT WINDOW</t>
  </si>
  <si>
    <t>https://www.graylinemedical.com/products/argon-medical-devices-epd-angio-drape-drape-angio-5-5-fenestrations-adult-77-x-110-396208</t>
  </si>
  <si>
    <t>396215</t>
  </si>
  <si>
    <t>ARGON_396215</t>
  </si>
  <si>
    <t>Equipment Cover Bag Type 36 X 28 91CM X 71CM</t>
  </si>
  <si>
    <t>PRODIGO1072928</t>
  </si>
  <si>
    <t>Equipment Cover Bag Type 36GÇ¥ x 28GÇ¥ (91cm x 71cm)</t>
  </si>
  <si>
    <t>Equipment Cover</t>
  </si>
  <si>
    <t>EQUIPMENT COVER BAG TYPE</t>
  </si>
  <si>
    <t>COVER, EQUIPMENT, BAG TYPE, 91X71 CM, STERILE, LATEX</t>
  </si>
  <si>
    <t>COVER, EQUIP, BG TYP, 91X71 CM, STRL, LTX</t>
  </si>
  <si>
    <t>COVER</t>
  </si>
  <si>
    <t>91X71 CM</t>
  </si>
  <si>
    <t>https://www.hipaaspace.com/medical_billing/coding/global.unique.medical.device.identification/00886333212545</t>
  </si>
  <si>
    <t>https://accessgudid.nlm.nih.gov/devices/00886333212545</t>
  </si>
  <si>
    <t>396216</t>
  </si>
  <si>
    <t>ARGON_396216</t>
  </si>
  <si>
    <t>Angiography Femoral Drape With Right Side Transparent Window 77 X 100</t>
  </si>
  <si>
    <t>PRODIGO1072929</t>
  </si>
  <si>
    <t>"Argon Femoral Angio Drape with Right Side Transparent Window 77"" x 100"""</t>
  </si>
  <si>
    <t>ARGON FEMORAL ANGIO DRAPE WITH RIGHT SIDE TRANSPARENT WINDOW 77 X 100</t>
  </si>
  <si>
    <t>DRAPE, ANGIOGRAPHY, 77X100 IN, FEMORAL, FULL RIGHT SIDE TRANSPARENT WINDOW, STERILE, LATEX</t>
  </si>
  <si>
    <t>DRAPE, ANGIO, 77X100 IN, FEM, FULL RT SIDE TRANSPARENT WINDOW, STRL, LTX</t>
  </si>
  <si>
    <t>DRAPE, ANGIO, 77X100 IN, FEM, FULL RT SIDE TRANSPARENT WINDOW</t>
  </si>
  <si>
    <t>77X100 IN</t>
  </si>
  <si>
    <t>https://accessgudid.nlm.nih.gov/devices/00886333212552</t>
  </si>
  <si>
    <t>396221</t>
  </si>
  <si>
    <t>ARGON_396221</t>
  </si>
  <si>
    <t>Equipment Cover Bag Type 36 X 20 91CM X 51CM</t>
  </si>
  <si>
    <t>PRODIGO1072930</t>
  </si>
  <si>
    <t>Equipment Cover Bag Type 36GÇ¥ x 20GÇ¥ (91cm x 51cm)</t>
  </si>
  <si>
    <t>EQUIPMENT COVER 36 X 20</t>
  </si>
  <si>
    <t>COVER, EQUIPMENT, BAG TYPE, 91X51 CM, STERILE, LATEX</t>
  </si>
  <si>
    <t>COVER, EQUIP, BG TYP, 91X51 CM, STRL, LTX</t>
  </si>
  <si>
    <t>91X51 CM</t>
  </si>
  <si>
    <t>https://www.graylinemedical.com/products/argon-medical-devices-equipment-covers-equipment-cover-36-x-20-396221</t>
  </si>
  <si>
    <t>396222</t>
  </si>
  <si>
    <t>ARGON_396222</t>
  </si>
  <si>
    <t>Equipment Cover Bag Type 30 X 17 76CM X 43CM</t>
  </si>
  <si>
    <t>PRODIGO1072931</t>
  </si>
  <si>
    <t>Equipment Cover Bag Type 30GÇ¥ x 17GÇ¥ (76cm x 43cm)</t>
  </si>
  <si>
    <t>EQUIPMENT COVER BAG TYPE 30GX 17G(76CM X 43CM)</t>
  </si>
  <si>
    <t>COVER, EQUIPMENT, BAG TYPE, 76X43 CM, ELASTIC BAND, STERILE, LATEX</t>
  </si>
  <si>
    <t>COVER, EQUIP, BG TYP, 76X43 CM, ELASTIC BND, STRL, LTX</t>
  </si>
  <si>
    <t>76X43 CM</t>
  </si>
  <si>
    <t>ELASTIC BAND</t>
  </si>
  <si>
    <t>396348</t>
  </si>
  <si>
    <t>ARGON_396348</t>
  </si>
  <si>
    <t>Back Stand Table Cover 44 X 76 111CM X 193CM</t>
  </si>
  <si>
    <t>PRODIGO1072934</t>
  </si>
  <si>
    <t>"Back Stand Table Cover 44"" x 76"" (111cm x 193cm)"</t>
  </si>
  <si>
    <t>Table Cover</t>
  </si>
  <si>
    <t>BACK STAND TABLE COVER 44 X 76 (111CM X 193CM)</t>
  </si>
  <si>
    <t>COVER, EQUIPMENT, BACK STAND TABLE, 111X193 CM, STERILE, LATEX</t>
  </si>
  <si>
    <t>COVER, EQUIP, BK STAND TBL, 111X193 CM, STRL, LTX</t>
  </si>
  <si>
    <t>BACK STAND TABLE</t>
  </si>
  <si>
    <t>111X193 CM</t>
  </si>
  <si>
    <t>396360</t>
  </si>
  <si>
    <t>ARGON_396360</t>
  </si>
  <si>
    <t>Absorbent Pad With Tape 32 X 34</t>
  </si>
  <si>
    <t>PRODIGO1072935</t>
  </si>
  <si>
    <t>"Absorbent Pad with Tape 32"" x 34"""</t>
  </si>
  <si>
    <t>Absorbent Pad</t>
  </si>
  <si>
    <t>47131909  Sorbent pads or rolls</t>
  </si>
  <si>
    <t>ABSORBENT PAD WITH TAPE 32 X 34</t>
  </si>
  <si>
    <t>PAD, ABSORBENT, WITH TAPE, 32X34 IN, STERILE, LATEX</t>
  </si>
  <si>
    <t>PAD, ABSORBENT, W/ TAPE, 32X34 IN, STRL, LTX</t>
  </si>
  <si>
    <t>ABSORBENT</t>
  </si>
  <si>
    <t>WITH TAPE</t>
  </si>
  <si>
    <t>32X34 IN</t>
  </si>
  <si>
    <t>https://www.hipaaspace.com/medical_billing/coding/global.unique.medical.device.identification/00886333212705</t>
  </si>
  <si>
    <t>https://accessgudid.nlm.nih.gov/devices/00886333212705</t>
  </si>
  <si>
    <t>ABC</t>
  </si>
  <si>
    <t>Sourced</t>
  </si>
  <si>
    <t>396397</t>
  </si>
  <si>
    <t>ARGON_396397</t>
  </si>
  <si>
    <t>Equipment Cover Dome Type 27 69CM</t>
  </si>
  <si>
    <t>PRODIGO1072936</t>
  </si>
  <si>
    <t>Equipment Cover Dome Type 27GÇ¥ (69cm) DOME</t>
  </si>
  <si>
    <t>Equipment Cover Dome Style With Elastic Band</t>
  </si>
  <si>
    <t>COVER, EQUIPMENT, DOME STYLE, 27 IN, WITH ELASTIC BAND, STERILE, LATEX</t>
  </si>
  <si>
    <t>COVER, EQUIP, DOME STYL, 27 IN, W/ ELASTIC BND, STRL, LTX</t>
  </si>
  <si>
    <t>DOME STYLE</t>
  </si>
  <si>
    <t>WITH ELASTIC BAND</t>
  </si>
  <si>
    <t>https://assets-global.website-files.com/609d867d872392abfec460b4/6144f7a4c075fa2e7a51bfd8_Argon%20Catalog_US-compressed.pdf, https://accessgudid.nlm.nih.gov/devices/00886333212712</t>
  </si>
  <si>
    <t>6144f7a4c075fa2e7a51bfd8_Argon Catalog_US-compressed.pdf</t>
  </si>
  <si>
    <t>397100</t>
  </si>
  <si>
    <t>ARGON_397100</t>
  </si>
  <si>
    <t>Epd Permanent Pacing Drape 75 X 125</t>
  </si>
  <si>
    <t>PRODIGO1072937</t>
  </si>
  <si>
    <t>"EPD Permanent Pacing Drape 75"" x 125"""</t>
  </si>
  <si>
    <t>EPD Permanent Pacing Drape</t>
  </si>
  <si>
    <t>Epd Pacing Drape</t>
  </si>
  <si>
    <t>DRAPE, SURGICAL, EPD PACING, 125X75 IN, STERILE, LATEX</t>
  </si>
  <si>
    <t>DRAPE, SURG, EPD PACE, 125X75 IN, STRL, LTX</t>
  </si>
  <si>
    <t>EPD PACING</t>
  </si>
  <si>
    <t>125X75 IN</t>
  </si>
  <si>
    <t>https://assets-global.website-files.com/609d867d872392abfec460b4/6144f7a4c075fa2e7a51bfd8_Argon%20Catalog_US-compressed.pdf, https://accessgudid.nlm.nih.gov/devices/00886333212743</t>
  </si>
  <si>
    <t>399298A</t>
  </si>
  <si>
    <t>ARGON_399298A</t>
  </si>
  <si>
    <t>Equipment Cover 5 X 60</t>
  </si>
  <si>
    <t>PRODIGO1072942</t>
  </si>
  <si>
    <t>"Equipment Cover 5"" x 60"""</t>
  </si>
  <si>
    <t>Equipment Cover 5x60</t>
  </si>
  <si>
    <t>COVER, EQUIPMENT, 60X5 IN, STERILE, LATEX</t>
  </si>
  <si>
    <t>COVER, EQUIP, 60X5 IN, STRL, LTX</t>
  </si>
  <si>
    <t>60X5 IN</t>
  </si>
  <si>
    <t>https://accessgudid.nlm.nih.gov/devices/00886333212804</t>
  </si>
  <si>
    <t>399589A</t>
  </si>
  <si>
    <t>ARGON_399589A</t>
  </si>
  <si>
    <t>Angiography Procedure Pack</t>
  </si>
  <si>
    <t>PRODIGO1072943</t>
  </si>
  <si>
    <t>Angio Procedure Pack</t>
  </si>
  <si>
    <t>42295414  Surgical specialty procedure packs</t>
  </si>
  <si>
    <t>SURGICAL PROCEDURE PACK, ANGIOGRAPHY, STERILE, LATEX</t>
  </si>
  <si>
    <t>SURGICAL PROCEDURE PACK, ANGIO, STRL, LTX</t>
  </si>
  <si>
    <t>SURGICAL PROCEDURE PACK</t>
  </si>
  <si>
    <t>https://accessgudid.nlm.nih.gov/devices/00886333212811</t>
  </si>
  <si>
    <t>399860A</t>
  </si>
  <si>
    <t>ARGON_399860A</t>
  </si>
  <si>
    <t>Angiography Drape Pack</t>
  </si>
  <si>
    <t>PRODIGO1072944</t>
  </si>
  <si>
    <t>DRAPE PACK, ANGIOGRAPHY, STERILE, LATEX</t>
  </si>
  <si>
    <t>DRAPE PACK, ANGIO, STRL, LTX</t>
  </si>
  <si>
    <t>DRAPE PACK</t>
  </si>
  <si>
    <t>https://accessgudid.nlm.nih.gov/devices/00886333212835</t>
  </si>
  <si>
    <t>401065A</t>
  </si>
  <si>
    <t>ARGON_401065A</t>
  </si>
  <si>
    <t>Permanent Pacing Drape Pack</t>
  </si>
  <si>
    <t>PRODIGO1072955</t>
  </si>
  <si>
    <t>DRAPE PACK, PERMANENT PACING, STERILE, LATEX</t>
  </si>
  <si>
    <t>DRAPE PACK, PERM PACE, STRL, LTX</t>
  </si>
  <si>
    <t>PERMANENT PACING</t>
  </si>
  <si>
    <t>https://accessgudid.nlm.nih.gov/devices/00886333212934</t>
  </si>
  <si>
    <t>401283A</t>
  </si>
  <si>
    <t>ARGON_401283A</t>
  </si>
  <si>
    <t>Angiography Drape Pack PICC Line</t>
  </si>
  <si>
    <t>PRODIGO1072958</t>
  </si>
  <si>
    <t>Angiography Drape Pack Picc Line</t>
  </si>
  <si>
    <t>DRAPE PACK, ANGIOGRAPHY, PICC LINE, STERILE, LATEX</t>
  </si>
  <si>
    <t>DRAPE PACK, ANGIO, PICC LN, STRL, LTX</t>
  </si>
  <si>
    <t>PICC LINE</t>
  </si>
  <si>
    <t>https://accessgudid.nlm.nih.gov/devices/00886333212965</t>
  </si>
  <si>
    <t>401819B</t>
  </si>
  <si>
    <t>ARGON_401819B</t>
  </si>
  <si>
    <t>Specialty Drape</t>
  </si>
  <si>
    <t>PRODIGO1072959</t>
  </si>
  <si>
    <t>DRAPE, SURGICAL, SPECIALITY, STERILE, LATEX</t>
  </si>
  <si>
    <t>DRAPE, SURG, SPECIALITY, STRL, LTX</t>
  </si>
  <si>
    <t>SPECIALITY</t>
  </si>
  <si>
    <t>https://accessgudid.nlm.nih.gov/devices/00886333212996</t>
  </si>
  <si>
    <t>490005</t>
  </si>
  <si>
    <t>ARGON_490005</t>
  </si>
  <si>
    <t>Long Sheath Introducer 5FR</t>
  </si>
  <si>
    <t>PRODIGO1072996</t>
  </si>
  <si>
    <t>Long Sheath Introducer 5F</t>
  </si>
  <si>
    <t>Axcess Percutaneous Introducer Kits 5frx23cm .035- .038in</t>
  </si>
  <si>
    <t>INTRODUCER, SHEATH, WITHOUT WIRE, 0.035-0.038 IN, LONG, 5 FRX23 CM, PERCUTANEOUS, KIT, STERILE, AXCESS, LATEX</t>
  </si>
  <si>
    <t>INTRODUCER, SHTH, W/O WIRE, 0.035-0.038 IN, LNG, 5 FRX23 CM, PERC, KT, STRL, AXCESS, LTX</t>
  </si>
  <si>
    <t>INTRODUCER, SHTH, W/O WIRE, 0.035-0.038IN, LNG, 5 FRX23 CM, AXCESS</t>
  </si>
  <si>
    <t>WITHOUT WIRE</t>
  </si>
  <si>
    <t>0.035-0.038 IN, LONG</t>
  </si>
  <si>
    <t>5 FRX23 CM</t>
  </si>
  <si>
    <t>KIT</t>
  </si>
  <si>
    <t>https://assets-global.website-files.com/609d867d872392abfec460b4/6144f7a4c075fa2e7a51bfd8_Argon%20Catalog_US-compressed.pdf, https://accessgudid.nlm.nih.gov/devices/00886333213009</t>
  </si>
  <si>
    <t>490008</t>
  </si>
  <si>
    <t>ARGON_490008</t>
  </si>
  <si>
    <t>Long Sheath Introducer 8FR</t>
  </si>
  <si>
    <t>PRODIGO1072999</t>
  </si>
  <si>
    <t>Long Sheath Introducer 8F</t>
  </si>
  <si>
    <t>Long Sheath Introducer 8f</t>
  </si>
  <si>
    <t>INTRODUCER, SHEATH, WITHOUT WIRE, 0.035-0.038 IN, LONG, 8 FRX23 CM, PERCUTANEOUS, KIT, STERILE, AXCESS, LATEX</t>
  </si>
  <si>
    <t>INTRODUCER, SHTH, W/O WIRE, 0.035-0.038 IN, LNG, 8 FRX23 CM, PERC, KT, STRL, AXCESS, LTX</t>
  </si>
  <si>
    <t>INTRODUCER, SHTH, W/O WIRE, 0.035-0.038IN, LNG, 8 FRX23 CM, AXCESS</t>
  </si>
  <si>
    <t>8 FRX23 CM</t>
  </si>
  <si>
    <t>https://accessgudid.nlm.nih.gov/devices/00886333213030</t>
  </si>
  <si>
    <t>490027</t>
  </si>
  <si>
    <t>ARGON_490027</t>
  </si>
  <si>
    <t>Long Sheath Introducer 7FR</t>
  </si>
  <si>
    <t>PRODIGO1073000</t>
  </si>
  <si>
    <t>Long Sheath Introducer 7F</t>
  </si>
  <si>
    <t>Axcess Percutaneous Introducer Kits 7frx23cm .035- .038in</t>
  </si>
  <si>
    <t>INTRODUCER, SHEATH, WITHOUT WIRE, 0.035-0.038 IN, LONG, 7 FRX23 CM, PERCUTANEOUS, KIT, STERILE, AXCESS, LATEX</t>
  </si>
  <si>
    <t>INTRODUCER, SHTH, W/O WIRE, 0.035-0.038 IN, LNG, 7 FRX23 CM, PERC, KT, STRL, AXCESS, LTX</t>
  </si>
  <si>
    <t>INTRODUCER, SHTH, W/O WIRE, 0.035-0.038IN, LNG, 7 FRX23 CM, AXCESS</t>
  </si>
  <si>
    <t>7 FRX23 CM</t>
  </si>
  <si>
    <t>https://assets-global.website-files.com/609d867d872392abfec460b4/6144f7a4c075fa2e7a51bfd8_Argon%20Catalog_US-compressed.pdf, https://accessgudid.nlm.nih.gov/devices/00886333213054</t>
  </si>
  <si>
    <t>491110A</t>
  </si>
  <si>
    <t>ARGON_491110A</t>
  </si>
  <si>
    <t>Split Sheath PCI Kit - 11FR</t>
  </si>
  <si>
    <t>PRODIGO1073001</t>
  </si>
  <si>
    <t>11F Split Sheath Introducer Kit</t>
  </si>
  <si>
    <t>Split Sheath Introducer Kit</t>
  </si>
  <si>
    <t>11f Split Sheath Introducer Kit</t>
  </si>
  <si>
    <t>INTRODUCER, SHEATH, SPLIT, 11 FR, PERCUTANEOUS, KIT, STERILE, LATEX</t>
  </si>
  <si>
    <t>INTRODUCER, SHTH, SPLIT, 11 FR, PERC, KT, STRL, LTX</t>
  </si>
  <si>
    <t>SPLIT</t>
  </si>
  <si>
    <t>11 FR</t>
  </si>
  <si>
    <t>https://accessgudid.nlm.nih.gov/devices/00886333213115</t>
  </si>
  <si>
    <t>491114A</t>
  </si>
  <si>
    <t>ARGON_491114A</t>
  </si>
  <si>
    <t>Split Sheath PCI Kit - 9FR</t>
  </si>
  <si>
    <t>PRODIGO1073002</t>
  </si>
  <si>
    <t>9F Split Sheath Introducer Kit</t>
  </si>
  <si>
    <t>9f Split Sheath Introducer Kit</t>
  </si>
  <si>
    <t>INTRODUCER, SHEATH, SPLIT, 9 FR, PERCUTANEOUS, KIT, STERILE, LATEX</t>
  </si>
  <si>
    <t>INTRODUCER, SHTH, SPLIT, 9 FR, PERC, KT, STRL, LTX</t>
  </si>
  <si>
    <t>https://accessgudid.nlm.nih.gov/devices/00886333213139</t>
  </si>
  <si>
    <t>491115A</t>
  </si>
  <si>
    <t>ARGON_491115A</t>
  </si>
  <si>
    <t>Split Sheath PCI Kit - 10FR</t>
  </si>
  <si>
    <t>PRODIGO1073003</t>
  </si>
  <si>
    <t>10F Split Sheath Introducer Kit</t>
  </si>
  <si>
    <t>10f Split Sheath Introducer Kit</t>
  </si>
  <si>
    <t>INTRODUCER, SHEATH, SPLIT, 10 FR, PERCUTANEOUS, KIT, STERILE, LATEX</t>
  </si>
  <si>
    <t>INTRODUCER, SHTH, SPLIT, 10 FR, PERC, KT, STRL, LTX</t>
  </si>
  <si>
    <t>10 FR</t>
  </si>
  <si>
    <t>https://accessgudid.nlm.nih.gov/devices/00886333213146</t>
  </si>
  <si>
    <t>493402</t>
  </si>
  <si>
    <t>ARGON_493402</t>
  </si>
  <si>
    <t>Pac/5 Introducer Tray W/ Removable Hemostasis Valve 6FR</t>
  </si>
  <si>
    <t>PRODIGO1073004</t>
  </si>
  <si>
    <t>PAC/5 Introducer Tray w/ Removable Hemostasis Valve 6F</t>
  </si>
  <si>
    <t>PAC/5 Introducer Tray w/ Removable Hemostasis Valve</t>
  </si>
  <si>
    <t>Pac/5 Introducer Tray W/ Removable Hemostasis Valve 6f</t>
  </si>
  <si>
    <t>INTRODUCER, SHEATH, WITH REMOVABLE HEMOSTASIS VALVE, 6 FR, PAC/5, TRAY, STERILE, LATEX</t>
  </si>
  <si>
    <t>INTRODUCER, SHTH, W/ REMOVABLE HEMSTAS VLV, 6 FR, PAC/5, TY, STRL, LTX</t>
  </si>
  <si>
    <t>INTRODUCER, SHTH, W/ REMOVABLE HEMSTAS VLV, 6 FR, TY</t>
  </si>
  <si>
    <t>WITH REMOVABLE HEMOSTASIS VALVE</t>
  </si>
  <si>
    <t>PAC/5, TRAY</t>
  </si>
  <si>
    <t>https://accessgudid.nlm.nih.gov/devices/00886333213153</t>
  </si>
  <si>
    <t>493404</t>
  </si>
  <si>
    <t>ARGON_493404</t>
  </si>
  <si>
    <t>Pac/5 Introducer Tray W/ Removable Hemostasis Valve 8FR</t>
  </si>
  <si>
    <t>PRODIGO1073005</t>
  </si>
  <si>
    <t>PAC/5 Introducer Tray w/ Removable Hemostasis Valve 8F</t>
  </si>
  <si>
    <t>Pac/5 Introducer Tray W/ Removable Hemostasis Valve 8f</t>
  </si>
  <si>
    <t>INTRODUCER, SHEATH, WITH REMOVABLE HEMOSTASIS VALVE, 8 FR, PAC/5, TRAY, STERILE, LATEX</t>
  </si>
  <si>
    <t>INTRODUCER, SHTH, W/ REMOVABLE HEMSTAS VLV, 8 FR, PAC/5, TY, STRL, LTX</t>
  </si>
  <si>
    <t>INTRODUCER, SHTH, W/ REMOVABLE HEMSTAS VLV, 8 FR, TY</t>
  </si>
  <si>
    <t>https://accessgudid.nlm.nih.gov/devices/00886333213160</t>
  </si>
  <si>
    <t>493445</t>
  </si>
  <si>
    <t>ARGON_493445</t>
  </si>
  <si>
    <t xml:space="preserve">Tuohy-Borst Introducer Tray 8.5FR </t>
  </si>
  <si>
    <t>PRODIGO1073007</t>
  </si>
  <si>
    <t>Tuohy-Borst Introducer Tray 8.5F</t>
  </si>
  <si>
    <t>Tuohy-Borst Introducer Tray</t>
  </si>
  <si>
    <t>Tuohy-borst Introducer Tray 8.5f</t>
  </si>
  <si>
    <t>INTRODUCER, SHEATH, 8.5 FR, TUOHY BORST, TRAY, STERILE, LATEX</t>
  </si>
  <si>
    <t>INTRODUCER, SHTH, 8.5 FR, TUOHY BORST, TY, STRL, LTX</t>
  </si>
  <si>
    <t>8.5 FR</t>
  </si>
  <si>
    <t>TUOHY BORST, TRAY</t>
  </si>
  <si>
    <t>https://accessgudid.nlm.nih.gov/devices/00886333213214</t>
  </si>
  <si>
    <t>494432</t>
  </si>
  <si>
    <t>ARGON_494432</t>
  </si>
  <si>
    <t>One-Piece Introducer Tray - 6FR</t>
  </si>
  <si>
    <t>PRODIGO1073008</t>
  </si>
  <si>
    <t>One-Piece Introducer Tray 6F</t>
  </si>
  <si>
    <t>One-Piece Introducer Tray</t>
  </si>
  <si>
    <t>One-piece Introducer Tray 6f</t>
  </si>
  <si>
    <t>INTRODUCER, SHEATH, ONE PIECE STYLE, 6 FR, TRAY, STERILE, LATEX</t>
  </si>
  <si>
    <t>INTRODUCER, SHTH, 1 PC STYL, 6 FR, TY, STRL, LTX</t>
  </si>
  <si>
    <t>ONE PIECE STYLE</t>
  </si>
  <si>
    <t>TRAY</t>
  </si>
  <si>
    <t>https://accessgudid.nlm.nih.gov/devices/00886333213221</t>
  </si>
  <si>
    <t>494435</t>
  </si>
  <si>
    <t>ARGON_494435</t>
  </si>
  <si>
    <t>One-Piece Introducer Tray 8.5Fr</t>
  </si>
  <si>
    <t>PRODIGO1073009</t>
  </si>
  <si>
    <t>One-Piece Introducer Tray 8.5F</t>
  </si>
  <si>
    <t>One-piece Introducer Tray 8.5f</t>
  </si>
  <si>
    <t>INTRODUCER, SHEATH, ONE PIECE STYLE, 8.5 FR, TRAY, STERILE, LATEX</t>
  </si>
  <si>
    <t>INTRODUCER, SHTH, 1 PC STYL, 8.5 FR, TY, STRL, LTX</t>
  </si>
  <si>
    <t>https://accessgudid.nlm.nih.gov/devices/00886333213238</t>
  </si>
  <si>
    <t>494436</t>
  </si>
  <si>
    <t>ARGON_494436</t>
  </si>
  <si>
    <t>One-Piece Introducer Tray - 9FR</t>
  </si>
  <si>
    <t>PRODIGO1073010</t>
  </si>
  <si>
    <t>One-Piece Introducer Tray 9F</t>
  </si>
  <si>
    <t>One-piece Introducer Tray 9f</t>
  </si>
  <si>
    <t>INTRODUCER, SHEATH, ONE PIECE STYLE, 9 FR, TRAY, STERILE, LATEX</t>
  </si>
  <si>
    <t>INTRODUCER, SHTH, 1 PC STYL, 9 FR, TY, STRL, LTX</t>
  </si>
  <si>
    <t>https://accessgudid.nlm.nih.gov/devices/00886333213245</t>
  </si>
  <si>
    <t>496004</t>
  </si>
  <si>
    <t>ARGON_496004</t>
  </si>
  <si>
    <t>Axcess Percutaneous Catheter Introducer Kit 4FR</t>
  </si>
  <si>
    <t>PRODIGO1073012</t>
  </si>
  <si>
    <t>4F Axcess Percutaneous Catheter Introducer Kit</t>
  </si>
  <si>
    <t>Axcess Percutaneous Catheter Introducer Kit</t>
  </si>
  <si>
    <t>Axcess Percutaneous Introducer Kits 4frx11cm .035- .045in</t>
  </si>
  <si>
    <t>INTRODUCER, SHEATH, DOUBLE END WIRE, 0.035-0.045 IN, STANDARD, 4 FRX11 CM, PERCUTANEOUS, CATHETER, KIT, STERILE, AXCESS, LATEX</t>
  </si>
  <si>
    <t>INTRODUCER, SHTH, DBL END WIRE, 0.035-0.045 IN, STD, 4 FRX11 CM, PERC, CATH, KT, STRL, AXCESS, LTX</t>
  </si>
  <si>
    <t>INTRODUCER, SHTH, DBL END WIRE, 0.035-0.045 IN, STD, 4 FRX11 CM</t>
  </si>
  <si>
    <t>DOUBLE END WIRE</t>
  </si>
  <si>
    <t>0.035-0.045 IN, STANDARD</t>
  </si>
  <si>
    <t>4 FRX11 CM</t>
  </si>
  <si>
    <t>CATHETER, KIT</t>
  </si>
  <si>
    <t>https://assets-global.website-files.com/609d867d872392abfec460b4/6144f7a4c075fa2e7a51bfd8_Argon%20Catalog_US-compressed.pdf, https://accessgudid.nlm.nih.gov/devices/00886333213252</t>
  </si>
  <si>
    <t>496005</t>
  </si>
  <si>
    <t>ARGON_496005</t>
  </si>
  <si>
    <t xml:space="preserve">Axcess Percutaneous Catheter Introducer Kit 5FR </t>
  </si>
  <si>
    <t>PRODIGO1073013</t>
  </si>
  <si>
    <t>5F Axcess Percutaneous Catheter Introducer Kit</t>
  </si>
  <si>
    <t>Axcess Percutaneous Introducer Kits 5frx11cm 0.038-0.045in</t>
  </si>
  <si>
    <t>INTRODUCER, SHEATH, DOUBLE END WIRE, 0.038-0.045 IN, STANDARD, 5 FRX11 CM, PERCUTANEOUS, CATHETER, KIT, STERILE, AXCESS, LATEX</t>
  </si>
  <si>
    <t>INTRODUCER, SHTH, DBL END WIRE, 0.038-0.045 IN, STD, 5 FRX11 CM, PERC, CATH, KT, STRL, AXCESS, LTX</t>
  </si>
  <si>
    <t>INTRODUCER, SHTH, DBL END WIRE, 0.038-0.045 IN, STD, 5 FRX11 CM</t>
  </si>
  <si>
    <t>0.038-0.045 IN, STANDARD</t>
  </si>
  <si>
    <t>5 FRX11 CM</t>
  </si>
  <si>
    <t>https://assets-global.website-files.com/609d867d872392abfec460b4/6144f7a4c075fa2e7a51bfd8_Argon%20Catalog_US-compressed.pdf, https://accessgudid.nlm.nih.gov/devices/00886333213269</t>
  </si>
  <si>
    <t>496006</t>
  </si>
  <si>
    <t>ARGON_496006</t>
  </si>
  <si>
    <t>Axcess Percutaneous Catheter Introducer Kit 6FR</t>
  </si>
  <si>
    <t>PRODIGO1073014</t>
  </si>
  <si>
    <t>6F Axcess Percutaneous Catheter Introducer Kit</t>
  </si>
  <si>
    <t>Axcess Percutaneous Introducer Kits 6frx11cm 0.038-0.045in</t>
  </si>
  <si>
    <t>INTRODUCER, SHEATH, DOUBLE END WIRE, 0.038-0.045 IN, STANDARD, 6 FRX11 CM, PERCUTANEOUS, CATHETER, KIT, STERILE, AXCESS, LATEX</t>
  </si>
  <si>
    <t>INTRODUCER, SHTH, DBL END WIRE, 0.038-0.045 IN, STD, 6 FRX11 CM, PERC, CATH, KT, STRL, AXCESS, LTX</t>
  </si>
  <si>
    <t>INTRODUCER, SHTH, DBL END WIRE, 0.038-0.045 IN, STD, 6 FRX11 CM</t>
  </si>
  <si>
    <t>6 FRX11 CM</t>
  </si>
  <si>
    <t>https://assets-global.website-files.com/609d867d872392abfec460b4/6144f7a4c075fa2e7a51bfd8_Argon%20Catalog_US-compressed.pdf, https://accessgudid.nlm.nih.gov/devices/00886333213276</t>
  </si>
  <si>
    <t>496007</t>
  </si>
  <si>
    <t>ARGON_496007</t>
  </si>
  <si>
    <t xml:space="preserve">Axcess Percutaneous Catheter Introducer Kit 7FR </t>
  </si>
  <si>
    <t>PRODIGO1073015</t>
  </si>
  <si>
    <t>7F Axcess Percutaneous Catheter Introducer Kit</t>
  </si>
  <si>
    <t>Axcess Percutaneous Introducer Kits 7frx11cm 0.038-0.045in</t>
  </si>
  <si>
    <t>INTRODUCER, SHEATH, DOUBLE END WIRE, 0.038-0.045 IN, STANDARD, 7 FRX11 CM, PERCUTANEOUS, CATHETER, KIT, STERILE, AXCESS, LATEX</t>
  </si>
  <si>
    <t>INTRODUCER, SHTH, DBL END WIRE, 0.038-0.045 IN, STD, 7 FRX11 CM, PERC, CATH, KT, STRL, AXCESS, LTX</t>
  </si>
  <si>
    <t>INTRODUCER, SHTH, DBL END WIRE, 0.038-0.045 IN, STD, 7 FRX11 CM</t>
  </si>
  <si>
    <t>7 FRX11 CM</t>
  </si>
  <si>
    <t>https://assets-global.website-files.com/609d867d872392abfec460b4/6144f7a4c075fa2e7a51bfd8_Argon%20Catalog_US-compressed.pdf, https://accessgudid.nlm.nih.gov/devices/00886333213283</t>
  </si>
  <si>
    <t>496008</t>
  </si>
  <si>
    <t>ARGON_496008</t>
  </si>
  <si>
    <t xml:space="preserve">Axcess Percutaneous Catheter Introducer Kit 8FR </t>
  </si>
  <si>
    <t>PRODIGO1073016</t>
  </si>
  <si>
    <t>8F Axcess Percutaneous Catheter Introducer Kit</t>
  </si>
  <si>
    <t>Axcess Percutaneous Introducer Kits 8frx11cm 0.038-0.045in</t>
  </si>
  <si>
    <t>INTRODUCER, SHEATH, DOUBLE END WIRE, 0.038-0.045 IN, STANDARD, 8 FRX11 CM, PERCUTANEOUS, CATHETER, KIT, STERILE, AXCESS, LATEX</t>
  </si>
  <si>
    <t>INTRODUCER, SHTH, DBL END WIRE, 0.038-0.045 IN, STD, 8 FRX11 CM, PERC, CATH, KT, STRL, AXCESS, LTX</t>
  </si>
  <si>
    <t>INTRODUCER, SHTH, DBL END WIRE, 0.038-0.045 IN, STD, 8 FRX11 CM</t>
  </si>
  <si>
    <t>8 FRX11 CM</t>
  </si>
  <si>
    <t>https://assets-global.website-files.com/609d867d872392abfec460b4/6144f7a4c075fa2e7a51bfd8_Argon%20Catalog_US-compressed.pdf, https://accessgudid.nlm.nih.gov/devices/00886333213290</t>
  </si>
  <si>
    <t>496009</t>
  </si>
  <si>
    <t>ARGON_496009</t>
  </si>
  <si>
    <t xml:space="preserve">Axcess Percutaneous Catheter Introducer Kit 9FR </t>
  </si>
  <si>
    <t>PRODIGO1073017</t>
  </si>
  <si>
    <t>9F Axcess Percutaneous Catheter Introducer Kit</t>
  </si>
  <si>
    <t>Axcess Percutaneous Introducer Kits 9frx11cm 0.038-0.045in</t>
  </si>
  <si>
    <t>INTRODUCER, SHEATH, DOUBLE END WIRE, 0.038-0.045 IN, STANDARD, 9 FRX11 CM, PERCUTANEOUS, CATHETER, KIT, STERILE, AXCESS, LATEX</t>
  </si>
  <si>
    <t>INTRODUCER, SHTH, DBL END WIRE, 0.038-0.045 IN, STD, 9 FRX11 CM, PERC, CATH, KT, STRL, AXCESS, LTX</t>
  </si>
  <si>
    <t>INTRODUCER, SHTH, DBL END WIRE, 0.038-0.045 IN, STD, 9 FRX11 CM</t>
  </si>
  <si>
    <t>9 FRX11 CM</t>
  </si>
  <si>
    <t>https://assets-global.website-files.com/609d867d872392abfec460b4/6144f7a4c075fa2e7a51bfd8_Argon%20Catalog_US-compressed.pdf, https://accessgudid.nlm.nih.gov/devices/00886333213306</t>
  </si>
  <si>
    <t>496025</t>
  </si>
  <si>
    <t>ARGON_496025</t>
  </si>
  <si>
    <t>PRODIGO1073018</t>
  </si>
  <si>
    <t>5F Axcess Percuatenous Catheter Introducer Kit</t>
  </si>
  <si>
    <t>Axcess Percuatenous Catheter Introducer Kit</t>
  </si>
  <si>
    <t>5f Axcess Percuatenous Catheter Introducer Kit</t>
  </si>
  <si>
    <t>INTRODUCER, SHEATH, DOUBLE END WIRE, 5 FR, PERCUTANEOUS, CATHETER, KIT, STERILE, AXCESS, LATEX</t>
  </si>
  <si>
    <t>INTRODUCER, SHTH, DBL END WIRE, 5 FR, PERC, CATH, KT, STRL, AXCESS, LTX</t>
  </si>
  <si>
    <t>INTRODUCER, SHTH, DBL END WIRE, 5 FR, CATH, AXCESS</t>
  </si>
  <si>
    <t>https://accessgudid.nlm.nih.gov/devices/00886333213313</t>
  </si>
  <si>
    <t>496035</t>
  </si>
  <si>
    <t>ARGON_496035</t>
  </si>
  <si>
    <t>Axcess Percutaneous Catheter Introducer Kit 5FR</t>
  </si>
  <si>
    <t>PRODIGO1073019</t>
  </si>
  <si>
    <t>Axcess Percutaneous Introducer Kits 5frx11cm 0.035-0.038in</t>
  </si>
  <si>
    <t>INTRODUCER, SHEATH, WITHOUT WIRE, 0.035-0.038 IN, STANDARD, 5 FRX11 CM, PERCUTANEOUS, CATHETER, KIT, STERILE, AXCESS, LATEX</t>
  </si>
  <si>
    <t>INTRODUCER, SHTH, W/O WIRE, 0.035-0.038 IN, STD, 5 FRX11 CM, PERC, CATH, KT, STRL, AXCESS, LTX</t>
  </si>
  <si>
    <t>INTRODUCER, SHTH, W/O WIRE, 0.035-0.038IN, STD, 5 FRX11 CM, AXCESS</t>
  </si>
  <si>
    <t>0.035-0.038 IN, STANDARD</t>
  </si>
  <si>
    <t>https://assets-global.website-files.com/609d867d872392abfec460b4/6144f7a4c075fa2e7a51bfd8_Argon%20Catalog_US-compressed.pdf, https://accessgudid.nlm.nih.gov/devices/00886333213375</t>
  </si>
  <si>
    <t>496036</t>
  </si>
  <si>
    <t>ARGON_496036</t>
  </si>
  <si>
    <t>PRODIGO1073020</t>
  </si>
  <si>
    <t>Axcess Percutaneous Introducer Kits 6frx11cm 0.035-0.038in</t>
  </si>
  <si>
    <t>INTRODUCER, SHEATH, WITHOUT WIRE, 0.035-0.038 IN, STANDARD, 6 FRX11 CM, PERCUTANEOUS, CATHETER, KIT, STERILE, AXCESS, LATEX</t>
  </si>
  <si>
    <t>INTRODUCER, SHTH, W/O WIRE, 0.035-0.038 IN, STD, 6 FRX11 CM, PERC, CATH, KT, STRL, AXCESS, LTX</t>
  </si>
  <si>
    <t>INTRODUCER, SHTH, W/O WIRE, 0.035-0.038IN, STD, 6 FRX11 CM, AXCESS</t>
  </si>
  <si>
    <t>https://assets-global.website-files.com/609d867d872392abfec460b4/6144f7a4c075fa2e7a51bfd8_Argon%20Catalog_US-compressed.pdf, https://accessgudid.nlm.nih.gov/devices/00886333213382</t>
  </si>
  <si>
    <t>496038</t>
  </si>
  <si>
    <t>ARGON_496038</t>
  </si>
  <si>
    <t>Axcess Percutaneous Catheter Introducer Kit 8FR</t>
  </si>
  <si>
    <t>PRODIGO1073021</t>
  </si>
  <si>
    <t>Axcess Percutaneous Introducer Kits 8frx11cm 0.035-0.038in</t>
  </si>
  <si>
    <t>INTRODUCER, SHEATH, WITHOUT WIRE, 0.035-0.038 IN, STANDARD, 8 FRX11 CM, PERCUTANEOUS, CATHETER, KIT, STERILE, AXCESS, LATEX</t>
  </si>
  <si>
    <t>INTRODUCER, SHTH, W/O WIRE, 0.035-0.038 IN, STD, 8 FRX11 CM, PERC, CATH, KT, STRL, AXCESS, LTX</t>
  </si>
  <si>
    <t>INTRODUCER, SHTH, W/O WIRE, 0.035-0.038IN, STD, 8 FRX11 CM, AXCESS</t>
  </si>
  <si>
    <t>https://assets-global.website-files.com/609d867d872392abfec460b4/6144f7a4c075fa2e7a51bfd8_Argon%20Catalog_US-compressed.pdf, https://accessgudid.nlm.nih.gov/devices/00886333213405</t>
  </si>
  <si>
    <t>496064</t>
  </si>
  <si>
    <t>ARGON_496064</t>
  </si>
  <si>
    <t xml:space="preserve">Axcess Pediatric Cath Lab Introducer Kit 4FR </t>
  </si>
  <si>
    <t>PRODIGO1073022</t>
  </si>
  <si>
    <t>4F Axcess Pediatric Cath Lab Introducer Kit</t>
  </si>
  <si>
    <t>Axcess Pediatric Cath Lab Introducer Kit</t>
  </si>
  <si>
    <t>Axcess Percutaneous Introducer Kits 4frx5.75cm 0.021in</t>
  </si>
  <si>
    <t>INTRODUCER, SHEATH, WITH WIRE, 0.021 IN, PEDIATRIC, 4 FRX5.75 CM, PERCUTANEOUS, CATHETER LAB, KIT, STERILE, AXCESS, LATEX</t>
  </si>
  <si>
    <t>INTRODUCER, SHTH, W/ WIRE, 0.021 IN, PEDIATRIC, 4 FRX5.75 CM, PERC, CATH LAB, KT, STRL, AXCESS, LTX</t>
  </si>
  <si>
    <t>INTRODUCER, SHTH, W/ WIRE, 0.021, PEDIATRIC, 4 FRX5.75 CM, AXCESS</t>
  </si>
  <si>
    <t>WITH WIRE</t>
  </si>
  <si>
    <t>0.021 IN</t>
  </si>
  <si>
    <t>4 FRX5.75 CM</t>
  </si>
  <si>
    <t>CATHETER LAB, KIT</t>
  </si>
  <si>
    <t>https://assets-global.website-files.com/609d867d872392abfec460b4/6144f7a4c075fa2e7a51bfd8_Argon%20Catalog_US-compressed.pdf, https://accessgudid.nlm.nih.gov/devices/00886333213436</t>
  </si>
  <si>
    <t>496065</t>
  </si>
  <si>
    <t>ARGON_496065</t>
  </si>
  <si>
    <t xml:space="preserve">Axcess Pediatric Cath Lab Introducer Kit 5FR </t>
  </si>
  <si>
    <t>PRODIGO1073023</t>
  </si>
  <si>
    <t>5F Axcess Pediatric Cath Lab Introducer Kit</t>
  </si>
  <si>
    <t>Axcess Percutaneous Introducer Kits 5frx5.75cm 0.025in</t>
  </si>
  <si>
    <t>INTRODUCER, SHEATH, WITH WIRE, 0.025 IN, PEDIATRIC, 5 FRX5.75 CM, PERCUTANEOUS, CATHETER LAB, KIT, STERILE, AXCESS, LATEX</t>
  </si>
  <si>
    <t>INTRODUCER, SHTH, W/ WIRE, 0.025 IN, PEDIATRIC, 5 FRX5.75 CM, PERC, CATH LAB, KT, STRL, AXCESS, LTX</t>
  </si>
  <si>
    <t>INTRODUCER, SHTH, W/ WIRE, 0.025, PEDIATRIC, 5 FRX5.75 CM, AXCESS</t>
  </si>
  <si>
    <t>0.025 IN</t>
  </si>
  <si>
    <t>5 FRX5.75 CM</t>
  </si>
  <si>
    <t>https://assets-global.website-files.com/609d867d872392abfec460b4/6144f7a4c075fa2e7a51bfd8_Argon%20Catalog_US-compressed.pdf, https://accessgudid.nlm.nih.gov/devices/00886333213443</t>
  </si>
  <si>
    <t>496066</t>
  </si>
  <si>
    <t>ARGON_496066</t>
  </si>
  <si>
    <t xml:space="preserve">Axcess Pediatric Cath Lab Introducer Kit 6FR </t>
  </si>
  <si>
    <t>PRODIGO1073024</t>
  </si>
  <si>
    <t>6F Axcess Pediatric Cath Lab Introducer Kit</t>
  </si>
  <si>
    <t>Axcess Percutaneous Introducer Kits 6frx5.75cm 0.032in</t>
  </si>
  <si>
    <t>INTRODUCER, SHEATH, WITH WIRE, 0.032 IN, PEDIATRIC, 6 FRX5.75 CM, PERCUTANEOUS, CATHETER LAB, KIT, STERILE, AXCESS, LATEX</t>
  </si>
  <si>
    <t>INTRODUCER, SHTH, W/ WIRE, 0.032 IN, PEDIATRIC, 6 FRX5.75 CM, PERC, CATH LAB, KT, STRL, AXCESS, LTX</t>
  </si>
  <si>
    <t>INTRODUCER, SHTH, W/ WIRE, 0.032, PEDIATRIC, 6 FRX5.75 CM, AXCESS</t>
  </si>
  <si>
    <t>0.032 IN</t>
  </si>
  <si>
    <t>6 FRX5.75 CM</t>
  </si>
  <si>
    <t>https://assets-global.website-files.com/609d867d872392abfec460b4/6144f7a4c075fa2e7a51bfd8_Argon%20Catalog_US-compressed.pdf, https://accessgudid.nlm.nih.gov/devices/00886333213450</t>
  </si>
  <si>
    <t>496067</t>
  </si>
  <si>
    <t>ARGON_496067</t>
  </si>
  <si>
    <t xml:space="preserve">Axcess Pediatric Cath Lab Introducer Kit 7FR </t>
  </si>
  <si>
    <t>PRODIGO1073025</t>
  </si>
  <si>
    <t>7F Axcess Pediatric Cath Lab Introducer Kit</t>
  </si>
  <si>
    <t>Axcess Percutaneous Introducer Kits 7frx5.75cm 0.032in</t>
  </si>
  <si>
    <t>INTRODUCER, SHEATH, WITH WIRE, 0.032 IN, PEDIATRIC, 7 FRX5.75 CM, PERCUTANEOUS, CATHETER LAB, KIT, STERILE, AXCESS, LATEX</t>
  </si>
  <si>
    <t>INTRODUCER, SHTH, W/ WIRE, 0.032 IN, PEDIATRIC, 7 FRX5.75 CM, PERC, CATH LAB, KT, STRL, AXCESS, LTX</t>
  </si>
  <si>
    <t>INTRODUCER, SHTH, W/ WIRE, 0.032, PEDIATRIC, 7 FRX5.75 CM, AXCESS</t>
  </si>
  <si>
    <t>7 FRX5.75 CM</t>
  </si>
  <si>
    <t>https://assets-global.website-files.com/609d867d872392abfec460b4/6144f7a4c075fa2e7a51bfd8_Argon%20Catalog_US-compressed.pdf, https://accessgudid.nlm.nih.gov/devices/00886333213467</t>
  </si>
  <si>
    <t>496122</t>
  </si>
  <si>
    <t>ARGON_496122</t>
  </si>
  <si>
    <t>Percutaneous Catheter Introducer Kit/2 - 6FR</t>
  </si>
  <si>
    <t>PRODIGO1073026</t>
  </si>
  <si>
    <t>6F PCI Kit/2</t>
  </si>
  <si>
    <t>PCI Kit/2</t>
  </si>
  <si>
    <t>6f Pci Kit/2</t>
  </si>
  <si>
    <t>INTRODUCER, SHEATH, DETACHABLE HEMOSTASIS VALVE, 0.038 IN, 6 FRX11 CM, PERCUTANEOUS, CATHETER, KIT, STERILE, LATEX</t>
  </si>
  <si>
    <t>INTRODUCER, SHTH, DETACHABLE HEMSTAS VLV, 0.038 IN, 6 FRX11 CM, PERC, CATH, KT, STRL, LTX</t>
  </si>
  <si>
    <t>INTRODUCER, SHTH, DETACHABLE HEMSTAS VLV, 0.038 IN, 6 FRX11 CM</t>
  </si>
  <si>
    <t>DETACHABLE HEMOSTASIS VALVE</t>
  </si>
  <si>
    <t>/2</t>
  </si>
  <si>
    <t>https://accessgudid.nlm.nih.gov/devices/00886333213511</t>
  </si>
  <si>
    <t>496123</t>
  </si>
  <si>
    <t>ARGON_496123</t>
  </si>
  <si>
    <t>Percutaneous Catheter Introducer Kit/2 - 7FR</t>
  </si>
  <si>
    <t>PRODIGO1073027</t>
  </si>
  <si>
    <t>7F PCI Kit/2</t>
  </si>
  <si>
    <t>7f Pci Kit/2</t>
  </si>
  <si>
    <t>INTRODUCER, SHEATH, DETACHABLE HEMOSTASIS VALVE, 0.038 IN, 7 FRX11 CM, PERCUTANEOUS, CATHETER, KIT, STERILE, LATEX</t>
  </si>
  <si>
    <t>INTRODUCER, SHTH, DETACHABLE HEMSTAS VLV, 0.038 IN, 7 FRX11 CM, PERC, CATH, KT, STRL, LTX</t>
  </si>
  <si>
    <t>INTRODUCER, SHTH, DETACHABLE HEMSTAS VLV, 0.038 IN, 7 FRX11 CM</t>
  </si>
  <si>
    <t>https://accessgudid.nlm.nih.gov/devices/00886333213528</t>
  </si>
  <si>
    <t>496124</t>
  </si>
  <si>
    <t>ARGON_496124</t>
  </si>
  <si>
    <t>Percutaneous Catheter Introducer Kit/2 - 8FR</t>
  </si>
  <si>
    <t>PRODIGO1073028</t>
  </si>
  <si>
    <t>8F PCI Kit/2</t>
  </si>
  <si>
    <t>Introducer Detachable Hemostasis Valve 0.038 In 8 Frx11 Cm Percutaneous Catheter, Kit</t>
  </si>
  <si>
    <t>INTRODUCER, SHEATH, DETACHABLE HEMOSTASIS VALVE, 0.038 IN, 8 FRX11 CM, PERCUTANEOUS, CATHETER, KIT, STERILE, LATEX</t>
  </si>
  <si>
    <t>INTRODUCER, SHTH, DETACHABLE HEMSTAS VLV, 0.038 IN, 8 FRX11 CM, PERC, CATH, KT, STRL, LTX</t>
  </si>
  <si>
    <t>INTRODUCER, SHTH, DETACHABLE HEMSTAS VLV, 0.038 IN, 8 FRX11 CM</t>
  </si>
  <si>
    <t>https://assets-global.website-files.com/609d867d872392abfec460b4/6144f7a4c075fa2e7a51bfd8_Argon%20Catalog_US-compressed.pdf, https://accessgudid.nlm.nih.gov/devices/00886333213535</t>
  </si>
  <si>
    <t>496125</t>
  </si>
  <si>
    <t>ARGON_496125</t>
  </si>
  <si>
    <t>Percutaneous Catheter Introducer Kit/2 - 9FR</t>
  </si>
  <si>
    <t>PRODIGO1073029</t>
  </si>
  <si>
    <t>9F PCI Kit/2</t>
  </si>
  <si>
    <t>Introducer Detachable Hemostasis Valve 0.038 In 9 Frx11 Cm Percutaneous Catheter, Kit</t>
  </si>
  <si>
    <t>INTRODUCER, SHEATH, DETACHABLE HEMOSTASIS VALVE, 0.038 IN, 9 FRX11 CM, PERCUTANEOUS, CATHETER, KIT, STERILE, LATEX</t>
  </si>
  <si>
    <t>INTRODUCER, SHTH, DETACHABLE HEMSTAS VLV, 0.038 IN, 9 FRX11 CM, PERC, CATH, KT, STRL, LTX</t>
  </si>
  <si>
    <t>INTRODUCER, SHTH, DETACHABLE HEMSTAS VLV, 0.038 IN, 9 FRX11 CM</t>
  </si>
  <si>
    <t>https://assets-global.website-files.com/609d867d872392abfec460b4/6144f7a4c075fa2e7a51bfd8_Argon%20Catalog_US-compressed.pdf, https://accessgudid.nlm.nih.gov/devices/00886333213542</t>
  </si>
  <si>
    <t>496126</t>
  </si>
  <si>
    <t>ARGON_496126</t>
  </si>
  <si>
    <t>Percutaneous Catheter Introducer Kit/2 Pediatric - 4FR</t>
  </si>
  <si>
    <t>PRODIGO1073030</t>
  </si>
  <si>
    <t>4F PCI Kit/2 Pediatric</t>
  </si>
  <si>
    <t>Introducer Detachable Hemostasis Valve 0.021 In Pediatric 4 Frx5.75 Cm Percutaneous Catheter, Kit</t>
  </si>
  <si>
    <t>INTRODUCER, SHEATH, DETACHABLE HEMOSTASIS VALVE, 0.021 IN, PEDIATRIC, 4 FRX5.75 CM, PERCUTANEOUS, CATHETER, KIT, STERILE, LATEX</t>
  </si>
  <si>
    <t>INTRODUCER, SHTH, DETACHABLE HEMSTAS VLV, 0.021 IN, PEDIATRIC, 4 FRX5.75 CM, PERC, CATH, KT, STRL, LTX</t>
  </si>
  <si>
    <t>INTRODUCER, SHTH, DETACHABLE HEMSTAS VLV, 0.021 IN, 4 FRX5.75 CM</t>
  </si>
  <si>
    <t>https://assets-global.website-files.com/609d867d872392abfec460b4/6144f7a4c075fa2e7a51bfd8_Argon%20Catalog_US-compressed.pdf, https://accessgudid.nlm.nih.gov/devices/00886333213559</t>
  </si>
  <si>
    <t>496127</t>
  </si>
  <si>
    <t>ARGON_496127</t>
  </si>
  <si>
    <t>Percutaneous Catheter Introducer Kit/2 Pediatric - 5FR</t>
  </si>
  <si>
    <t>PRODIGO1073031</t>
  </si>
  <si>
    <t>5F PCI Kit/2 Pediatric</t>
  </si>
  <si>
    <t>PCI Kit/2 Pediatric</t>
  </si>
  <si>
    <t>Introducer Detachable Hemostasis Valve 0.028 In Pediatric 5 Frx5.75 Cm Percutaneous Catheter, Kit</t>
  </si>
  <si>
    <t>INTRODUCER, SHEATH, DETACHABLE HEMOSTASIS VALVE, 0.028 IN, PEDIATRIC, 5 FRX5.75 CM, PERCUTANEOUS, CATHETER, KIT, STERILE, LATEX</t>
  </si>
  <si>
    <t>INTRODUCER, SHTH, DETACHABLE HEMSTAS VLV, 0.028 IN, PEDIATRIC, 5 FRX5.75 CM, PERC, CATH, KT, STRL, LTX</t>
  </si>
  <si>
    <t>INTRODUCER, SHTH, DETACHABLE HEMSTAS VLV, 0.028 IN, 5 FRX5.75 CM</t>
  </si>
  <si>
    <t>0.028 IN</t>
  </si>
  <si>
    <t>https://assets-global.website-files.com/609d867d872392abfec460b4/6144f7a4c075fa2e7a51bfd8_Argon%20Catalog_US-compressed.pdf, https://accessgudid.nlm.nih.gov/devices/00886333213566</t>
  </si>
  <si>
    <t>496128</t>
  </si>
  <si>
    <t>ARGON_496128</t>
  </si>
  <si>
    <t>Percutaneous Catheter Introducer Kit/2 Pediatric - 6FR</t>
  </si>
  <si>
    <t>PRODIGO1073032</t>
  </si>
  <si>
    <t>6F PCI Kit/2 Pediatric</t>
  </si>
  <si>
    <t>Introducer Detachable Hemostasis Valve 0.038 In Pediatric 6 Frx5.75 Cm Percutaneous Catheter, Kit</t>
  </si>
  <si>
    <t>INTRODUCER, SHEATH, DETACHABLE HEMOSTASIS VALVE, 0.038 IN, PEDIATRIC, 6 FRX5.75 CM, PERCUTANEOUS, CATHETER, KIT, STERILE, LATEX</t>
  </si>
  <si>
    <t>INTRODUCER, SHTH, DETACHABLE HEMSTAS VLV, 0.038 IN, PEDIATRIC, 6 FRX5.75 CM, PERC, CATH, KT, STRL, LTX</t>
  </si>
  <si>
    <t>INTRODUCER, SHTH, DETACHABLE HEMSTAS VLV, 0.038 IN, 6 FRX5.75 CM</t>
  </si>
  <si>
    <t>https://assets-global.website-files.com/609d867d872392abfec460b4/6144f7a4c075fa2e7a51bfd8_Argon%20Catalog_US-compressed.pdf, https://accessgudid.nlm.nih.gov/devices/00886333213573</t>
  </si>
  <si>
    <t>496129</t>
  </si>
  <si>
    <t>ARGON_496129</t>
  </si>
  <si>
    <t>Percutaneous Catheter Introducer Kit/2 Pediatric - 7FR</t>
  </si>
  <si>
    <t>PRODIGO1073033</t>
  </si>
  <si>
    <t>7F PCI Kit/2 Pediatric</t>
  </si>
  <si>
    <t>7f Pci Kit/2 Pediatric</t>
  </si>
  <si>
    <t>INTRODUCER, SHEATH, DETACHABLE HEMOSTASIS VALVE, 0.038 IN, PEDIATRIC, 7 FRX5.75 CM, PERCUTANEOUS, CATHETER, KIT, STERILE, LATEX</t>
  </si>
  <si>
    <t>INTRODUCER, SHTH, DETACHABLE HEMSTAS VLV, 0.038 IN, PEDIATRIC, 7 FRX5.75 CM, PERC, CATH, KT, STRL, LTX</t>
  </si>
  <si>
    <t>INTRODUCER, SHTH, DETACHABLE HEMSTAS VLV, 0.038 IN, 7 FRX5.75 CM</t>
  </si>
  <si>
    <t>https://accessgudid.nlm.nih.gov/devices/00886333213580</t>
  </si>
  <si>
    <t>496133</t>
  </si>
  <si>
    <t>ARGON_496133</t>
  </si>
  <si>
    <t xml:space="preserve">Tuohy-Borst / One-Piece Catheter Introducer 7FR </t>
  </si>
  <si>
    <t>PRODIGO1073034</t>
  </si>
  <si>
    <t>7F One-Piece/Tuohy Borst Catheter Introducer</t>
  </si>
  <si>
    <t>One-Piece/Tuohy Borst Catheter Introducer</t>
  </si>
  <si>
    <t>Introducer Integral Hemostasis Valve 0.035 In 7 Frx11 Cm Tuohy Borst, One Piece Catheter</t>
  </si>
  <si>
    <t>INTRODUCER, SHEATH, INTEGRAL HEMOSTASIS VALVE, 0.035 IN, 7 FRX11 CM, TUOHY BORST, ONE PIECE STYLE, CATHETER, STERILE, LATEX</t>
  </si>
  <si>
    <t>INTRODUCER, SHTH, INTEGR HEMSTAS VLV, 0.035 IN, 7 FRX11 CM, TUOHY BORST, 1 PC STYL, CATH, STRL, LTX</t>
  </si>
  <si>
    <t>INTRODUCER, SHTH, INTEGR HEMSTAS VLV, 0.035 IN, 7 FRX11 CM</t>
  </si>
  <si>
    <t>INTEGRAL HEMOSTASIS VALVE</t>
  </si>
  <si>
    <t>0.035 IN</t>
  </si>
  <si>
    <t>TUOHY BORST, ONE PIECE STYLE, CATHETER</t>
  </si>
  <si>
    <t>https://assets-global.website-files.com/609d867d872392abfec460b4/6144f7a4c075fa2e7a51bfd8_Argon%20Catalog_US-compressed.pdf, https://accessgudid.nlm.nih.gov/devices/00886333213603</t>
  </si>
  <si>
    <t>496134</t>
  </si>
  <si>
    <t>ARGON_496134</t>
  </si>
  <si>
    <t xml:space="preserve">Tuohy-Borst / One-Piece Catheter Introducer 8FR </t>
  </si>
  <si>
    <t>PRODIGO1073035</t>
  </si>
  <si>
    <t>8F One Piece/Tuohy-Borst Catheter Introducer</t>
  </si>
  <si>
    <t>One Piece/Tuohy-Borst Catheter Introducer</t>
  </si>
  <si>
    <t>Introducer Integral Hemostasis Valve 0.035 In 8 Frx11 Cm Tuohy Borst, One Piece Catheter</t>
  </si>
  <si>
    <t>INTRODUCER, SHEATH, INTEGRAL HEMOSTASIS VALVE, 0.035 IN, 8 FRX11 CM, TUOHY BORST, ONE PIECE STYLE, CATHETER, STERILE, LATEX</t>
  </si>
  <si>
    <t>INTRODUCER, SHTH, INTEGR HEMSTAS VLV, 0.035 IN, 8 FRX11 CM, TUOHY BORST, 1 PC STYL, CATH, STRL, LTX</t>
  </si>
  <si>
    <t>INTRODUCER, SHTH, INTEGR HEMSTAS VLV, 0.035 IN, 8 FRX11 CM</t>
  </si>
  <si>
    <t>https://assets-global.website-files.com/609d867d872392abfec460b4/6144f7a4c075fa2e7a51bfd8_Argon%20Catalog_US-compressed.pdf, https://accessgudid.nlm.nih.gov/devices/00886333213610</t>
  </si>
  <si>
    <t>496135</t>
  </si>
  <si>
    <t>ARGON_496135</t>
  </si>
  <si>
    <t xml:space="preserve">Tuohy-Borst / One-Piece Catheter Introducer 8.5FR </t>
  </si>
  <si>
    <t>PRODIGO1073036</t>
  </si>
  <si>
    <t>8.5F One Piece/Tuohy-Borst Catheter Introducer</t>
  </si>
  <si>
    <t>Introducer Integral Hemostasis Valve 0.035 In 8.5 Frx11 Cm Tuohy Borst, One Piece Catheter</t>
  </si>
  <si>
    <t>INTRODUCER, SHEATH, INTEGRAL HEMOSTASIS VALVE, 0.035 IN, 8.5 FRX11 CM, TUOHY BORST, ONE PIECE STYLE, CATHETER, STERILE, LATEX</t>
  </si>
  <si>
    <t>INTRODUCER, SHTH, INTEGR HEMSTAS VLV, 0.035 IN, 8.5 FRX11 CM, TUOHY BORST, 1 PC STYL, CATH, STRL, LTX</t>
  </si>
  <si>
    <t>INTRODUCER, SHTH, INTEGR HEMSTAS VLV, 0.035 IN, 8.5 FRX11 CM</t>
  </si>
  <si>
    <t>8.5 FRX11 CM</t>
  </si>
  <si>
    <t>https://assets-global.website-files.com/609d867d872392abfec460b4/6144f7a4c075fa2e7a51bfd8_Argon%20Catalog_US-compressed.pdf, https://accessgudid.nlm.nih.gov/devices/00886333213627</t>
  </si>
  <si>
    <t>496136</t>
  </si>
  <si>
    <t>ARGON_496136</t>
  </si>
  <si>
    <t xml:space="preserve">Tuohy-Borst / One-Piece Catheter Introducer 9FR </t>
  </si>
  <si>
    <t>PRODIGO1073037</t>
  </si>
  <si>
    <t>9F One Piece/Tuohy-Borst Catheter Introducer</t>
  </si>
  <si>
    <t>Introducer Integral Hemostasis Valve 0.035 In 9 Frx11 Cm Tuohy Borst, One Piece Catheter</t>
  </si>
  <si>
    <t>INTRODUCER, SHEATH, INTEGRAL HEMOSTASIS VALVE, 0.035 IN, 9 FRX11 CM, TUOHY BORST, ONE PIECE STYLE, CATHETER, STERILE, LATEX</t>
  </si>
  <si>
    <t>INTRODUCER, SHTH, INTEGR HEMSTAS VLV, 0.035 IN, 9 FRX11 CM, TUOHY BORST, 1 PC STYL, CATH, STRL, LTX</t>
  </si>
  <si>
    <t>INTRODUCER, SHTH, INTEGR HEMSTAS VLV, 0.035 IN, 9 FRX11 CM</t>
  </si>
  <si>
    <t>https://assets-global.website-files.com/609d867d872392abfec460b4/6144f7a4c075fa2e7a51bfd8_Argon%20Catalog_US-compressed.pdf, https://accessgudid.nlm.nih.gov/devices/00886333213634</t>
  </si>
  <si>
    <t>496141</t>
  </si>
  <si>
    <t>ARGON_496141</t>
  </si>
  <si>
    <t xml:space="preserve">Percutaneous Catheter Introducer Kit 3 - 5FR </t>
  </si>
  <si>
    <t>PRODIGO1073039</t>
  </si>
  <si>
    <t>5F PCI Kit/3</t>
  </si>
  <si>
    <t>PCI Kit/3</t>
  </si>
  <si>
    <t>Introducer Without Hemostasis Valve 0.035 In 5 Frx11 Cm Percutaneous Catheter, Kit</t>
  </si>
  <si>
    <t>INTRODUCER, SHEATH, WITHOUT HEMOSTASIS VALVE, 0.035 IN, 5 FRX11 CM, PERCUTANEOUS, CATHETER, KIT, STERILE, LATEX</t>
  </si>
  <si>
    <t>INTRODUCER, SHTH, W/O HEMSTAS VLV, 0.035 IN, 5 FRX11 CM, PERC, CATH, KT, STRL, LTX</t>
  </si>
  <si>
    <t>INTRODUCER, SHTH, W/O HEMSTAS VLV, 0.035 IN, 5 FRX11 CM</t>
  </si>
  <si>
    <t>WITHOUT HEMOSTASIS VALVE</t>
  </si>
  <si>
    <t>https://assets-global.website-files.com/609d867d872392abfec460b4/6144f7a4c075fa2e7a51bfd8_Argon%20Catalog_US-compressed.pdf, https://accessgudid.nlm.nih.gov/devices/00886333213665</t>
  </si>
  <si>
    <t>496142</t>
  </si>
  <si>
    <t>ARGON_496142</t>
  </si>
  <si>
    <t xml:space="preserve">Percutaneous Catheter Introducer Kit 3 - 6FR </t>
  </si>
  <si>
    <t>PRODIGO1073040</t>
  </si>
  <si>
    <t>6F PCI Kit/3</t>
  </si>
  <si>
    <t>Introducer Without Hemostasis Valve 0.035 In 6 Frx11 Cm Percutaneous Catheter, Kit</t>
  </si>
  <si>
    <t>INTRODUCER, SHEATH, WITHOUT HEMOSTASIS VALVE, 0.035 IN, 6 FRX11 CM, PERCUTANEOUS, CATHETER, KIT, STERILE, LATEX</t>
  </si>
  <si>
    <t>INTRODUCER, SHTH, W/O HEMSTAS VLV, 0.035 IN, 6 FRX11 CM, PERC, CATH, KT, STRL, LTX</t>
  </si>
  <si>
    <t>INTRODUCER, SHTH, W/O HEMSTAS VLV, 0.035 IN, 6 FRX11 CM</t>
  </si>
  <si>
    <t>https://assets-global.website-files.com/609d867d872392abfec460b4/6144f7a4c075fa2e7a51bfd8_Argon%20Catalog_US-compressed.pdf, https://accessgudid.nlm.nih.gov/devices/00886333213672</t>
  </si>
  <si>
    <t>496150</t>
  </si>
  <si>
    <t>ARGON_496150</t>
  </si>
  <si>
    <t xml:space="preserve">One-Piece Introducer Kit - 4FR </t>
  </si>
  <si>
    <t>PRODIGO1073041</t>
  </si>
  <si>
    <t>4F One-Piece Catheter Introducer</t>
  </si>
  <si>
    <t>One-Piece Catheter Introducer</t>
  </si>
  <si>
    <t>Introducer Integral Hemostasis Valve 0.025 In 4 Frx11 Cm Percutaneous One Pirce, Catheter, Kit</t>
  </si>
  <si>
    <t>INTRODUCER, SHEATH, INTEGRAL HEMOSTASIS VALVE, 0.025 IN, 4 FRX11 CM, PERCUTANEOUS, ONE PIECE STYLE, CATHETER, KIT, STERILE, LATEX</t>
  </si>
  <si>
    <t>INTRODUCER, SHTH, INTEGR HEMSTAS VLV, 0.025 IN, 4 FRX11 CM, PERC, 1 PC STYL, CATH, KT, STRL, LTX</t>
  </si>
  <si>
    <t>INTRODUCER, SHTH, INTEGR HEMSTAS VLV, 0.025 IN, 4 FRX11 CM, 1 PC</t>
  </si>
  <si>
    <t>ONE PIECE STYLE, CATHETER, KIT</t>
  </si>
  <si>
    <t>https://assets-global.website-files.com/609d867d872392abfec460b4/6144f7a4c075fa2e7a51bfd8_Argon%20Catalog_US-compressed.pdf, https://accessgudid.nlm.nih.gov/devices/00886333213696</t>
  </si>
  <si>
    <t>496151</t>
  </si>
  <si>
    <t>ARGON_496151</t>
  </si>
  <si>
    <t xml:space="preserve">One-Piece Introducer Kit - 5FR </t>
  </si>
  <si>
    <t>PRODIGO1073042</t>
  </si>
  <si>
    <t>5F One Piece Introducer Kit</t>
  </si>
  <si>
    <t>One Piece Introducer Kit</t>
  </si>
  <si>
    <t>Introducer Integral Hemostasis Valve 0.035 In 5 Frx11 Cm Percutaneous One Pirce, Catheter, Kit</t>
  </si>
  <si>
    <t>INTRODUCER, SHEATH, INTEGRAL HEMOSTASIS VALVE, 0.035 IN, 5 FRX11 CM, PERCUTANEOUS, ONE PIECE STYLE, CATHETER, KIT, STERILE, LATEX</t>
  </si>
  <si>
    <t>INTRODUCER, SHTH, INTEGR HEMSTAS VLV, 0.035 IN, 5 FRX11 CM, PERC, 1 PC STYL, CATH, KT, STRL, LTX</t>
  </si>
  <si>
    <t>INTRODUCER, SHTH, INTEGR HEMSTAS VLV, 0.035 IN, 5 FRX11 CM, 1 PC</t>
  </si>
  <si>
    <t>https://assets-global.website-files.com/609d867d872392abfec460b4/6144f7a4c075fa2e7a51bfd8_Argon%20Catalog_US-compressed.pdf, https://accessgudid.nlm.nih.gov/devices/00886333213702</t>
  </si>
  <si>
    <t>496152</t>
  </si>
  <si>
    <t>ARGON_496152</t>
  </si>
  <si>
    <t xml:space="preserve">One-Piece Introducer Kit - 6FR </t>
  </si>
  <si>
    <t>PRODIGO1073043</t>
  </si>
  <si>
    <t>6F One Piece Introducer Kit</t>
  </si>
  <si>
    <t>Introducer Integral Hemostasis Valve 0.035 In 6 Frx11 Cm Percutaneous One Pirce, Catheter, Kit</t>
  </si>
  <si>
    <t>INTRODUCER, SHEATH, INTEGRAL HEMOSTASIS VALVE, 0.035 IN, 6 FRX11 CM, PERCUTANEOUS, ONE PIECE STYLE, CATHETER, KIT, STERILE, LATEX</t>
  </si>
  <si>
    <t>INTRODUCER, SHTH, INTEGR HEMSTAS VLV, 0.035 IN, 6 FRX11 CM, PERC, 1 PC STYL, CATH, KT, STRL, LTX</t>
  </si>
  <si>
    <t>INTRODUCER, SHTH, INTEGR HEMSTAS VLV, 0.035 IN, 6 FRX11 CM, 1 PC</t>
  </si>
  <si>
    <t>https://assets-global.website-files.com/609d867d872392abfec460b4/6144f7a4c075fa2e7a51bfd8_Argon%20Catalog_US-compressed.pdf, https://accessgudid.nlm.nih.gov/devices/00886333213719</t>
  </si>
  <si>
    <t>496153</t>
  </si>
  <si>
    <t>ARGON_496153</t>
  </si>
  <si>
    <t xml:space="preserve">One-Piece Introducer Kit - 7FR </t>
  </si>
  <si>
    <t>PRODIGO1073044</t>
  </si>
  <si>
    <t>7F One Piece Introducer Kit</t>
  </si>
  <si>
    <t>Introducer Integral Hemostasis Valve 0.035 In 7 Frx11 Cm Percutaneous One Pirce, Catheter, Kit</t>
  </si>
  <si>
    <t>INTRODUCER, SHEATH, INTEGRAL HEMOSTASIS VALVE, 0.035 IN, 7 FRX11 CM, PERCUTANEOUS, ONE PIECE STYLE, CATHETER, KIT, STERILE, LATEX</t>
  </si>
  <si>
    <t>INTRODUCER, SHTH, INTEGR HEMSTAS VLV, 0.035 IN, 7 FRX11 CM, PERC, 1 PC STYL, CATH, KT, STRL, LTX</t>
  </si>
  <si>
    <t>INTRODUCER, SHTH, INTEGR HEMSTAS VLV, 0.035 IN, 7 FRX11 CM, 1 PC</t>
  </si>
  <si>
    <t>https://assets-global.website-files.com/609d867d872392abfec460b4/6144f7a4c075fa2e7a51bfd8_Argon%20Catalog_US-compressed.pdf, https://accessgudid.nlm.nih.gov/devices/00886333213726</t>
  </si>
  <si>
    <t>496154</t>
  </si>
  <si>
    <t>ARGON_496154</t>
  </si>
  <si>
    <t xml:space="preserve">One-Piece Introducer Kit - 8FR </t>
  </si>
  <si>
    <t>PRODIGO1073045</t>
  </si>
  <si>
    <t>8F One Piece Introducer Kit</t>
  </si>
  <si>
    <t>Introducer Integral Hemostasis Valve 0.035 In 8 Frx11 Cm Percutaneous One Pirce, Catheter, Kit</t>
  </si>
  <si>
    <t>INTRODUCER, SHEATH, INTEGRAL HEMOSTASIS VALVE, 0.035 IN, 8 FRX11 CM, PERCUTANEOUS, ONE PIECE STYLE, CATHETER, KIT, STERILE, LATEX</t>
  </si>
  <si>
    <t>INTRODUCER, SHTH, INTEGR HEMSTAS VLV, 0.035 IN, 8 FRX11 CM, PERC, 1 PC STYL, CATH, KT, STRL, LTX</t>
  </si>
  <si>
    <t>INTRODUCER, SHTH, INTEGR HEMSTAS VLV, 0.035 IN, 8 FRX11 CM, 1 PC</t>
  </si>
  <si>
    <t>https://assets-global.website-files.com/609d867d872392abfec460b4/6144f7a4c075fa2e7a51bfd8_Argon%20Catalog_US-compressed.pdf, https://accessgudid.nlm.nih.gov/devices/00886333213733</t>
  </si>
  <si>
    <t>496155</t>
  </si>
  <si>
    <t>ARGON_496155</t>
  </si>
  <si>
    <t xml:space="preserve">One-Piece Introducer Kit - 8.5FR </t>
  </si>
  <si>
    <t>PRODIGO1073046</t>
  </si>
  <si>
    <t>8.5F One Piece Introducer Kit</t>
  </si>
  <si>
    <t>Introducer Integral Hemostasis Valve 0.035 In 8.5 Frx11 Cm Percutaneous One Pirce, Catheter, Kit</t>
  </si>
  <si>
    <t>INTRODUCER, SHEATH, INTEGRAL HEMOSTASIS VALVE, 0.035 IN, 8.5 FRX11 CM, PERCUTANEOUS, ONE PIECE STYLE, CATHETER, KIT, STERILE, LATEX</t>
  </si>
  <si>
    <t>INTRODUCER, SHTH, INTEGR HEMSTAS VLV, 0.035 IN, 8.5 FRX11 CM, PERC, 1 PC STYL, CATH, KT, STRL, LTX</t>
  </si>
  <si>
    <t>INTRODUCER, SHTH, INTEGR HEMSTAS VLV, 0.035IN, 8.5 FRX11 CM, 1 PC</t>
  </si>
  <si>
    <t>https://assets-global.website-files.com/609d867d872392abfec460b4/6144f7a4c075fa2e7a51bfd8_Argon%20Catalog_US-compressed.pdf, https://accessgudid.nlm.nih.gov/devices/00886333213740</t>
  </si>
  <si>
    <t>496156</t>
  </si>
  <si>
    <t>ARGON_496156</t>
  </si>
  <si>
    <t>Percutaneous Catheter Introducer Kit/5 - 9FR One Piece</t>
  </si>
  <si>
    <t>PRODIGO1073047</t>
  </si>
  <si>
    <t>9F One Piece Catheter Introducer</t>
  </si>
  <si>
    <t>One Piece Catheter Introducer</t>
  </si>
  <si>
    <t>Introducer Integral Hemostasis Valve 0.035 In 9 Frx11 Cm Percutaneous One Pirce, Catheter, Kit</t>
  </si>
  <si>
    <t>INTRODUCER, SHEATH, INTEGRAL HEMOSTASIS VALVE, 0.035 IN, 9 FRX11 CM, PERCUTANEOUS, ONE PIECE STYLE, CATHETER, KIT, STERILE, LATEX</t>
  </si>
  <si>
    <t>INTRODUCER, SHTH, INTEGR HEMSTAS VLV, 0.035 IN, 9 FRX11 CM, PERC, 1 PC STYL, CATH, KT, STRL, LTX</t>
  </si>
  <si>
    <t>INTRODUCER, SHTH, INTEGR HEMSTAS VLV, 0.035 IN, 9 FRX11 CM, 1 PC</t>
  </si>
  <si>
    <t>https://assets-global.website-files.com/609d867d872392abfec460b4/6144f7a4c075fa2e7a51bfd8_Argon%20Catalog_US-compressed.pdf, https://accessgudid.nlm.nih.gov/devices/00886333213757</t>
  </si>
  <si>
    <t>496164</t>
  </si>
  <si>
    <t>ARGON_496164</t>
  </si>
  <si>
    <t>Percutaneous Catheter Introducer Kit/4 - 8FR</t>
  </si>
  <si>
    <t>PRODIGO1073048</t>
  </si>
  <si>
    <t>8F PCI Kit/4 Percutaneous Catheter Introducer</t>
  </si>
  <si>
    <t>PCI Kit/4 Percutaneous Catheter Introducer</t>
  </si>
  <si>
    <t>8f Pci Kit/4 Percutaneous Catheter Introducer</t>
  </si>
  <si>
    <t>INTRODUCER, SHEATH, 8 FR, PERCUTANEOUS, CATHETER, KIT, STERILE, LATEX</t>
  </si>
  <si>
    <t>INTRODUCER, SHTH, 8 FR, PERC, CATH, KT, STRL, LTX</t>
  </si>
  <si>
    <t>https://accessgudid.nlm.nih.gov/devices/00886333213764</t>
  </si>
  <si>
    <t>496166</t>
  </si>
  <si>
    <t>ARGON_496166</t>
  </si>
  <si>
    <t>Percutaneous Catheter Introducer Kit/4 - 4FR</t>
  </si>
  <si>
    <t>PRODIGO1073049</t>
  </si>
  <si>
    <t>4F Pediatric PCI Kit/4 Percutaneous Catheter Introducer</t>
  </si>
  <si>
    <t>4f Pediatric Pci Kit/4 Percutaneous Catheter Introducer</t>
  </si>
  <si>
    <t>INTRODUCER, SHEATH, 4 FR, PERCUTANEOUS, CATHETER, KIT, STERILE, LATEX</t>
  </si>
  <si>
    <t>INTRODUCER, SHTH, 4 FR, PERC, CATH, KT, STRL, LTX</t>
  </si>
  <si>
    <t>https://accessgudid.nlm.nih.gov/devices/00886333213771</t>
  </si>
  <si>
    <t>496168</t>
  </si>
  <si>
    <t>ARGON_496168</t>
  </si>
  <si>
    <t>Percutaneous Catheter Introducer Kit/4 - 6FR</t>
  </si>
  <si>
    <t>PRODIGO1073050</t>
  </si>
  <si>
    <t>6F Pediatric PCI Kit/4 Percutaneous Catheter Introducer</t>
  </si>
  <si>
    <t>6f Pediatric Pci Kit/4 Percutaneous Catheter Introducer</t>
  </si>
  <si>
    <t>INTRODUCER, SHEATH, 6 FR, PERCUTANEOUS, CATHETER, KIT, STERILE, LATEX</t>
  </si>
  <si>
    <t>INTRODUCER, SHTH, 6 FR, PERC, CATH, KT, STRL, LTX</t>
  </si>
  <si>
    <t>https://accessgudid.nlm.nih.gov/devices/00886333213788</t>
  </si>
  <si>
    <t>496181</t>
  </si>
  <si>
    <t>ARGON_496181</t>
  </si>
  <si>
    <t>Percutaneous Catheter Introducer Kit/5 - 5FR</t>
  </si>
  <si>
    <t>PRODIGO1073051</t>
  </si>
  <si>
    <t>5F Percutaneous Catheter Introducer Kit</t>
  </si>
  <si>
    <t>Percutaneous Catheter Introducer Kit</t>
  </si>
  <si>
    <t>Introducer  Detachable Hemostasis Valve 0.028 In 5 Frx11 Cm Percutaneous Catheter, Kit</t>
  </si>
  <si>
    <t>INTRODUCER, SHEATH, DETACHABLE HEMOSTASIS VALVE, 0.028 IN, 5 FRX11 CM, PERCUTANEOUS, CATHETER, KIT, STERILE, LATEX</t>
  </si>
  <si>
    <t>INTRODUCER, SHTH, DETACHABLE HEMSTAS VLV, 0.028 IN, 5 FRX11 CM, PERC, CATH, KT, STRL, LTX</t>
  </si>
  <si>
    <t>INTRODUCER, SHTH, DETACHABLE HEMSTAS VLV, 0.028 IN, 5 FRX11 CM</t>
  </si>
  <si>
    <t>https://assets-global.website-files.com/609d867d872392abfec460b4/6144f7a4c075fa2e7a51bfd8_Argon%20Catalog_US-compressed.pdf, https://accessgudid.nlm.nih.gov/devices/00886333213801</t>
  </si>
  <si>
    <t>496182</t>
  </si>
  <si>
    <t>ARGON_496182</t>
  </si>
  <si>
    <t>Percutaneous Catheter Introducer Kit/5 - 6FR</t>
  </si>
  <si>
    <t>PRODIGO1073052</t>
  </si>
  <si>
    <t>6F PCI Kit/5 Percutaneous Catheter Introducer</t>
  </si>
  <si>
    <t>PCI Kit/5 Percutaneous Catheter Introducer</t>
  </si>
  <si>
    <t>Introducer  Detachable Hemostasis Valve 0.035 In 6 Frx11 Cm Percutaneous Catheter, Kit</t>
  </si>
  <si>
    <t>INTRODUCER, SHEATH, DETACHABLE HEMOSTASIS VALVE, 0.035 IN, 6 FRX11 CM, PERCUTANEOUS, CATHETER, KIT, STERILE, LATEX</t>
  </si>
  <si>
    <t>INTRODUCER, SHTH, DETACHABLE HEMSTAS VLV, 0.035 IN, 6 FRX11 CM, PERC, CATH, KT, STRL, LTX</t>
  </si>
  <si>
    <t>INTRODUCER, SHTH, DETACHABLE HEMSTAS VLV, 0.035 IN, 6 FRX11 CM</t>
  </si>
  <si>
    <t>https://assets-global.website-files.com/609d867d872392abfec460b4/6144f7a4c075fa2e7a51bfd8_Argon%20Catalog_US-compressed.pdf, https://accessgudid.nlm.nih.gov/devices/00886333213818</t>
  </si>
  <si>
    <t>496183</t>
  </si>
  <si>
    <t>ARGON_496183</t>
  </si>
  <si>
    <t>Percutaneous Catheter Introducer Kit/5 - 7FR</t>
  </si>
  <si>
    <t>PRODIGO1073053</t>
  </si>
  <si>
    <t>7F PCI Kit/5 Percutaneous Catheter Introducer</t>
  </si>
  <si>
    <t>Introducer  Detachable Hemostasis Valve 0.035 In 7 Frx11 Cm Percutaneous Catheter, Kit</t>
  </si>
  <si>
    <t>INTRODUCER, SHEATH, DETACHABLE HEMOSTASIS VALVE, 0.035 IN, 7 FRX11 CM, PERCUTANEOUS, CATHETER, KIT, STERILE, LATEX</t>
  </si>
  <si>
    <t>INTRODUCER, SHTH, DETACHABLE HEMSTAS VLV, 0.035 IN, 7 FRX11 CM, PERC, CATH, KT, STRL, LTX</t>
  </si>
  <si>
    <t>INTRODUCER, SHTH, DETACHABLE HEMSTAS VLV, 0.035 IN, 7 FRX11 CM</t>
  </si>
  <si>
    <t>https://assets-global.website-files.com/609d867d872392abfec460b4/6144f7a4c075fa2e7a51bfd8_Argon%20Catalog_US-compressed.pdf, https://accessgudid.nlm.nih.gov/devices/00886333213825</t>
  </si>
  <si>
    <t>496185</t>
  </si>
  <si>
    <t>ARGON_496185</t>
  </si>
  <si>
    <t>Percutaneous Catheter Introducer Kit/5 - 9FR</t>
  </si>
  <si>
    <t>PRODIGO1073054</t>
  </si>
  <si>
    <t>9F PCI Kit/5 Percutaneous Catheter Introducer</t>
  </si>
  <si>
    <t>9f Pci Kit/5 Percutaneous Catheter Introducer</t>
  </si>
  <si>
    <t>INTRODUCER, SHEATH, DETACHABLE HEMOSTASIS VALVE, 0.035 IN, 9 FRX11 CM, PERCUTANEOUS, CATHETER, KIT, STERILE, LATEX</t>
  </si>
  <si>
    <t>INTRODUCER, SHTH, DETACHABLE HEMSTAS VLV, 0.035 IN, 9 FRX11 CM, PERC, CATH, KT, STRL, LTX</t>
  </si>
  <si>
    <t>INTRODUCER, SHTH, DETACHABLE HEMSTAS VLV, 0.035 IN, 9 FRX11 CM</t>
  </si>
  <si>
    <t>https://accessgudid.nlm.nih.gov/devices/00886333213849</t>
  </si>
  <si>
    <t>496190A</t>
  </si>
  <si>
    <t>ARGON_496190A</t>
  </si>
  <si>
    <t>PRODIGO1073055</t>
  </si>
  <si>
    <t>5F Catheter Introducer Kit</t>
  </si>
  <si>
    <t>Catheter Introducer Kit</t>
  </si>
  <si>
    <t>5f Catheter Introducer Kit</t>
  </si>
  <si>
    <t>INTRODUCER, SHEATH, ONE PIECE STYLE, 5 FR, KIT, STERILE, LATEX</t>
  </si>
  <si>
    <t>INTRODUCER, SHTH, 1 PC STYL, 5 FR, KT, STRL, LTX</t>
  </si>
  <si>
    <t>https://accessgudid.nlm.nih.gov/devices/00886333213856</t>
  </si>
  <si>
    <t>496193</t>
  </si>
  <si>
    <t>ARGON_496193</t>
  </si>
  <si>
    <t>One-Piece Introducer Kit - 6FR</t>
  </si>
  <si>
    <t>PRODIGO1073056</t>
  </si>
  <si>
    <t>6FP One-Piece Introducer Kit</t>
  </si>
  <si>
    <t>One-Piece Introducer Kit</t>
  </si>
  <si>
    <t>6fp One-piece Introducer Kit</t>
  </si>
  <si>
    <t>INTRODUCER, SHEATH, ONE PIECE STYLE, 6 FR, KIT, STERILE, LATEX</t>
  </si>
  <si>
    <t>INTRODUCER, SHTH, 1 PC STYL, 6 FR, KT, STRL, LTX</t>
  </si>
  <si>
    <t>https://accessgudid.nlm.nih.gov/devices/00886333213863</t>
  </si>
  <si>
    <t>496308</t>
  </si>
  <si>
    <t>ARGON_496308</t>
  </si>
  <si>
    <t>Percutaneous Catheter Introducer Kit With Feathered Dilator - 4FR</t>
  </si>
  <si>
    <t>PRODIGO1073057</t>
  </si>
  <si>
    <t>4F PCI Kit with Feathered Dilator</t>
  </si>
  <si>
    <t>PCI Kit</t>
  </si>
  <si>
    <t>Introducer Detachable Hemostasis Valve 0.021 In 4 Frx11 Cm Percutaneous With Feathered Dilator</t>
  </si>
  <si>
    <t>INTRODUCER, SHEATH, DETACHABLE HEMOSTASIS VALVE, 0.021 IN, 4 FRX11 CM, PERCUTANEOUS, WITH FEATHERED DILATOR, STERILE, LATEX</t>
  </si>
  <si>
    <t>INTRODUCER, SHTH, DETACHABLE HEMSTAS VLV, 0.021 IN, 4 FRX11 CM, PERC, W/ FEATHERED DIL, STRL, LTX</t>
  </si>
  <si>
    <t>INTRODUCER, SHTH, DETACHABLE HEMSTAS VLV, 0.021 IN, 4 FRX11 CM</t>
  </si>
  <si>
    <t>WITH FEATHERED DILATOR</t>
  </si>
  <si>
    <t>https://assets-global.website-files.com/609d867d872392abfec460b4/6144f7a4c075fa2e7a51bfd8_Argon%20Catalog_US-compressed.pdf, https://accessgudid.nlm.nih.gov/devices/00886333213931</t>
  </si>
  <si>
    <t>496309</t>
  </si>
  <si>
    <t>ARGON_496309</t>
  </si>
  <si>
    <t>Percutaneous Catheter Introducer Kit With Feathered Dilator - 5FR</t>
  </si>
  <si>
    <t>PRODIGO1073058</t>
  </si>
  <si>
    <t>5F PCI Kit with Feathered Dilator</t>
  </si>
  <si>
    <t>Introducer Detachable Hemostasis Valve 0.021 In 5 Frx11 Cm Percutaneous With Feathered Dilator</t>
  </si>
  <si>
    <t>INTRODUCER, SHEATH, DETACHABLE HEMOSTASIS VALVE, 0.021 IN, 5 FRX11 CM, PERCUTANEOUS, WITH FEATHERED DILATOR, STERILE, LATEX</t>
  </si>
  <si>
    <t>INTRODUCER, SHTH, DETACHABLE HEMSTAS VLV, 0.021 IN, 5 FRX11 CM, PERC, W/ FEATHERED DIL, STRL, LTX</t>
  </si>
  <si>
    <t>INTRODUCER, SHTH, DETACHABLE HEMSTAS VLV, 0.021 IN, 5 FRX11 CM</t>
  </si>
  <si>
    <t>https://assets-global.website-files.com/609d867d872392abfec460b4/6144f7a4c075fa2e7a51bfd8_Argon%20Catalog_US-compressed.pdf, https://accessgudid.nlm.nih.gov/devices/00886333213948</t>
  </si>
  <si>
    <t>496310</t>
  </si>
  <si>
    <t>ARGON_496310</t>
  </si>
  <si>
    <t>Percutaneous Catheter Introducer Kit With Feathered Dilator - 6FR</t>
  </si>
  <si>
    <t>PRODIGO1073059</t>
  </si>
  <si>
    <t>6F PCI Kit with Feathered Dilator</t>
  </si>
  <si>
    <t>Introducer Detachable Hemostasis Valve 0.021 In 6 Frx11 Cm Percutaneous With Feathered Dilator</t>
  </si>
  <si>
    <t>INTRODUCER, SHEATH, DETACHABLE HEMOSTASIS VALVE, 0.021 IN, 6 FRX11 CM, PERCUTANEOUS, WITH FEATHERED DILATOR, STERILE, LATEX</t>
  </si>
  <si>
    <t>INTRODUCER, SHTH, DETACHABLE HEMSTAS VLV, 0.021 IN, 6 FRX11 CM, PERC, W/ FEATHERED DIL, STRL, LTX</t>
  </si>
  <si>
    <t>INTRODUCER, SHTH, DETACHABLE HEMSTAS VLV, 0.021 IN, 6 FRX11 CM</t>
  </si>
  <si>
    <t>https://assets-global.website-files.com/609d867d872392abfec460b4/6144f7a4c075fa2e7a51bfd8_Argon%20Catalog_US-compressed.pdf, https://accessgudid.nlm.nih.gov/devices/00886333213955</t>
  </si>
  <si>
    <t>496311</t>
  </si>
  <si>
    <t>ARGON_496311</t>
  </si>
  <si>
    <t>Percutaneous Catheter Introducer Kit With Feathered Dilator - 7FR</t>
  </si>
  <si>
    <t>PRODIGO1073060</t>
  </si>
  <si>
    <t>7F PCI Kit with Feathered Dilator</t>
  </si>
  <si>
    <t>Introducer Detachable Hemostasis Valve 0.021 In 7 Frx11 Cm Percutaneous With Feathered Dilator</t>
  </si>
  <si>
    <t>INTRODUCER, SHEATH, DETACHABLE HEMOSTASIS VALVE, 0.021 IN, 7 FRX11 CM, PERCUTANEOUS, WITH FEATHERED DILATOR, STERILE, LATEX</t>
  </si>
  <si>
    <t>INTRODUCER, SHTH, DETACHABLE HEMSTAS VLV, 0.021 IN, 7 FRX11 CM, PERC, W/ FEATHERED DIL, STRL, LTX</t>
  </si>
  <si>
    <t>INTRODUCER, SHTH, DETACHABLE HEMSTAS VLV, 0.021 IN, 7 FRX11 CM</t>
  </si>
  <si>
    <t>https://assets-global.website-files.com/609d867d872392abfec460b4/6144f7a4c075fa2e7a51bfd8_Argon%20Catalog_US-compressed.pdf, https://accessgudid.nlm.nih.gov/devices/00886333213962</t>
  </si>
  <si>
    <t>496312</t>
  </si>
  <si>
    <t>ARGON_496312</t>
  </si>
  <si>
    <t>Percutaneous Catheter Introducer Kit With Feathered Dilator - 8FR</t>
  </si>
  <si>
    <t>PRODIGO1073061</t>
  </si>
  <si>
    <t>8F PCI Kit with Feathered Dilator</t>
  </si>
  <si>
    <t>Introducer Detachable Hemostasis Valve 0.021 In 8 Frx11 Cm Percutaneous With Feathered Dilator</t>
  </si>
  <si>
    <t>INTRODUCER, SHEATH, DETACHABLE HEMOSTASIS VALVE, 0.021 IN, 8 FRX11 CM, PERCUTANEOUS, WITH FEATHERED DILATOR, STERILE, LATEX</t>
  </si>
  <si>
    <t>INTRODUCER, SHTH, DETACHABLE HEMSTAS VLV, 0.021 IN, 8 FRX11 CM, PERC, W/ FEATHERED DIL, STRL, LTX</t>
  </si>
  <si>
    <t>INTRODUCER, SHTH, DETACHABLE HEMSTAS VLV, 0.021 IN, 8 FRX11 CM</t>
  </si>
  <si>
    <t>https://assets-global.website-files.com/609d867d872392abfec460b4/6144f7a4c075fa2e7a51bfd8_Argon%20Catalog_US-compressed.pdf, https://accessgudid.nlm.nih.gov/devices/00886333213979</t>
  </si>
  <si>
    <t>496455</t>
  </si>
  <si>
    <t>ARGON_496455</t>
  </si>
  <si>
    <t>E-P Introducer Set One-Piece Style 5FR</t>
  </si>
  <si>
    <t>PRODIGO1073062</t>
  </si>
  <si>
    <t>5F E-P Introducer Set One Piece Style</t>
  </si>
  <si>
    <t>E-P Introducer Set One Piece Style</t>
  </si>
  <si>
    <t>5f E-p Introducer Set One Piece Style</t>
  </si>
  <si>
    <t>INTRODUCER, SHEATH, ONE PIECE STYLE, 5 FR, EP SET, STERILE, LATEX</t>
  </si>
  <si>
    <t>INTRODUCER, SHTH, 1 PC STYL, 5 FR, EP SET, STRL, LTX</t>
  </si>
  <si>
    <t>EP SET</t>
  </si>
  <si>
    <t>https://accessgudid.nlm.nih.gov/devices/00886333214075</t>
  </si>
  <si>
    <t>496458</t>
  </si>
  <si>
    <t>ARGON_496458</t>
  </si>
  <si>
    <t>E-P Introducer Set One-Piece Style 8FR</t>
  </si>
  <si>
    <t>PRODIGO1073063</t>
  </si>
  <si>
    <t>8F E-P Introducer Set One-Piece Style</t>
  </si>
  <si>
    <t>E-P Introducer Set One-Piece Style</t>
  </si>
  <si>
    <t>8f E-p Introducer Set One-piece Style</t>
  </si>
  <si>
    <t>INTRODUCER, SHEATH, ONE PIECE STYLE, 8 FR, EP SET, STERILE, LATEX</t>
  </si>
  <si>
    <t>INTRODUCER, SHTH, 1 PC STYL, 8 FR, EP SET, STRL, LTX</t>
  </si>
  <si>
    <t>https://accessgudid.nlm.nih.gov/devices/00886333214105</t>
  </si>
  <si>
    <t>496554</t>
  </si>
  <si>
    <t>ARGON_496554</t>
  </si>
  <si>
    <t>Introducer Tray 6FR</t>
  </si>
  <si>
    <t>PRODIGO1073064</t>
  </si>
  <si>
    <t>Introducer Tray 6F</t>
  </si>
  <si>
    <t>Introducer Tray</t>
  </si>
  <si>
    <t>Introducer Tray 6f</t>
  </si>
  <si>
    <t>INTRODUCER, SHEATH, 6 FR, TRAY, STERILE, LATEX</t>
  </si>
  <si>
    <t>INTRODUCER, SHTH, 6 FR, TY, STRL, LTX</t>
  </si>
  <si>
    <t>https://accessgudid.nlm.nih.gov/devices/00886333214136</t>
  </si>
  <si>
    <t>496555</t>
  </si>
  <si>
    <t>ARGON_496555</t>
  </si>
  <si>
    <t>Introducer Tray 8FR</t>
  </si>
  <si>
    <t>PRODIGO1073065</t>
  </si>
  <si>
    <t>Introducer Tray 8F</t>
  </si>
  <si>
    <t>Introducer Tray 8f</t>
  </si>
  <si>
    <t>INTRODUCER, SHEATH, 8 FR, TRAY, STERILE, LATEX</t>
  </si>
  <si>
    <t>INTRODUCER, SHTH, 8 FR, TY, STRL, LTX</t>
  </si>
  <si>
    <t>https://accessgudid.nlm.nih.gov/devices/00886333214143</t>
  </si>
  <si>
    <t>496558</t>
  </si>
  <si>
    <t>ARGON_496558</t>
  </si>
  <si>
    <t xml:space="preserve">Catheter Introducer Kit - 5FR </t>
  </si>
  <si>
    <t>PRODIGO1073066</t>
  </si>
  <si>
    <t>INTRODUCER, SHEATH, 5 FR, CATHETER KIT, STERILE, LATEX</t>
  </si>
  <si>
    <t>INTRODUCER, SHTH, 5 FR, CATH KT, STRL, LTX</t>
  </si>
  <si>
    <t>CATHETER KIT</t>
  </si>
  <si>
    <t>https://accessgudid.nlm.nih.gov/devices/00886333214150</t>
  </si>
  <si>
    <t>496622</t>
  </si>
  <si>
    <t>ARGON_496622</t>
  </si>
  <si>
    <t>GCI Introducer Kit 5FR X 45CM</t>
  </si>
  <si>
    <t>PRODIGO1073067</t>
  </si>
  <si>
    <t>GCI Introducer Kit 5F x 45cm</t>
  </si>
  <si>
    <t>GCI Introducer Kit</t>
  </si>
  <si>
    <t>Gci Introducer Kit 5f X 45cm</t>
  </si>
  <si>
    <t>INTRODUCER, SHEATH, 5 FRX45 CM, GCI KIT, STERILE, LATEX</t>
  </si>
  <si>
    <t>INTRODUCER, SHTH, 5 FRX45 CM, GCI KT, STRL, LTX</t>
  </si>
  <si>
    <t>GCI KIT</t>
  </si>
  <si>
    <t>https://accessgudid.nlm.nih.gov/devices/00886333214242</t>
  </si>
  <si>
    <t>497296</t>
  </si>
  <si>
    <t>ARGON_497296</t>
  </si>
  <si>
    <t>Hemostasis Valve 4FR-6FR</t>
  </si>
  <si>
    <t>PRODIGO1073068</t>
  </si>
  <si>
    <t>Hemostasis Valve 4F-6F</t>
  </si>
  <si>
    <t>42203428  Angiography control valves and hemostatic valves</t>
  </si>
  <si>
    <t>Detachable Hemostasis Valve With Stopcock 4-6fr</t>
  </si>
  <si>
    <t>VALVE, HEMOSTATIC, DETACHABLE, 4-6 FR, WITH STOPCOCK, STERILE, LATEX</t>
  </si>
  <si>
    <t>VALVE, HEMOSTATIC, DETACHABLE, 4-6 FR, W/ STOPCOCK, STRL, LTX</t>
  </si>
  <si>
    <t>VALVE</t>
  </si>
  <si>
    <t>DETACHABLE</t>
  </si>
  <si>
    <t>4-6 FR</t>
  </si>
  <si>
    <t>https://assets-global.website-files.com/609d867d872392abfec460b4/6144f7a4c075fa2e7a51bfd8_Argon%20Catalog_US-compressed.pdf, https://accessgudid.nlm.nih.gov/devices/00886333214297</t>
  </si>
  <si>
    <t>497297</t>
  </si>
  <si>
    <t>ARGON_497297</t>
  </si>
  <si>
    <t>Hemostasis Valve 7FR-9FR</t>
  </si>
  <si>
    <t>PRODIGO1073069</t>
  </si>
  <si>
    <t>Hemostasis Valve 7F-9F</t>
  </si>
  <si>
    <t>Hemostasis Valve</t>
  </si>
  <si>
    <t>Detachable Hemostasis Valve With Stopcock 7-9fr</t>
  </si>
  <si>
    <t>VALVE, HEMOSTATIC, DETACHABLE, 7-9 FR, WITH STOPCOCK, STERILE, LATEX</t>
  </si>
  <si>
    <t>VALVE, HEMOSTATIC, DETACHABLE, 7-9 FR, W/ STOPCOCK, STRL, LTX</t>
  </si>
  <si>
    <t>7-9 FR</t>
  </si>
  <si>
    <t>https://assets-global.website-files.com/609d867d872392abfec460b4/6144f7a4c075fa2e7a51bfd8_Argon%20Catalog_US-compressed.pdf, https://accessgudid.nlm.nih.gov/devices/00886333214303</t>
  </si>
  <si>
    <t>497401</t>
  </si>
  <si>
    <t>ARGON_497401</t>
  </si>
  <si>
    <t>Pac/5 Catheter Introducer Kit 5FR</t>
  </si>
  <si>
    <t>PRODIGO1073071</t>
  </si>
  <si>
    <t>PAC Kit/5 Catheter Introducer Kit 5F</t>
  </si>
  <si>
    <t>PAC Kit/5 Catheter Introducer Kit</t>
  </si>
  <si>
    <t>Pac Kit/5 Catheter Introducer Kit 5f</t>
  </si>
  <si>
    <t>INTRODUCER, SHEATH, 5 FR, PERCUTANEOUS, PAC/5, KIT, STERILE, LATEX</t>
  </si>
  <si>
    <t>INTRODUCER, SHTH, 5 FR, PERC, PAC/5, KT, STRL, LTX</t>
  </si>
  <si>
    <t>PAC/5, KIT</t>
  </si>
  <si>
    <t>https://accessgudid.nlm.nih.gov/devices/00886333214358</t>
  </si>
  <si>
    <t>497402</t>
  </si>
  <si>
    <t>ARGON_497402</t>
  </si>
  <si>
    <t>Pac/5 Catheter Introducer Kit 6FR</t>
  </si>
  <si>
    <t>PRODIGO1073072</t>
  </si>
  <si>
    <t>PAC Kit/5 Catheter Introducer Kit 6F</t>
  </si>
  <si>
    <t>Pac Kit/5 Catheter Introducer Kit 6f</t>
  </si>
  <si>
    <t>INTRODUCER, SHEATH, 6 FR, PERCUTANEOUS, PAC/5, KIT, STERILE, LATEX</t>
  </si>
  <si>
    <t>INTRODUCER, SHTH, 6 FR, PERC, PAC/5, KT, STRL, LTX</t>
  </si>
  <si>
    <t>https://accessgudid.nlm.nih.gov/devices/00886333214365</t>
  </si>
  <si>
    <t>497404</t>
  </si>
  <si>
    <t>ARGON_497404</t>
  </si>
  <si>
    <t>Pac/5 Catheter Introducer Kit 8FR</t>
  </si>
  <si>
    <t>PRODIGO1073073</t>
  </si>
  <si>
    <t>PAC Kit/5 Catheter Introducer Kit 8F</t>
  </si>
  <si>
    <t>Pac Kit/5 Catheter Introducer Kit 8f</t>
  </si>
  <si>
    <t>INTRODUCER, SHEATH, 8 FR, PERCUTANEOUS, PAC/5, KIT, STERILE, LATEX</t>
  </si>
  <si>
    <t>INTRODUCER, SHTH, 8 FR, PERC, PAC/5, KT, STRL, LTX</t>
  </si>
  <si>
    <t>https://accessgudid.nlm.nih.gov/devices/00886333214389</t>
  </si>
  <si>
    <t>497414</t>
  </si>
  <si>
    <t>ARGON_497414</t>
  </si>
  <si>
    <t>One Piece Introducer Kit 8FR</t>
  </si>
  <si>
    <t>PRODIGO1073074</t>
  </si>
  <si>
    <t>8f One Piece Introducer Kit</t>
  </si>
  <si>
    <t>INTRODUCER, SHEATH, ONE PIECE STYLE, 8 FR, KIT, STERILE, LATEX</t>
  </si>
  <si>
    <t>INTRODUCER, SHTH, 1 PC STYL, 8 FR, KT, STRL, LTX</t>
  </si>
  <si>
    <t>https://accessgudid.nlm.nih.gov/devices/00886333214419</t>
  </si>
  <si>
    <t>497423</t>
  </si>
  <si>
    <t>ARGON_497423</t>
  </si>
  <si>
    <t>Pac Tray/5 Catheter Introducer Tray 7FR</t>
  </si>
  <si>
    <t>PRODIGO1073075</t>
  </si>
  <si>
    <t>PAC Tray/5 Catheter Introducer Tray 7F</t>
  </si>
  <si>
    <t>PAC Tray/5 Catheter Introducer Tray</t>
  </si>
  <si>
    <t>Introducer Detachable Hemostasis Valve 0.035 In 7 Frx11 Cm Percutaneous Tray</t>
  </si>
  <si>
    <t>INTRODUCER, SHEATH, DETACHABLE HEMOSTASIS VALVE, 0.035 IN, 7 FRX11 CM, PERCUTANEOUS, TRAY, STERILE, LATEX</t>
  </si>
  <si>
    <t>INTRODUCER, SHTH, DETACHABLE HEMSTAS VLV, 0.035 IN, 7 FRX11 CM, PERC, TY, STRL, LTX</t>
  </si>
  <si>
    <t>INTRODUCER, SHTH, DETACHABLE HEMSTAS VLV, 0.035IN, 7 FRX11 CM, TY</t>
  </si>
  <si>
    <t>/5</t>
  </si>
  <si>
    <t>https://assets-global.website-files.com/609d867d872392abfec460b4/6144f7a4c075fa2e7a51bfd8_Argon%20Catalog_US-compressed.pdf, https://accessgudid.nlm.nih.gov/devices/00886333214433</t>
  </si>
  <si>
    <t>497425</t>
  </si>
  <si>
    <t>ARGON_497425</t>
  </si>
  <si>
    <t>Pac Tray/5 Catheter Introducer Tray 8.5FR</t>
  </si>
  <si>
    <t>PRODIGO1073076</t>
  </si>
  <si>
    <t>PAC Tray/5 Catheter Introducer Tray 8.5F</t>
  </si>
  <si>
    <t>Introducer Detachable Hemostasis Valve 0.035 In 8.5 Frx11 Cm Percutaneous Tray</t>
  </si>
  <si>
    <t>INTRODUCER, SHEATH, DETACHABLE HEMOSTASIS VALVE, 0.035 IN, 8.5 FRX11 CM, PERCUTANEOUS, TRAY, STERILE, LATEX</t>
  </si>
  <si>
    <t>INTRODUCER, SHTH, DETACHABLE HEMSTAS VLV, 0.035 IN, 8.5 FRX11 CM, PERC, TY, STRL, LTX</t>
  </si>
  <si>
    <t>INTRODUCER, SHTH, DETACHABLE HEMSTAS VLV, 0.035 IN, 8.5 FRX11 CM</t>
  </si>
  <si>
    <t>https://assets-global.website-files.com/609d867d872392abfec460b4/6144f7a4c075fa2e7a51bfd8_Argon%20Catalog_US-compressed.pdf, https://accessgudid.nlm.nih.gov/devices/00886333214457</t>
  </si>
  <si>
    <t>497426</t>
  </si>
  <si>
    <t>ARGON_497426</t>
  </si>
  <si>
    <t>Pac Tray/5 Catheter Introducer Tray 9FR</t>
  </si>
  <si>
    <t>PRODIGO1073077</t>
  </si>
  <si>
    <t>PAC Tray/5 Catheter Introducer Tray 9F</t>
  </si>
  <si>
    <t>Introducer Detachable Hemostasis Valve 0.035 In 9 Frx11 Cm Percutaneous Tray</t>
  </si>
  <si>
    <t>INTRODUCER, SHEATH, DETACHABLE HEMOSTASIS VALVE, 0.035 IN, 9 FRX11 CM, PERCUTANEOUS, TRAY, STERILE, LATEX</t>
  </si>
  <si>
    <t>INTRODUCER, SHTH, DETACHABLE HEMSTAS VLV, 0.035 IN, 9 FRX11 CM, PERC, TY, STRL, LTX</t>
  </si>
  <si>
    <t>INTRODUCER, SHTH, DETACHABLE HEMSTAS VLV, 0.035IN, 9 FRX11 CM, TY</t>
  </si>
  <si>
    <t>https://assets-global.website-files.com/609d867d872392abfec460b4/6144f7a4c075fa2e7a51bfd8_Argon%20Catalog_US-compressed.pdf, https://accessgudid.nlm.nih.gov/devices/00886333214464</t>
  </si>
  <si>
    <t>497432</t>
  </si>
  <si>
    <t>ARGON_497432</t>
  </si>
  <si>
    <t>One-Piece Introducer Hemostatis Valve Tray 6FR</t>
  </si>
  <si>
    <t>PRODIGO1073078</t>
  </si>
  <si>
    <t>Introducer Integral Hemostasis Valve 0.035 In 6 Frx11 Cm One Piece, Tray</t>
  </si>
  <si>
    <t>INTRODUCER, SHEATH, INTEGRAL HEMOSTASIS VALVE, 0.035 IN, 6 FRX11 CM, ONE PIECE STYLE, TRAY, STERILE, LATEX</t>
  </si>
  <si>
    <t>INTRODUCER, SHTH, INTEGR HEMSTAS VLV, 0.035 IN, 6 FRX11 CM, 1 PC STYL, TY, STRL, LTX</t>
  </si>
  <si>
    <t>INTRODUCER, SHTH, INTEGR HEMSTAS VLV, 0.035 IN, 6 FRX11 CM</t>
  </si>
  <si>
    <t>ONE PIECE STYLE, TRAY</t>
  </si>
  <si>
    <t>https://assets-global.website-files.com/609d867d872392abfec460b4/6144f7a4c075fa2e7a51bfd8_Argon%20Catalog_US-compressed.pdf, https://accessgudid.nlm.nih.gov/devices/00886333214471</t>
  </si>
  <si>
    <t>497433</t>
  </si>
  <si>
    <t>ARGON_497433</t>
  </si>
  <si>
    <t>One-Piece Introducer Hemostatis Valve Tray 7FR</t>
  </si>
  <si>
    <t>PRODIGO1073079</t>
  </si>
  <si>
    <t>One-Piece Introducer Tray 7F</t>
  </si>
  <si>
    <t>Introducer Integral Hemostasis Valve 0.035 In 7 Frx11 Cm One Piece, Tray</t>
  </si>
  <si>
    <t>INTRODUCER, SHEATH, INTEGRAL HEMOSTASIS VALVE, 0.035 IN, 7 FRX11 CM, ONE PIECE STYLE, TRAY, STERILE, LATEX</t>
  </si>
  <si>
    <t>INTRODUCER, SHTH, INTEGR HEMSTAS VLV, 0.035 IN, 7 FRX11 CM, 1 PC STYL, TY, STRL, LTX</t>
  </si>
  <si>
    <t>INTRODUCER, SHTH, INTEGR HEMSTAS VLV, 0.035 IN, 7 FRX11 CM, TY</t>
  </si>
  <si>
    <t>https://assets-global.website-files.com/609d867d872392abfec460b4/6144f7a4c075fa2e7a51bfd8_Argon%20Catalog_US-compressed.pdf, https://accessgudid.nlm.nih.gov/devices/00886333214488</t>
  </si>
  <si>
    <t>497434</t>
  </si>
  <si>
    <t>ARGON_497434</t>
  </si>
  <si>
    <t>One-Piece Introducer Hemostatis Valve Tray 8FR</t>
  </si>
  <si>
    <t>PRODIGO1073080</t>
  </si>
  <si>
    <t>One-Piece Introducer Tray 8F</t>
  </si>
  <si>
    <t>Introducer Integral Hemostasis Valve 0.035 In 8 Frx11 Cm One Piece, Tray</t>
  </si>
  <si>
    <t>INTRODUCER, SHEATH, INTEGRAL HEMOSTASIS VALVE, 0.035 IN, 8 FRX11 CM, ONE PIECE STYLE, TRAY, STERILE, LATEX</t>
  </si>
  <si>
    <t>INTRODUCER, SHTH, INTEGR HEMSTAS VLV, 0.035 IN, 8 FRX11 CM, 1 PC STYL, TY, STRL, LTX</t>
  </si>
  <si>
    <t>INTRODUCER, SHTH, INTEGR HEMSTAS VLV, 0.035 IN, 8 FRX11 CM, TY</t>
  </si>
  <si>
    <t>https://assets-global.website-files.com/609d867d872392abfec460b4/6144f7a4c075fa2e7a51bfd8_Argon%20Catalog_US-compressed.pdf, https://accessgudid.nlm.nih.gov/devices/00886333214495</t>
  </si>
  <si>
    <t>497435</t>
  </si>
  <si>
    <t>ARGON_497435</t>
  </si>
  <si>
    <t>One-Piece Introducer Hemostatis Valve Tray 8.5FR</t>
  </si>
  <si>
    <t>PRODIGO1073081</t>
  </si>
  <si>
    <t>Introducer Integral Hemostasis Valve 0.035 In 8.5 Frx11 Cm One Piece, Tray</t>
  </si>
  <si>
    <t>INTRODUCER, SHEATH, INTEGRAL HEMOSTASIS VALVE, 0.035 IN, 8.5 FRX11 CM, ONE PIECE STYLE, TRAY, STERILE, LATEX</t>
  </si>
  <si>
    <t>INTRODUCER, SHTH, INTEGR HEMSTAS VLV, 0.035 IN, 8.5 FRX11 CM, 1 PC STYL, TY, STRL, LTX</t>
  </si>
  <si>
    <t>INTRODUCER, SHTH, INTEGR HEMSTAS VLV, 0.035 IN, 8.5 FRX11 CM, TY</t>
  </si>
  <si>
    <t>https://assets-global.website-files.com/609d867d872392abfec460b4/6144f7a4c075fa2e7a51bfd8_Argon%20Catalog_US-compressed.pdf, https://accessgudid.nlm.nih.gov/devices/00886333214501</t>
  </si>
  <si>
    <t>497436</t>
  </si>
  <si>
    <t>ARGON_497436</t>
  </si>
  <si>
    <t>One-Piece Introducer Hemostatis Valve Tray 9FR</t>
  </si>
  <si>
    <t>PRODIGO1073082</t>
  </si>
  <si>
    <t>One-Piece Introducer Tray with Rapid Flow Sideport 9F</t>
  </si>
  <si>
    <t>One-Piece Introducer Tray with Rapid Flow Sideport</t>
  </si>
  <si>
    <t>Introducer Integral Hemostasis Valve 0.035 In 9 Frx11 Cm One Piece, Tray</t>
  </si>
  <si>
    <t>INTRODUCER, SHEATH, INTEGRAL HEMOSTASIS VALVE, 0.035 IN, 9 FRX11 CM, ONE PIECE STYLE, TRAY, STERILE, LATEX</t>
  </si>
  <si>
    <t>INTRODUCER, SHTH, INTEGR HEMSTAS VLV, 0.035 IN, 9 FRX11 CM, 1 PC STYL, TY, STRL, LTX</t>
  </si>
  <si>
    <t>INTRODUCER, SHTH, INTEGR HEMSTAS VLV, 0.035 IN, 9 FRX11 CM, TY</t>
  </si>
  <si>
    <t>https://assets-global.website-files.com/609d867d872392abfec460b4/6144f7a4c075fa2e7a51bfd8_Argon%20Catalog_US-compressed.pdf, https://accessgudid.nlm.nih.gov/devices/00886333214518</t>
  </si>
  <si>
    <t>CGM</t>
  </si>
  <si>
    <t>497442</t>
  </si>
  <si>
    <t>ARGON_497442</t>
  </si>
  <si>
    <t>Tuohy-Borst / One-Piece Catheter Introducer Kit 6FR</t>
  </si>
  <si>
    <t>PRODIGO1073083</t>
  </si>
  <si>
    <t>One-Piece/Tuohy Borst Catheter Introducer Kit 6F</t>
  </si>
  <si>
    <t>One-Piece/Tuohy Borst Catheter Introducer Kit</t>
  </si>
  <si>
    <t>INTRODUCER, CATHETER, TUOHY-BORST/ONE-PIECE, 6 FR, KIT, STERILE, LATEX</t>
  </si>
  <si>
    <t>INTRODUCER, CATH, TUOHY-BORST/1 PC, 6 FR, KT, STRL, LTX</t>
  </si>
  <si>
    <t>CATHETER</t>
  </si>
  <si>
    <t>TUOHY-BORST/ONE-PIECE</t>
  </si>
  <si>
    <t>https://accessgudid.nlm.nih.gov/devices/00886333214532</t>
  </si>
  <si>
    <t>497444</t>
  </si>
  <si>
    <t>ARGON_497444</t>
  </si>
  <si>
    <t>Tuohy-Borst / One-Piece Catheter Introducer Kit 8FR</t>
  </si>
  <si>
    <t>PRODIGO1073084</t>
  </si>
  <si>
    <t>One-Piece/Tuohy Borst Catheter Introducer Kit 8F</t>
  </si>
  <si>
    <t>INTRODUCER, CATHETER, TUOHY-BORST/ONE-PIECE, 8 FR, KIT, STERILE, LATEX</t>
  </si>
  <si>
    <t>INTRODUCER, CATH, TUOHY-BORST/1 PC, 8 FR, KT, STRL, LTX</t>
  </si>
  <si>
    <t>https://accessgudid.nlm.nih.gov/devices/00886333214549</t>
  </si>
  <si>
    <t>497447</t>
  </si>
  <si>
    <t>ARGON_497447</t>
  </si>
  <si>
    <t>One-Piece Introducer Tray 9FR</t>
  </si>
  <si>
    <t>PRODIGO1073085</t>
  </si>
  <si>
    <t>Introducer Tray 9F</t>
  </si>
  <si>
    <t>INTRODUCER, SHEATH, ONE-PIECE, 9 FR, TRAY, STERILE, LATEX</t>
  </si>
  <si>
    <t>INTRODUCER, SHTH, 1 PC, 9 FR, TY, STRL, LTX</t>
  </si>
  <si>
    <t>ONE-PIECE</t>
  </si>
  <si>
    <t>https://accessgudid.nlm.nih.gov/devices/00886333214570</t>
  </si>
  <si>
    <t>497452</t>
  </si>
  <si>
    <t>ARGON_497452</t>
  </si>
  <si>
    <t>Tuohy-Borst / One-Piece Catheter Introducer Tray 6FR</t>
  </si>
  <si>
    <t>PRODIGO1073087</t>
  </si>
  <si>
    <t>One-Piece/Tuohy-Borst Introducer Tray 6F</t>
  </si>
  <si>
    <t>One-Piece/Tuohy-Borst Introducer Tray</t>
  </si>
  <si>
    <t>Tuohy-Borst Introducer Tray with Integral Hemostasis Valve</t>
  </si>
  <si>
    <t>INTRODUCER, CATHETER, TUOHY-BORST/ONE-PIECE, 6 FR, TRAY, STERILE, LATEX</t>
  </si>
  <si>
    <t>INTRODUCER, CATH, TUOHY-BORST/1 PC, 6 FR, TY, STRL, LTX</t>
  </si>
  <si>
    <t>https://www.argonmedical.com/?s=497452&amp;lang=en, https://accessgudid.nlm.nih.gov/devices/00886333214600</t>
  </si>
  <si>
    <t>497453</t>
  </si>
  <si>
    <t>ARGON_497453</t>
  </si>
  <si>
    <t>Tuohy-Borst / One-Piece Catheter Introducer Tray 7FR</t>
  </si>
  <si>
    <t>PRODIGO1073088</t>
  </si>
  <si>
    <t>One-Piece/Tuohy-Borst Introducer Tray 7F</t>
  </si>
  <si>
    <t>INTRODUCER, CATHETER, TUOHY-BORST/ONE-PIECE, 7 FR, TRAY, STERILE, LATEX</t>
  </si>
  <si>
    <t>INTRODUCER, CATH, TUOHY-BORST/1 PC, 7 FR, TY, STRL, LTX</t>
  </si>
  <si>
    <t>https://www.argonmedical.com/?s=497453&amp;lang=en, https://accessgudid.nlm.nih.gov/devices/00886333214617</t>
  </si>
  <si>
    <t>497454</t>
  </si>
  <si>
    <t>ARGON_497454</t>
  </si>
  <si>
    <t>Tuohy-Borst / One-Piece Catheter Introducer Tray 8FR</t>
  </si>
  <si>
    <t>PRODIGO1073089</t>
  </si>
  <si>
    <t>One-Piece/Tuohy-Borst Introducer Tray 8F</t>
  </si>
  <si>
    <t>INTRODUCER, CATHETER, TUOHY-BORST/ONE-PIECE, 8 FR, TRAY, STERILE, LATEX</t>
  </si>
  <si>
    <t>INTRODUCER, CATH, TUOHY-BORST/1 PC, 8 FR, TY, STRL, LTX</t>
  </si>
  <si>
    <t>https://www.argonmedical.com/?s=497454&amp;lang=en, https://accessgudid.nlm.nih.gov/devices/00886333214624</t>
  </si>
  <si>
    <t>497455</t>
  </si>
  <si>
    <t>ARGON_497455</t>
  </si>
  <si>
    <t>Tuohy-Borst / One-Piece Catheter Introducer Tray 8.5FR</t>
  </si>
  <si>
    <t>PRODIGO1073090</t>
  </si>
  <si>
    <t>One-Piece/Tuohy-Borst Introducer Tray 8.5F</t>
  </si>
  <si>
    <t>INTRODUCER, CATHETER, TUOHY-BORST/ONE-PIECE, 8.5 FR, TRAY, STERILE, LATEX</t>
  </si>
  <si>
    <t>INTRODUCER, CATH, TUOHY-BORST/1 PC, 8.5 FR, TY, STRL, LTX</t>
  </si>
  <si>
    <t>https://www.argonmedical.com/?s=497455&amp;lang=en, https://accessgudid.nlm.nih.gov/devices/00886333214631</t>
  </si>
  <si>
    <t>497456</t>
  </si>
  <si>
    <t>ARGON_497456</t>
  </si>
  <si>
    <t>Tuohy-Borst / One-Piece Catheter Introducer Tray 9FR</t>
  </si>
  <si>
    <t>PRODIGO1073091</t>
  </si>
  <si>
    <t>One-Piece/Tuohy-Borst Introducer Tray 9F</t>
  </si>
  <si>
    <t>INTRODUCER, CATHETER, TUOHY-BORST/ONE-PIECE, 9 FR, TRAY, STERILE, LATEX</t>
  </si>
  <si>
    <t>INTRODUCER, CATH, TUOHY-BORST/1 PC, 9 FR, TY, STRL, LTX</t>
  </si>
  <si>
    <t>https://www.argonmedical.com/?s=497456&amp;lang=en, https://accessgudid.nlm.nih.gov/devices/00886333214648</t>
  </si>
  <si>
    <t>497676</t>
  </si>
  <si>
    <t>ARGON_497676</t>
  </si>
  <si>
    <t>Catheter Introducer Tray</t>
  </si>
  <si>
    <t>PRODIGO1073092</t>
  </si>
  <si>
    <t>INTRODUCER, CATHETER, TRAY, STERILE, LATEX</t>
  </si>
  <si>
    <t>INTRODUCER, CATH, TY, STRL, LTX</t>
  </si>
  <si>
    <t>https://accessgudid.nlm.nih.gov/devices/00886333214822</t>
  </si>
  <si>
    <t>497693Y</t>
  </si>
  <si>
    <t>ARGON_497693Y</t>
  </si>
  <si>
    <t>Cvc Tray</t>
  </si>
  <si>
    <t>PRODIGO1073093</t>
  </si>
  <si>
    <t>CVC Tray</t>
  </si>
  <si>
    <t>42221503  Central venous catheters</t>
  </si>
  <si>
    <t>C1751</t>
  </si>
  <si>
    <t>CATHETER, INFUSION, INSERTED PERIPHERALLY, CENTRALLY OR MIDLINE (OTHER THAN HEMODIALYSIS)</t>
  </si>
  <si>
    <t>CATHETER, CENTRAL VENOUS, TRAY, STERILE, LATEX</t>
  </si>
  <si>
    <t>CATHETER, CV, TY, STRL, LTX</t>
  </si>
  <si>
    <t>CENTRAL VENOUS</t>
  </si>
  <si>
    <t>https://accessgudid.nlm.nih.gov/devices/00886333214907</t>
  </si>
  <si>
    <t>497755C</t>
  </si>
  <si>
    <t>ARGON_497755C</t>
  </si>
  <si>
    <t>PRODIGO1073094</t>
  </si>
  <si>
    <t>INTRODUCER, CATHETER, TUOHY-BORST/ONE-PIECE, 8.5 FR, TRAY, STERILE, LATEX, 497755C</t>
  </si>
  <si>
    <t>INTRODUCER, CATH, TUOHY-BORST/1 PC, 8.5 FR, TY, STRL, LTX, 497755C</t>
  </si>
  <si>
    <t>https://accessgudid.nlm.nih.gov/devices/00886333214969</t>
  </si>
  <si>
    <t>Description Duplicate Reff# Added</t>
  </si>
  <si>
    <t>497801</t>
  </si>
  <si>
    <t>ARGON_497801</t>
  </si>
  <si>
    <t>Percutaneous Micro-Introducer Kit - 4FR</t>
  </si>
  <si>
    <t>PRODIGO1073095</t>
  </si>
  <si>
    <t>4F Percutaneous Micro-Introducer Kit</t>
  </si>
  <si>
    <t>Percutaneous Micro-Introducer Kit</t>
  </si>
  <si>
    <t>INTRODUCER, SHEATH, MICRO, 4 FR, PERCUTANEOUS, KIT, STERILE, LATEX</t>
  </si>
  <si>
    <t>INTRODUCER, SHTH, MIC, 4 FR, PERC, KT, STRL, LTX</t>
  </si>
  <si>
    <t>MICRO</t>
  </si>
  <si>
    <t>https://accessgudid.nlm.nih.gov/devices/00886333214990</t>
  </si>
  <si>
    <t>497802</t>
  </si>
  <si>
    <t>ARGON_497802</t>
  </si>
  <si>
    <t>Percutaneous Micro-Introducer Kit - 5FR</t>
  </si>
  <si>
    <t>PRODIGO1073096</t>
  </si>
  <si>
    <t>5F Percutaneous Micro-Introducer Kit</t>
  </si>
  <si>
    <t>INTRODUCER, SHEATH, MICRO, 5 FR, PERCUTANEOUS, KIT, STERILE, LATEX</t>
  </si>
  <si>
    <t>INTRODUCER, SHTH, MIC, 5 FR, PERC, KT, STRL, LTX</t>
  </si>
  <si>
    <t>https://accessgudid.nlm.nih.gov/devices/00886333215003</t>
  </si>
  <si>
    <t>497811</t>
  </si>
  <si>
    <t>ARGON_497811</t>
  </si>
  <si>
    <t>PRODIGO1073097</t>
  </si>
  <si>
    <t>INTRODUCER, SHEATH, MICRO, 4 FR, PERCUTANEOUS, KIT, STERILE, LATEX, 497811</t>
  </si>
  <si>
    <t>INTRODUCER, SHTH, MIC, 4 FR, PERC, KT, STRL, LTX, 497811</t>
  </si>
  <si>
    <t>https://accessgudid.nlm.nih.gov/devices/00886333215010</t>
  </si>
  <si>
    <t>497812</t>
  </si>
  <si>
    <t>ARGON_497812</t>
  </si>
  <si>
    <t>PRODIGO1073098</t>
  </si>
  <si>
    <t>INTRODUCER, SHEATH, MICRO, 5 FR, PERCUTANEOUS, KIT, STERILE, LATEX, 497812</t>
  </si>
  <si>
    <t>INTRODUCER, SHTH, MIC, 5 FR, PERC, KT, STRL, LTX, 497812</t>
  </si>
  <si>
    <t>https://accessgudid.nlm.nih.gov/devices/00886333215027</t>
  </si>
  <si>
    <t>497813</t>
  </si>
  <si>
    <t>ARGON_497813</t>
  </si>
  <si>
    <t>PRODIGO1073099</t>
  </si>
  <si>
    <t>INTRODUCER, SHEATH, MICRO, 4 FR, PERCUTANEOUS, KIT, STERILE, LATEX, 497813</t>
  </si>
  <si>
    <t>INTRODUCER, SHTH, MIC, 4 FR, PERC, KT, STRL, LTX, 497813</t>
  </si>
  <si>
    <t>https://accessgudid.nlm.nih.gov/devices/00886333215034</t>
  </si>
  <si>
    <t>497817</t>
  </si>
  <si>
    <t>ARGON_497817</t>
  </si>
  <si>
    <t>PRODIGO1073100</t>
  </si>
  <si>
    <t>INTRODUCER, SHEATH, MICRO, 5 FR, PERCUTANEOUS, KIT, STERILE, LATEX, 497817</t>
  </si>
  <si>
    <t>INTRODUCER, SHTH, MIC, 5 FR, PERC, KT, STRL, LTX, 497817</t>
  </si>
  <si>
    <t>https://accessgudid.nlm.nih.gov/devices/00886333215065</t>
  </si>
  <si>
    <t>497820</t>
  </si>
  <si>
    <t>ARGON_497820</t>
  </si>
  <si>
    <t>Onestic Micro-Access Introducer 4FR</t>
  </si>
  <si>
    <t>PRODIGO1073101</t>
  </si>
  <si>
    <t>OneStic Micro-Introducer 4F</t>
  </si>
  <si>
    <t>OneStic Micro-Introducer</t>
  </si>
  <si>
    <t>OneStic Micro-Access Introducer Kits Stainless Steel Mandrel Wires</t>
  </si>
  <si>
    <t>INTRODUCER, SHEATH, MICRO ACCESS, 4 FR, KIT, STAINLESS STEEL MANDREL WIRE, STERILE, ONESTIC, LATEX</t>
  </si>
  <si>
    <t>INTRODUCER, SHTH, MIC ACCS, 4 FR, KT, SS MANDREL WIRE, STRL, ONESTIC, LTX</t>
  </si>
  <si>
    <t>INTRODUCER, SHTH, MIC ACCS, 4 FR, KT, SS MANDREL WIRE, ONESTIC</t>
  </si>
  <si>
    <t>MICRO ACCESS</t>
  </si>
  <si>
    <t>KIT, STAINLESS STEEL MANDREL WIRE</t>
  </si>
  <si>
    <t>ONESTIC</t>
  </si>
  <si>
    <t>https://www.argonmedical.com/?s=497820&amp;lang=en, https://accessgudid.nlm.nih.gov/devices/00886333223831</t>
  </si>
  <si>
    <t>497821</t>
  </si>
  <si>
    <t>ARGON_497821</t>
  </si>
  <si>
    <t>PRODIGO1073102</t>
  </si>
  <si>
    <t>OneStic Micro-Access Introducer 4F</t>
  </si>
  <si>
    <t>OneStic Micro-Access Introducer</t>
  </si>
  <si>
    <t>OneStic Micro-Access Introducer Kits Nitinol Wires with Palladium Tip</t>
  </si>
  <si>
    <t>INTRODUCER, SHEATH, MICRO ACCESS, 4 FR, KIT, NITINOL WIRE WITH PALLADIUM TIP, STERILE, ONESTIC, LATEX</t>
  </si>
  <si>
    <t>INTRODUCER, SHTH, MIC ACCS, 4 FR, KT, NIT WIRE W/ PD TIP, STRL, ONESTIC, LTX</t>
  </si>
  <si>
    <t>INTRODUCER, SHTH, MIC ACCS, 4 FR, KT, NIT WIRE W/ PD TIP, ONESTIC</t>
  </si>
  <si>
    <t>KIT, NITINOL WIRE WITH PALLADIUM TIP</t>
  </si>
  <si>
    <t>https://www.argonmedical.com/?s=497821&amp;lang=en, https://accessgudid.nlm.nih.gov/devices/00886333223756</t>
  </si>
  <si>
    <t>497830</t>
  </si>
  <si>
    <t>ARGON_497830</t>
  </si>
  <si>
    <t>Onestic Micro-Access Introducer 5FR</t>
  </si>
  <si>
    <t>PRODIGO1073103</t>
  </si>
  <si>
    <t>OneStic Micro-Access Introducer 5F</t>
  </si>
  <si>
    <t>INTRODUCER, SHEATH, MICRO ACCESS, 5 FR, KIT, STAINLESS STEEL MANDREL WIRE, STERILE, ONESTIC, LATEX</t>
  </si>
  <si>
    <t>INTRODUCER, SHTH, MIC ACCS, 5 FR, KT, SS MANDREL WIRE, STRL, ONESTIC, LTX</t>
  </si>
  <si>
    <t>INTRODUCER, SHTH, MIC ACCS, 5 FR, KT, SS MANDREL WIRE, ONESTIC</t>
  </si>
  <si>
    <t>https://www.argonmedical.com/?s=497830&amp;lang=en, https://accessgudid.nlm.nih.gov/devices/00886333223893</t>
  </si>
  <si>
    <t>497831</t>
  </si>
  <si>
    <t>ARGON_497831</t>
  </si>
  <si>
    <t>PRODIGO1073104</t>
  </si>
  <si>
    <t>INTRODUCER, SHEATH, MICRO ACCESS, 5 FR, KIT, NITINOL WIRE WITH PALLADIUM TIP, STERILE, ONESTIC, LATEX</t>
  </si>
  <si>
    <t>INTRODUCER, SHTH, MIC ACCS, 5 FR, KT, NIT WIRE W/ PD TIP, STRL, ONESTIC, LTX</t>
  </si>
  <si>
    <t>INTRODUCER, SHTH, MIC ACCS, 5 FR, KT, NIT WIRE W/ PD TIP, ONESTIC</t>
  </si>
  <si>
    <t>https://www.argonmedical.com/?s=497831&amp;lang=en, https://accessgudid.nlm.nih.gov/devices/00886333223688</t>
  </si>
  <si>
    <t>497840</t>
  </si>
  <si>
    <t>ARGON_497840</t>
  </si>
  <si>
    <t>Onestic Micro-Access Introducer 6FR</t>
  </si>
  <si>
    <t>PRODIGO1073105</t>
  </si>
  <si>
    <t>OneStic Micro-Access Introducer 6F</t>
  </si>
  <si>
    <t>INTRODUCER, SHEATH, MICRO ACCESS, 6 FR, KIT, STAINLESS STEEL MANDREL WIRE, STERILE, ONESTIC, LATEX</t>
  </si>
  <si>
    <t>INTRODUCER, SHTH, MIC ACCS, 6 FR, KT, SS MANDREL WIRE, STRL, ONESTIC, LTX</t>
  </si>
  <si>
    <t>INTRODUCER, SHTH, MIC ACCS, 6 FR, KT, SS MANDREL WIRE, ONESTIC</t>
  </si>
  <si>
    <t>https://www.argonmedical.com/?s=497840&amp;lang=en, https://accessgudid.nlm.nih.gov/devices/00886333223886</t>
  </si>
  <si>
    <t>497841</t>
  </si>
  <si>
    <t>ARGON_497841</t>
  </si>
  <si>
    <t>PRODIGO1073106</t>
  </si>
  <si>
    <t>INTRODUCER, SHEATH, MICRO ACCESS, 6 FR, KIT, NITINOL WIRE WITH PALLADIUM TIP, STERILE, ONESTIC, LATEX</t>
  </si>
  <si>
    <t>INTRODUCER, SHTH, MIC ACCS, 6 FR, KT, NIT WIRE W/ PD TIP, STRL, ONESTIC, LTX</t>
  </si>
  <si>
    <t>INTRODUCER, SHTH, MIC ACCS, 6 FR, KT, NIT WIRE W/ PD TIP, ONESTIC</t>
  </si>
  <si>
    <t>https://www.argonmedical.com/?s=497841&amp;lang=en, https://accessgudid.nlm.nih.gov/devices/00886333223749</t>
  </si>
  <si>
    <t>497844</t>
  </si>
  <si>
    <t>ARGON_497844</t>
  </si>
  <si>
    <t>PRODIGO1073107</t>
  </si>
  <si>
    <t>6F OneStic Micro-Access Introducer</t>
  </si>
  <si>
    <t>INTRODUCER, SHEATH, MICRO ACCESS, 6 FR, KIT, NITINOL WIRE WITH PALLADIUM TIP, STERILE, ONESTIC, LATEX, 497844</t>
  </si>
  <si>
    <t>INTRODUCER, SHTH, MIC ACCS, 6 FR, KT, NIT WIRE, ONESTIC, 497844</t>
  </si>
  <si>
    <t>https://www.argonmedical.com/?s=497844&amp;lang=en, https://accessgudid.nlm.nih.gov/devices/00886333223930</t>
  </si>
  <si>
    <t>497846</t>
  </si>
  <si>
    <t>ARGON_497846</t>
  </si>
  <si>
    <t>Onestic Micro-Access Introducer 7FR</t>
  </si>
  <si>
    <t>PRODIGO1073108</t>
  </si>
  <si>
    <t>7F OneStic Micro-Access Introducer</t>
  </si>
  <si>
    <t>INTRODUCER, SHEATH, MICRO ACCESS, 7 FR, KIT, STERILE, ONESTIC, LATEX</t>
  </si>
  <si>
    <t>INTRODUCER, SHTH, MIC ACCS, 7 FR, KT, STRL, ONESTIC, LTX</t>
  </si>
  <si>
    <t>https://accessgudid.nlm.nih.gov/devices/00886333223947, https://accessgudid.nlm.nih.gov/devices/00886333223947</t>
  </si>
  <si>
    <t>497850</t>
  </si>
  <si>
    <t>ARGON_497850</t>
  </si>
  <si>
    <t>PRODIGO1073109</t>
  </si>
  <si>
    <t>One Step Micro-Introducer System 6F</t>
  </si>
  <si>
    <t>INTRODUCER, SHEATH, MICRO ACCESS, 6 FR, KIT, STERILE, ONESTIC, LATEX</t>
  </si>
  <si>
    <t>INTRODUCER, SHTH, MIC ACCS, 6 FR, KT, STRL, ONESTIC, LTX</t>
  </si>
  <si>
    <t>https://accessgudid.nlm.nih.gov/devices/00886333215195, https://accessgudid.nlm.nih.gov/devices/00886333223770</t>
  </si>
  <si>
    <t>497852</t>
  </si>
  <si>
    <t>ARGON_497852</t>
  </si>
  <si>
    <t>Onestic Micro-Access Introducer 8FR</t>
  </si>
  <si>
    <t>PRODIGO1073110</t>
  </si>
  <si>
    <t>OneStic Micro-Access Introducer 8F</t>
  </si>
  <si>
    <t xml:space="preserve"> OneStic Micro-Access Introducer Kits Stainless Steel Mandrel Wires</t>
  </si>
  <si>
    <t>INTRODUCER, SHEATH, MICRO ACCESS, 8 FR, KIT, STAINLESS STEEL MANDREL WIRE, STERILE, ONESTIC, LATEX</t>
  </si>
  <si>
    <t>INTRODUCER, SHTH, MIC ACCS, 8 FR, KT, SS MANDREL WIRE, STRL, ONESTIC, LTX</t>
  </si>
  <si>
    <t>INTRODUCER, SHTH, MIC ACCS, 8 FR, KT, SS MANDREL WIRE, ONESTIC</t>
  </si>
  <si>
    <t>https://www.argonmedical.com/?s=497852&amp;lang=en, https://accessgudid.nlm.nih.gov/devices/00886333223695</t>
  </si>
  <si>
    <t>497853</t>
  </si>
  <si>
    <t>ARGON_497853</t>
  </si>
  <si>
    <t>PRODIGO1073111</t>
  </si>
  <si>
    <t>INTRODUCER, SHEATH, MICRO ACCESS, 6 FR, KIT, STAINLESS STEEL MANDREL WIRE, STERILE, ONESTIC, LATEX, 497853</t>
  </si>
  <si>
    <t>INTRODUCER, SHTH, MIC ACCS, 6 FR, SS MANDREL WIRE, ONESTIC, 497853</t>
  </si>
  <si>
    <t>https://www.argonmedical.com/?s=497852&amp;lang=en, https://accessgudid.nlm.nih.gov/devices/00886333223879</t>
  </si>
  <si>
    <t>497854</t>
  </si>
  <si>
    <t>ARGON_497854</t>
  </si>
  <si>
    <t>PRODIGO1073112</t>
  </si>
  <si>
    <t>INTRODUCER, SHEATH, MICRO ACCESS, 6 FR, KIT, STAINLESS STEEL MANDREL WIRE, STERILE, ONESTIC, LATEX, 497854</t>
  </si>
  <si>
    <t>INTRODUCER, SHTH, MIC ACCS, 6 FR, SS MANDREL WIRE, ONESTIC, 497854</t>
  </si>
  <si>
    <t>https://www.argonmedical.com/?s=497854&amp;lang=en, https://accessgudid.nlm.nih.gov/devices/00886333223732</t>
  </si>
  <si>
    <t>497857</t>
  </si>
  <si>
    <t>ARGON_497857</t>
  </si>
  <si>
    <t>PRODIGO1073113</t>
  </si>
  <si>
    <t>OneStic Micro-Access Introducer Kits Echogenic Needles</t>
  </si>
  <si>
    <t>INTRODUCER, SHEATH, MICRO ACCESS, 4 FR, KIT, ECHOGENIC NEEDLE, STERILE, ONESTIC, LATEX</t>
  </si>
  <si>
    <t>INTRODUCER, SHTH, MIC ACCS, 4 FR, KT, ECHOGENIC NDL, STRL, ONESTIC, LTX</t>
  </si>
  <si>
    <t>INTRODUCER, SHTH, MIC ACCS, 4 FR, KT, ECHOGENIC NDL, ONESTIC</t>
  </si>
  <si>
    <t>KIT, ECHOGENIC NEEDLE</t>
  </si>
  <si>
    <t>https://www.argonmedical.com/?s=497857&amp;lang=en, https://accessgudid.nlm.nih.gov/devices/00886333223718</t>
  </si>
  <si>
    <t>497860</t>
  </si>
  <si>
    <t>ARGON_497860</t>
  </si>
  <si>
    <t>PRODIGO1073114</t>
  </si>
  <si>
    <t>OneStic Micro-Access Introducer 7F</t>
  </si>
  <si>
    <t>INTRODUCER, SHEATH, MICRO ACCESS, 7 FR, KIT, ECHOGENIC NEEDLE, STERILE, ONESTIC, LATEX</t>
  </si>
  <si>
    <t>INTRODUCER, SHTH, MIC ACCS, 7 FR, KT, ECHOGENIC NDL, STRL, ONESTIC, LTX</t>
  </si>
  <si>
    <t>INTRODUCER, SHTH, MIC ACCS, 7 FR, KT, ECHOGENIC NDL, ONESTIC</t>
  </si>
  <si>
    <t>https://www.argonmedical.com/?s=497860&amp;lang=en, https://accessgudid.nlm.nih.gov/devices/00886333223701</t>
  </si>
  <si>
    <t>497861</t>
  </si>
  <si>
    <t>ARGON_497861</t>
  </si>
  <si>
    <t>PRODIGO1073115</t>
  </si>
  <si>
    <t>INTRODUCER, SHEATH, MICRO ACCESS, 7 FR, KIT, STAINLESS STEEL MANDREL WIRE, STERILE, ONESTIC, LATEX</t>
  </si>
  <si>
    <t>INTRODUCER, SHTH, MIC ACCS, 7 FR, KT, SS MANDREL WIRE, STRL, ONESTIC, LTX</t>
  </si>
  <si>
    <t>INTRODUCER, SHTH, MIC ACCS, 7 FR, KT, SS MANDREL WIRE, ONESTIC</t>
  </si>
  <si>
    <t>https://www.argonmedical.com/?s=497861&amp;lang=en, https://accessgudid.nlm.nih.gov/devices/00886333223848</t>
  </si>
  <si>
    <t>497862</t>
  </si>
  <si>
    <t>ARGON_497862</t>
  </si>
  <si>
    <t>PRODIGO1073116</t>
  </si>
  <si>
    <t>INTRODUCER, SHEATH, MICRO ACCESS, 8 FR, KIT, STAINLESS STEEL MANDREL WIRE, STERILE, ONESTIC, LATEX, 497862</t>
  </si>
  <si>
    <t>INTRODUCER, SHTH, MIC ACCS, 8 FR, SS MANDREL WIRE, ONESTIC, 497862</t>
  </si>
  <si>
    <t>https://www.argonmedical.com/?s=497862&amp;lang=en, https://accessgudid.nlm.nih.gov/devices/00886333223794</t>
  </si>
  <si>
    <t>497863</t>
  </si>
  <si>
    <t>ARGON_497863</t>
  </si>
  <si>
    <t>PRODIGO1073117</t>
  </si>
  <si>
    <t>INTRODUCER, SHEATH, MICRO ACCESS, 7 FR, KIT, STAINLESS STEEL MANDREL WIRE, STERILE, ONESTIC, LATEX, 497863</t>
  </si>
  <si>
    <t>INTRODUCER, SHTH, MIC ACCS, 7 FR, SS MANDREL WIRE, ONESTIC, 497863</t>
  </si>
  <si>
    <t>https://www.argonmedical.com/?s=497863&amp;lang=en, https://accessgudid.nlm.nih.gov/devices/00886333223824</t>
  </si>
  <si>
    <t>497864</t>
  </si>
  <si>
    <t>ARGON_497864</t>
  </si>
  <si>
    <t>PRODIGO1073118</t>
  </si>
  <si>
    <t>INTRODUCER, SHEATH, MICRO ACCESS, 6 FR, KIT, NITINOL WIRE WITH PALLADIUM TIP, STERILE, ONESTIC, LATEX, 497864</t>
  </si>
  <si>
    <t>INTRODUCER, SHTH, MIC ACCS, 6 FR, KT, NIT WIRE, ONESTIC, 497864</t>
  </si>
  <si>
    <t>https://www.argonmedical.com/?s=497864&amp;lang=en, https://accessgudid.nlm.nih.gov/devices/00886333223954</t>
  </si>
  <si>
    <t>497865</t>
  </si>
  <si>
    <t>ARGON_497865</t>
  </si>
  <si>
    <t>PRODIGO1073119</t>
  </si>
  <si>
    <t>INTRODUCER, SHEATH, MICRO ACCESS, 5 FR, KIT, NITINOL WIRE WITH PALLADIUM TIP, STERILE, ONESTIC, LATEX, 497865</t>
  </si>
  <si>
    <t>INTRODUCER, SHTH, MIC ACCS, 5 FR, KT, NIT WIRE, ONESTIC, 497865</t>
  </si>
  <si>
    <t>https://www.argonmedical.com/?s=497865&amp;lang=en, https://accessgudid.nlm.nih.gov/devices/00886333223763</t>
  </si>
  <si>
    <t>497866</t>
  </si>
  <si>
    <t>ARGON_497866</t>
  </si>
  <si>
    <t>PRODIGO1073120</t>
  </si>
  <si>
    <t>INTRODUCER, SHEATH, MICRO ACCESS, 6 FR, KIT, STERILE, ONESTIC, LATEX, 497866</t>
  </si>
  <si>
    <t>INTRODUCER, SHTH, MIC ACCS, 6 FR, KT, STRL, ONESTIC, LTX, 497866</t>
  </si>
  <si>
    <t>https://accessgudid.nlm.nih.gov/devices/00886333215355, https://accessgudid.nlm.nih.gov/devices/00886333223725</t>
  </si>
  <si>
    <t>497867</t>
  </si>
  <si>
    <t>ARGON_497867</t>
  </si>
  <si>
    <t>PRODIGO1073121</t>
  </si>
  <si>
    <t>INTRODUCER, SHEATH, MICRO ACCESS, 7 FR, KIT, NITINOL WIRE WITH PALLADIUM TIP, STERILE, ONESTIC, LATEX</t>
  </si>
  <si>
    <t>INTRODUCER, SHTH, MIC ACCS, 7 FR, KT, NIT WIRE W/ PD TIP, STRL, ONESTIC, LTX</t>
  </si>
  <si>
    <t>INTRODUCER, SHTH, MIC ACCS, 7 FR, KT, NIT WIRE W/ PD TIP, ONESTIC</t>
  </si>
  <si>
    <t>https://www.argonmedical.com/?s=497867&amp;lang=en, https://accessgudid.nlm.nih.gov/devices/00886333223855</t>
  </si>
  <si>
    <t>497868</t>
  </si>
  <si>
    <t>ARGON_497868</t>
  </si>
  <si>
    <t>PRODIGO1073122</t>
  </si>
  <si>
    <t>4F OneStic Micro-Access Introducer</t>
  </si>
  <si>
    <t>INTRODUCER, SHEATH, MICRO ACCESS, 4 FR, KIT, NITINOL WIRE WITH PALLADIUM TIP, STERILE, ONESTIC, LATEX, 497868</t>
  </si>
  <si>
    <t>INTRODUCER, SHTH, MIC ACCS, 4 FR, KT, NIT WIRE, ONESTIC, 497868</t>
  </si>
  <si>
    <t>https://www.argonmedical.com/?s=497868&amp;lang=en, https://accessgudid.nlm.nih.gov/devices/00886333223961</t>
  </si>
  <si>
    <t>497907</t>
  </si>
  <si>
    <t>ARGON_497907</t>
  </si>
  <si>
    <t>Safety Tpe Tray</t>
  </si>
  <si>
    <t>PRODIGO1073123</t>
  </si>
  <si>
    <t>Safety TPE Tray</t>
  </si>
  <si>
    <t>42221509  Intravenous or arterial catheter trays</t>
  </si>
  <si>
    <t>CATHETERIZATION TRAY, SAFETY, TPE, STERILE, LATEX</t>
  </si>
  <si>
    <t>CATHETERIZATION TRAY, SAFETY, TPE, STRL, LTX</t>
  </si>
  <si>
    <t>CATHETERIZATION TRAY</t>
  </si>
  <si>
    <t>SAFETY</t>
  </si>
  <si>
    <t>TPE</t>
  </si>
  <si>
    <t>https://accessgudid.nlm.nih.gov/devices/00886333215508</t>
  </si>
  <si>
    <t>498105</t>
  </si>
  <si>
    <t>ARGON_498105</t>
  </si>
  <si>
    <t>Arterial Catheter Mini-Kit 18GA X 6</t>
  </si>
  <si>
    <t>PRODIGO1073124</t>
  </si>
  <si>
    <t>"Arterial Catheter Mini-Kit 18ga x 6"""</t>
  </si>
  <si>
    <t>Arterial Catheter Mini-Kit</t>
  </si>
  <si>
    <t>42221501  Arterial line catheters</t>
  </si>
  <si>
    <t>Arterial Catheter Mini-Kits</t>
  </si>
  <si>
    <t>CATHETER, ARTERIAL, MINI, 18 GAX6 IN, KIT, STERILE, LATEX</t>
  </si>
  <si>
    <t>CATHETER, ART, MINI, 18 GAX6 IN, KT, STRL, LTX</t>
  </si>
  <si>
    <t>18 GAX6 IN</t>
  </si>
  <si>
    <t>https://www.argonmedical.com/?s=498105&amp;lang=en, https://accessgudid.nlm.nih.gov/devices/00886333215560</t>
  </si>
  <si>
    <t>498107</t>
  </si>
  <si>
    <t>ARGON_498107</t>
  </si>
  <si>
    <t>Arterial Catheter Mini-Kit 20GA X 3</t>
  </si>
  <si>
    <t>PRODIGO1073125</t>
  </si>
  <si>
    <t>"Arterial Catheter Mini-Kit 20ga x 3"""</t>
  </si>
  <si>
    <t>ARTERIAL CATHETER MINI-KITS 20 G 3 IN 7.6 CM .021 IN 25 CM 21 G 1 IN 2.5 CM 10</t>
  </si>
  <si>
    <t>CATHETER, ARTERIAL, MINI, 20 GAX3 IN, KIT, STERILE, LATEX</t>
  </si>
  <si>
    <t>CATHETER, ART, MINI, 20 GAX3 IN, KT, STRL, LTX</t>
  </si>
  <si>
    <t>20 GAX3 IN</t>
  </si>
  <si>
    <t>https://www.argonmedical.com/products/arterial-catheter-mini-kits, https://accessgudid.nlm.nih.gov/devices/00886333215584</t>
  </si>
  <si>
    <t>498111</t>
  </si>
  <si>
    <t>ARGON_498111</t>
  </si>
  <si>
    <t>Arterial Catheter Mini-Kit 18GA X 3</t>
  </si>
  <si>
    <t>PRODIGO1073126</t>
  </si>
  <si>
    <t>"Arterial Catheter Mini-Kit 18ga x 3"""</t>
  </si>
  <si>
    <t>Arterial Catheter Mini-Kit 18ga x 3IN</t>
  </si>
  <si>
    <t>CATHETER, ARTERIAL, MINI, 18 GAX3 IN, KIT, STERILE, LATEX</t>
  </si>
  <si>
    <t>CATHETER, ART, MINI, 18 GAX3 IN, KT, STRL, LTX</t>
  </si>
  <si>
    <t>18 GAX3 IN</t>
  </si>
  <si>
    <t>https://accessgudid.nlm.nih.gov/devices/00886333215607</t>
  </si>
  <si>
    <t>498112</t>
  </si>
  <si>
    <t>ARGON_498112</t>
  </si>
  <si>
    <t>Arterial Line Kit 18GA X 6</t>
  </si>
  <si>
    <t>PRODIGO1073127</t>
  </si>
  <si>
    <t>"Arterial Line Kit 18ga x 6"""</t>
  </si>
  <si>
    <t>Arterial Line Kit</t>
  </si>
  <si>
    <t>Arterial Line Kit 18ga x 6IN</t>
  </si>
  <si>
    <t>CATHETERIZATION KIT, 18 GAX6 IN, ARTERIAL LINE, STERILE, LATEX</t>
  </si>
  <si>
    <t>CATHETERIZATION KIT, 18 GAX6 IN, ART LN, STRL, LTX</t>
  </si>
  <si>
    <t>CATHETERIZATION KIT</t>
  </si>
  <si>
    <t>ARTERIAL LINE</t>
  </si>
  <si>
    <t>https://accessgudid.nlm.nih.gov/devices/00886333215614</t>
  </si>
  <si>
    <t>498405</t>
  </si>
  <si>
    <t>ARGON_498405</t>
  </si>
  <si>
    <t>PRODIGO1073128</t>
  </si>
  <si>
    <t>"Argon Arterial Line Kit 18ga x 6"""</t>
  </si>
  <si>
    <t>Argon Arterial Line Kit</t>
  </si>
  <si>
    <t>Argon Arterial Line Kit 18ga x 6IN</t>
  </si>
  <si>
    <t>CATHETERIZATION KIT, 18 GAX6 IN, ARTERIAL LINE, STERILE, LATEX, 498405</t>
  </si>
  <si>
    <t>CATHETERIZATION KIT, 18 GAX6 IN, ART LN, STRL, LTX, 498405</t>
  </si>
  <si>
    <t>https://accessgudid.nlm.nih.gov/devices/00886333215621</t>
  </si>
  <si>
    <t>498411B</t>
  </si>
  <si>
    <t>ARGON_498411B</t>
  </si>
  <si>
    <t>Arterial Line Kit 20GA X 3</t>
  </si>
  <si>
    <t>PRODIGO1073130</t>
  </si>
  <si>
    <t>"Arterial Line Kit 20ga x 3"""</t>
  </si>
  <si>
    <t>Arterial Catheter Trays</t>
  </si>
  <si>
    <t>CATHETERIZATION TRAY, 20 GAX3 IN, ARTERIAL LINE, STERILE, LATEX</t>
  </si>
  <si>
    <t>CATHETERIZATION TRAY, 20 GAX3 IN, ART LN, STRL, LTX</t>
  </si>
  <si>
    <t>https://www.argonmedical.com/?s=498411B&amp;lang=en, https://accessgudid.nlm.nih.gov/devices/00886333215652</t>
  </si>
  <si>
    <t>498412B</t>
  </si>
  <si>
    <t>ARGON_498412B</t>
  </si>
  <si>
    <t>PRODIGO1073131</t>
  </si>
  <si>
    <t>CATHETERIZATION TRAY, 18 GAX6 IN, ARTERIAL LINE, STERILE, LATEX</t>
  </si>
  <si>
    <t>CATHETERIZATION TRAY, 18 GAX6 IN, ART LN, STRL, LTX</t>
  </si>
  <si>
    <t>https://www.argonmedical.com/?s=498412B&amp;lang=en, https://accessgudid.nlm.nih.gov/devices/00886333215669</t>
  </si>
  <si>
    <t>498413A</t>
  </si>
  <si>
    <t>ARGON_498413A</t>
  </si>
  <si>
    <t>Arterial Line Kit 18GA X 3</t>
  </si>
  <si>
    <t>PRODIGO1073132</t>
  </si>
  <si>
    <t>"Arterial Line Kit 18ga x 3"""</t>
  </si>
  <si>
    <t>Arterial Line Kit 18ga x 3IN</t>
  </si>
  <si>
    <t>CATHETERIZATION KIT, 18 GAX3 IN, ARTERIAL LINE, STERILE, LATEX</t>
  </si>
  <si>
    <t>CATHETERIZATION KIT, 18 GAX3 IN, ART LN, STRL, LTX</t>
  </si>
  <si>
    <t>https://accessgudid.nlm.nih.gov/devices/00886333215676</t>
  </si>
  <si>
    <t>498415C</t>
  </si>
  <si>
    <t>ARGON_498415C</t>
  </si>
  <si>
    <t>Arterial Line Pack</t>
  </si>
  <si>
    <t>PRODIGO1073133</t>
  </si>
  <si>
    <t>CATHETERIZATION PACK, ARTERIAL LINE, STERILE, LATEX</t>
  </si>
  <si>
    <t>CATHETERIZATION PACK, ART LN, STRL, LTX</t>
  </si>
  <si>
    <t>CATHETERIZATION PACK</t>
  </si>
  <si>
    <t>https://accessgudid.nlm.nih.gov/devices/00886333215683</t>
  </si>
  <si>
    <t>498439</t>
  </si>
  <si>
    <t>ARGON_498439</t>
  </si>
  <si>
    <t>PRODIGO1073134</t>
  </si>
  <si>
    <t>CATHETERIZATION KIT, 18 GAX6 IN, ARTERIAL LINE, STERILE, LATEX, 498439</t>
  </si>
  <si>
    <t>CATHETERIZATION KIT, 18 GAX6 IN, ART LN, STRL, LTX, 498439</t>
  </si>
  <si>
    <t>https://accessgudid.nlm.nih.gov/devices/00886333215737</t>
  </si>
  <si>
    <t>498440</t>
  </si>
  <si>
    <t>ARGON_498440</t>
  </si>
  <si>
    <t>PRODIGO1073135</t>
  </si>
  <si>
    <t>CATHETERIZATION KIT, 18 GAX6 IN, ARTERIAL LINE, STERILE, LATEX, 498440</t>
  </si>
  <si>
    <t>CATHETERIZATION KIT, 18 GAX6 IN, ART LN, STRL, LTX, 498440</t>
  </si>
  <si>
    <t>https://accessgudid.nlm.nih.gov/devices/00886333215744</t>
  </si>
  <si>
    <t>498443</t>
  </si>
  <si>
    <t>ARGON_498443</t>
  </si>
  <si>
    <t>PRODIGO1073136</t>
  </si>
  <si>
    <t>CATHETERIZATION KIT, 18 GAX6 IN, ARTERIAL LINE, STERILE, LATEX, 498443</t>
  </si>
  <si>
    <t>CATHETERIZATION KIT, 18 GAX6 IN, ART LN, STRL, LTX, 498443</t>
  </si>
  <si>
    <t>https://accessgudid.nlm.nih.gov/devices/00886333215751</t>
  </si>
  <si>
    <t>498500</t>
  </si>
  <si>
    <t>ARGON_498500</t>
  </si>
  <si>
    <t>Arterial Line Kit 20GA X 6</t>
  </si>
  <si>
    <t>PRODIGO1073137</t>
  </si>
  <si>
    <t>"Arterial Line Kit 20ga x 6"""</t>
  </si>
  <si>
    <t>Arterial Line Kit 20ga x 6IN</t>
  </si>
  <si>
    <t>CATHETERIZATION KIT, 20 GAX6 IN, ARTERIAL LINE, STERILE, LATEX</t>
  </si>
  <si>
    <t>CATHETERIZATION KIT, 20 GAX6 IN, ART LN, STRL, LTX</t>
  </si>
  <si>
    <t>20 GAX6 IN</t>
  </si>
  <si>
    <t>https://accessgudid.nlm.nih.gov/devices/00886333215775</t>
  </si>
  <si>
    <t>498506</t>
  </si>
  <si>
    <t>ARGON_498506</t>
  </si>
  <si>
    <t>PRODIGO1073138</t>
  </si>
  <si>
    <t>Arterial Line Kit 20ga x 3IN</t>
  </si>
  <si>
    <t>CATHETERIZATION KIT, 20 GAX3 IN, ARTERIAL LINE, STERILE, LATEX</t>
  </si>
  <si>
    <t>CATHETERIZATION KIT, 20 GAX3 IN, ART LN, STRL, LTX</t>
  </si>
  <si>
    <t>https://accessgudid.nlm.nih.gov/devices/00886333215782</t>
  </si>
  <si>
    <t>500118200</t>
  </si>
  <si>
    <t>ARGON_500118200</t>
  </si>
  <si>
    <t>Prostate Stabilization Set 18GA X 20CM</t>
  </si>
  <si>
    <t>PRODIGO1073139</t>
  </si>
  <si>
    <t>Prostate Stabilization Set 18ga x 20cm</t>
  </si>
  <si>
    <t>Prostate Stabilization Set</t>
  </si>
  <si>
    <t>42202102  Brachytherapy catheters or syringes or inserters or applicators</t>
  </si>
  <si>
    <t>Prostate Stabilization Set 18 Gax20 Cm</t>
  </si>
  <si>
    <t>PROSTATE STABILIZATION SET, 18 GAX20 CM, STERILE, LATEX</t>
  </si>
  <si>
    <t>PROSTATE STABILIZATION SET, 18 GAX20 CM, STRL, LTX</t>
  </si>
  <si>
    <t>PROSTATE STABILIZATION SET</t>
  </si>
  <si>
    <t>18 GAX20 CM</t>
  </si>
  <si>
    <t>https://assets-global.website-files.com/609d867d872392abfec460b4/6144f7a4c075fa2e7a51bfd8_Argon%20Catalog_US-compressed.pdf, https://accessgudid.nlm.nih.gov/devices/00886333004393</t>
  </si>
  <si>
    <t>Nearest Commodity level</t>
  </si>
  <si>
    <t>500200</t>
  </si>
  <si>
    <t>ARGON_500200</t>
  </si>
  <si>
    <t>Universal Percutaneous Introducer Tray</t>
  </si>
  <si>
    <t>PRODIGO1073140</t>
  </si>
  <si>
    <t>Introducer Universal Percutaneous Tray</t>
  </si>
  <si>
    <t>INTRODUCER, SHEATH, UNIVERSAL, PERCUTANEOUS, TRAY, STERILE, LATEX</t>
  </si>
  <si>
    <t>INTRODUCER, SHTH, UNIV, PERC, TY, STRL, LTX</t>
  </si>
  <si>
    <t>UNIVERSAL</t>
  </si>
  <si>
    <t>https://assets-global.website-files.com/609d867d872392abfec460b4/6144f7a4c075fa2e7a51bfd8_Argon%20Catalog_US-compressed.pdf, https://accessgudid.nlm.nih.gov/devices/00886333215812</t>
  </si>
  <si>
    <t>500318200SX</t>
  </si>
  <si>
    <t>ARGON_500318200SX</t>
  </si>
  <si>
    <t>Prostate Seeding Set 18GA X 20CM</t>
  </si>
  <si>
    <t>PRODIGO1073141</t>
  </si>
  <si>
    <t>Prostate Seeding Set 18ga x 20cm</t>
  </si>
  <si>
    <t>Prostate Seeding Set</t>
  </si>
  <si>
    <t>Prostate Seeding Set 18 Gax20 Cm For Mick 200 Tp, 200 Tvp Applicator</t>
  </si>
  <si>
    <t>PROSTATE SEEDING SET, 18 GAX20 CM, FOR MICK 200 TP, 200 TVP APPLICATOR, STERILE, LATEX</t>
  </si>
  <si>
    <t>PROSTATE SEEDING SET, 18 GAX20 CM, FOR MICK 200 TP, 200 TVP APPL, STRL, LTX</t>
  </si>
  <si>
    <t>PROSTATE SEEDING SET, 18 GAX20 CM, FOR MICK 200 TP</t>
  </si>
  <si>
    <t>PROSTATE SEEDING SET</t>
  </si>
  <si>
    <t>FOR MICK 200 TP, 200 TVP APPLICATOR</t>
  </si>
  <si>
    <t>https://assets-global.website-files.com/609d867d872392abfec460b4/6144f7a4c075fa2e7a51bfd8_Argon%20Catalog_US-compressed.pdf, https://accessgudid.nlm.nih.gov/devices/00886333004416</t>
  </si>
  <si>
    <t>500518200X</t>
  </si>
  <si>
    <t>ARGON_500518200X</t>
  </si>
  <si>
    <t>Prostate Seeding Set 18GA Etw X 20CM</t>
  </si>
  <si>
    <t>PRODIGO1073142</t>
  </si>
  <si>
    <t>Prostate Seeding Set 18ga ETW x 20cm</t>
  </si>
  <si>
    <t>Prostate Seeding Set 18 Gax20 Cm Rigid Etw</t>
  </si>
  <si>
    <t>PROSTATE SEEDING SET, 18 GAX20 CM, RIGID ETW, STERILE, LATEX</t>
  </si>
  <si>
    <t>PROSTATE SEEDING SET, 18 GAX20 CM, RIGID ETW, STRL, LTX</t>
  </si>
  <si>
    <t>RIGID ETW</t>
  </si>
  <si>
    <t>https://assets-global.website-files.com/609d867d872392abfec460b4/6144f7a4c075fa2e7a51bfd8_Argon%20Catalog_US-compressed.pdf, https://accessgudid.nlm.nih.gov/devices/00886333004461</t>
  </si>
  <si>
    <t>501303</t>
  </si>
  <si>
    <t>ARGON_501303</t>
  </si>
  <si>
    <t>Ahd Luer Lock Cap</t>
  </si>
  <si>
    <t>PRODIGO1073143</t>
  </si>
  <si>
    <t>AHD Luer Lock Cap</t>
  </si>
  <si>
    <t>42142615  Syringe accessories</t>
  </si>
  <si>
    <t>CAP, SYRINGE, AHD LUER LOCK, STERILE, LATEX</t>
  </si>
  <si>
    <t>CAP, SYR, AHD LUER LCK, STRL, LTX</t>
  </si>
  <si>
    <t>CAP</t>
  </si>
  <si>
    <t>AHD LUER LOCK</t>
  </si>
  <si>
    <t>https://accessgudid.nlm.nih.gov/devices/00886333215874</t>
  </si>
  <si>
    <t>651006000</t>
  </si>
  <si>
    <t>ARGON_651006000</t>
  </si>
  <si>
    <t>Skater Introducer Set 6FR X 18CM</t>
  </si>
  <si>
    <t>PRODIGO1073144</t>
  </si>
  <si>
    <t>SkaterGäó Introducer Set 6F x 18cm</t>
  </si>
  <si>
    <t>SkaterGäó Introducer Set</t>
  </si>
  <si>
    <t>Skater Introducer Coaxial 0.018 In 6 Frx18 Cm Platinum Tip, With Stainless Steel Guidewire, System, Set</t>
  </si>
  <si>
    <t>INTRODUCER, SHEATH, COAXIAL, 0.018 IN, 6 FRX18 CM, PLATINUM TIP, WITH STAINLESS STEEL GUIDEWIRE, SYSTEM, SET, STERILE, SKATER, LATEX</t>
  </si>
  <si>
    <t>INTRODUCER, SHTH, COAX, 0.018 IN, 6 FRX18 CM, PLAT TIP, W/ STAINLESS STL GUIDEWIRE, SYS, SET, STRL, SKATER, LTX</t>
  </si>
  <si>
    <t>INTRODUCER, SHTH, COAX, 0.018 IN, 6 FRX18 CM, PLAT TIP, SKATER</t>
  </si>
  <si>
    <t>0.018 IN</t>
  </si>
  <si>
    <t>6 FRX18 CM</t>
  </si>
  <si>
    <t>PLATINUM TIP, WITH STAINLESS STEEL GUIDEWIRE, SYSTEM, SET</t>
  </si>
  <si>
    <t>SKATER</t>
  </si>
  <si>
    <t>https://assets-global.website-files.com/609d867d872392abfec460b4/6144f7a4c075fa2e7a51bfd8_Argon%20Catalog_US-compressed.pdf, https://accessgudid.nlm.nih.gov/devices/00886333223336</t>
  </si>
  <si>
    <t>651006300</t>
  </si>
  <si>
    <t>ARGON_651006300</t>
  </si>
  <si>
    <t>PRODIGO1073145</t>
  </si>
  <si>
    <t>Skater Introducer Coaxial 0.018 In 6 Frx18 Cm With Nitinol Guidewire, System, Set</t>
  </si>
  <si>
    <t>INTRODUCER, SHEATH, COAXIAL, 0.018 IN, 6 FRX18 CM, WITH NITINOL GUIDEWIRE, SYSTEM, SET, STERILE, SKATER, LATEX</t>
  </si>
  <si>
    <t>INTRODUCER, SHTH, COAX, 0.018 IN, 6 FRX18 CM, W/ NIT GUIDEWIRE, SYS, SET, STRL, SKATER, LTX</t>
  </si>
  <si>
    <t>INTRODUCER, SHTH, COAX, 0.018 IN, 6 FRX18 CM, SYS, SET, SKATER</t>
  </si>
  <si>
    <t>WITH NITINOL GUIDEWIRE, SYSTEM, SET</t>
  </si>
  <si>
    <t>https://assets-global.website-files.com/609d867d872392abfec460b4/6144f7a4c075fa2e7a51bfd8_Argon%20Catalog_US-compressed.pdf, https://accessgudid.nlm.nih.gov/devices/00886333223350</t>
  </si>
  <si>
    <t>651506000</t>
  </si>
  <si>
    <t>ARGON_651506000</t>
  </si>
  <si>
    <t>Skater Introducer Systems W/ Stainless Steel Guidewire 6FR X 18CM</t>
  </si>
  <si>
    <t>PRODIGO1073146</t>
  </si>
  <si>
    <t>SkaterGäó Introducer System</t>
  </si>
  <si>
    <t>Skater Introducer Coaxial 0.018 In 6 Frx18 Cm Radiopaque Tip, With Stainless Steel Guidewire, System, Set</t>
  </si>
  <si>
    <t>INTRODUCER, SHEATH, COAXIAL, 0.018 IN, 6 FRX18 CM, RADIOPAQUE TIP, WITH STAINLESS STEEL GUIDEWIRE, SYSTEM, SET, STERILE, SKATER, LATEX</t>
  </si>
  <si>
    <t>INTRODUCER, SHTH, COAX, 0.018 IN, 6 FRX18 CM, RADIOPAQUE TIP, W/ STAINLESS STL GUIDEWIRE, SYS, SET, STRL, SKATER, LTX</t>
  </si>
  <si>
    <t>INTRODUCER, SHTH, COAX, 0.018 IN, 6 FRX18 CM, SKATER</t>
  </si>
  <si>
    <t>RADIOPAQUE TIP, WITH STAINLESS STEEL GUIDEWIRE, SYSTEM, SET</t>
  </si>
  <si>
    <t>https://assets-global.website-files.com/609d867d872392abfec460b4/6144f7a4c075fa2e7a51bfd8_Argon%20Catalog_US-compressed.pdf, https://accessgudid.nlm.nih.gov/devices/00886333004522</t>
  </si>
  <si>
    <t>655506000</t>
  </si>
  <si>
    <t>ARGON_655506000</t>
  </si>
  <si>
    <t>PRODIGO1073147</t>
  </si>
  <si>
    <t>Skatergäó Introducer System</t>
  </si>
  <si>
    <t>INTRODUCER, SHEATH, COAXIAL, 0.018 IN, 6 FRX18 CM, WITH STAINLESS STEEL GUIDEWIRE, SYSTEM, SET, STERILE, SKATER, LATEX</t>
  </si>
  <si>
    <t>INTRODUCER, SHTH, COAX, 0.018 IN, 6 FRX18 CM, W/ STAINLESS STL GUIDEWIRE, SYS, SET, STRL, SKATER, LTX</t>
  </si>
  <si>
    <t>INTRODUCER, SHTH, COAX, 0.018 IN, 6 FRX18 CM, SYS, SKATER</t>
  </si>
  <si>
    <t>WITH STAINLESS STEEL GUIDEWIRE, SYSTEM, SET</t>
  </si>
  <si>
    <t>https://accessgudid.nlm.nih.gov/devices/00886333004539</t>
  </si>
  <si>
    <t>660007040</t>
  </si>
  <si>
    <t>ARGON_660007040</t>
  </si>
  <si>
    <t>HSG Catheter 7FR X 40CM</t>
  </si>
  <si>
    <t>PRODIGO1073149</t>
  </si>
  <si>
    <t>Hysterosalpingography (HSG) Catheter 7Fr x 40cm</t>
  </si>
  <si>
    <t>Hysterosalpingography (HSG) Catheter</t>
  </si>
  <si>
    <t>42294914  Endoscopic instrument sets</t>
  </si>
  <si>
    <t>7F 40cm 10. HSG Catheters (accepts .035″ guidewires)</t>
  </si>
  <si>
    <t>CATHETER, HYSTEROSALPINGOGRAPHY, 0.035 IN, 7 FRX40 CM, STERILE, LATEX</t>
  </si>
  <si>
    <t>CATHETER, HYSTEROSALPINGOGRAPHY, 0.035 IN, 7 FRX40 CM, STRL, LTX</t>
  </si>
  <si>
    <t>HYSTEROSALPINGOGRAPHY</t>
  </si>
  <si>
    <t>7 FRX40 CM</t>
  </si>
  <si>
    <t>https://www.argonmedical.com/product/hsg-catheters/, https://accessgudid.nlm.nih.gov/devices/00886333001170</t>
  </si>
  <si>
    <t>700304007</t>
  </si>
  <si>
    <t>ARGON_700304007</t>
  </si>
  <si>
    <t>Skater Centesis Catheter 4FR X 7CM</t>
  </si>
  <si>
    <t>PRODIGO1073150</t>
  </si>
  <si>
    <t>SkaterGäó Centesis Catheter 4F x 7cm</t>
  </si>
  <si>
    <t>SkaterGäó Centesis Catheter</t>
  </si>
  <si>
    <t>42295453  Surgical drains or drain sets</t>
  </si>
  <si>
    <t>C1729</t>
  </si>
  <si>
    <t>CATHETER, DRAINAGE</t>
  </si>
  <si>
    <t>SKATER Centesis &amp; Safety Centesis Catheters</t>
  </si>
  <si>
    <t>CATHETER, DRAINAGE, SAFETY, 4 FRX7 CM, STERILE, SKATER, LATEX</t>
  </si>
  <si>
    <t>CATHETER, DRAINAGE, SAFETY, 4 FRX7 CM, STRL, SKATER, LTX</t>
  </si>
  <si>
    <t>DRAINAGE</t>
  </si>
  <si>
    <t>4 FRX7 CM</t>
  </si>
  <si>
    <t>https://www.argonmedical.com/?s=700304007&amp;lang=enhttps://accessgudid.nlm.nih.gov/devices/00886333005765</t>
  </si>
  <si>
    <t>700304010</t>
  </si>
  <si>
    <t>ARGON_700304010</t>
  </si>
  <si>
    <t>Skater Centesis Catheter 4FR X 10CM</t>
  </si>
  <si>
    <t>PRODIGO1073151</t>
  </si>
  <si>
    <t>SkaterGäó Centesis Catheter 4Fr x 10cm</t>
  </si>
  <si>
    <t>CATHETER, DRAINAGE, SAFETY, 4 FRX10 CM, STERILE, SKATER, LATEX</t>
  </si>
  <si>
    <t>CATHETER, DRAINAGE, SAFETY, 4 FRX10 CM, STRL, SKATER, LTX</t>
  </si>
  <si>
    <t>4 FRX10 CM</t>
  </si>
  <si>
    <t>https://www.argonmedical.com/?s=700304010&amp;lang=enhttps://accessgudid.nlm.nih.gov/devices/00886333005772</t>
  </si>
  <si>
    <t>700304015</t>
  </si>
  <si>
    <t>ARGON_700304015</t>
  </si>
  <si>
    <t>Skater Centesis Catheter 4FR X 15CM</t>
  </si>
  <si>
    <t>PRODIGO1073152</t>
  </si>
  <si>
    <t>SkaterGäó Centesis Catheter 4Fr x 15cm</t>
  </si>
  <si>
    <t>CATHETER, DRAINAGE, SAFETY, 4 FRX15 CM, STERILE, SKATER, LATEX</t>
  </si>
  <si>
    <t>CATHETER, DRAINAGE, SAFETY, 4 FRX15 CM, STRL, SKATER, LTX</t>
  </si>
  <si>
    <t>4 FRX15 CM</t>
  </si>
  <si>
    <t>https://www.argonmedical.com/?s=700304015&amp;lang=enhttps://accessgudid.nlm.nih.gov/devices/00886333005789</t>
  </si>
  <si>
    <t>700305007</t>
  </si>
  <si>
    <t>ARGON_700305007</t>
  </si>
  <si>
    <t>Skater Centesis Catheter 5FR X 7CM</t>
  </si>
  <si>
    <t>PRODIGO1073153</t>
  </si>
  <si>
    <t>SkaterGäó Centesis Catheter 5F x 7cm</t>
  </si>
  <si>
    <t>CATHETER, DRAINAGE, SAFETY, 5 FRX7 CM, STERILE, SKATER, LATEX</t>
  </si>
  <si>
    <t>CATHETER, DRAINAGE, SAFETY, 5 FRX7 CM, STRL, SKATER, LTX</t>
  </si>
  <si>
    <t>5 FRX7 CM</t>
  </si>
  <si>
    <t>https://www.argonmedical.com/?s=700305007&amp;lang=enhttps://accessgudid.nlm.nih.gov/devices/00886333005796</t>
  </si>
  <si>
    <t>700305010</t>
  </si>
  <si>
    <t>ARGON_700305010</t>
  </si>
  <si>
    <t>Skater Centesis Catheter 5FR X 10CM</t>
  </si>
  <si>
    <t>PRODIGO1073154</t>
  </si>
  <si>
    <t>SkaterGäó Centesis Catheter 5Fr x 10cm</t>
  </si>
  <si>
    <t>CATHETER, DRAINAGE, SAFETY, 5 FRX10 CM, STERILE, SKATER, LATEX</t>
  </si>
  <si>
    <t>CATHETER, DRAINAGE, SAFETY, 5 FRX10 CM, STRL, SKATER, LTX</t>
  </si>
  <si>
    <t>5 FRX10 CM</t>
  </si>
  <si>
    <t>https://www.argonmedical.com/?s=700305010&amp;lang=enhttps://accessgudid.nlm.nih.gov/devices/00886333005802</t>
  </si>
  <si>
    <t>700305015</t>
  </si>
  <si>
    <t>ARGON_700305015</t>
  </si>
  <si>
    <t>Skater Centesis Catheter 5FR X 15CM</t>
  </si>
  <si>
    <t>PRODIGO1073155</t>
  </si>
  <si>
    <t>SkaterGäó Centesis Catheter 5F x 15cm</t>
  </si>
  <si>
    <t>CATHETER, DRAINAGE, SAFETY, 5 FRX15 CM, STERILE, SKATER, LATEX</t>
  </si>
  <si>
    <t>CATHETER, DRAINAGE, SAFETY, 5 FRX15 CM, STRL, SKATER, LTX</t>
  </si>
  <si>
    <t>5 FRX15 CM</t>
  </si>
  <si>
    <t>https://www.argonmedical.com/?s=700305015&amp;lang=enhttps://accessgudid.nlm.nih.gov/devices/00886333005758</t>
  </si>
  <si>
    <t>700305020</t>
  </si>
  <si>
    <t>ARGON_700305020</t>
  </si>
  <si>
    <t>Skater Centesis Catheter 5FR X 20CM</t>
  </si>
  <si>
    <t>PRODIGO1073156</t>
  </si>
  <si>
    <t>SkaterGäó Centesis Catheter 5F x 20cm</t>
  </si>
  <si>
    <t>CATHETER, DRAINAGE, SAFETY, 5 FRX20 CM, STERILE, SKATER, LATEX</t>
  </si>
  <si>
    <t>CATHETER, DRAINAGE, SAFETY, 5 FRX20 CM, STRL, SKATER, LTX</t>
  </si>
  <si>
    <t>5 FRX20 CM</t>
  </si>
  <si>
    <t>https://www.argonmedical.com/?s=700305020&amp;lang=enhttps://accessgudid.nlm.nih.gov/devices/00886333005819</t>
  </si>
  <si>
    <t>700405015</t>
  </si>
  <si>
    <t>ARGON_700405015</t>
  </si>
  <si>
    <t>PRODIGO1073157</t>
  </si>
  <si>
    <t>SkaterGäó Centesis Catheter 5Fr x 15cm</t>
  </si>
  <si>
    <t>Skater Centesis Catheter 5Fr x 15cm</t>
  </si>
  <si>
    <t>CATHETER, DRAINAGE, 5 FRX15 CM, STERILE, SKATER, LATEX</t>
  </si>
  <si>
    <t>CATHETER, DRAINAGE, 5 FRX15 CM, STRL, SKATER, LTX</t>
  </si>
  <si>
    <t>https://accessgudid.nlm.nih.gov/devices/00886333005116</t>
  </si>
  <si>
    <t>701114060</t>
  </si>
  <si>
    <t>ARGON_701114060</t>
  </si>
  <si>
    <t>Supercore Biopsy Instrument 14GA X 6CM</t>
  </si>
  <si>
    <t>PRODIGO1073158</t>
  </si>
  <si>
    <t>SuperCoreGäó Biopsy Instrument 14ga x 6cm</t>
  </si>
  <si>
    <t>SuperCoreGäó Biopsy Instrument</t>
  </si>
  <si>
    <t>SuperCore Semi-Automatic Biopsy Instrument 14G x 6 cm</t>
  </si>
  <si>
    <t>NEEDLE, BIOPSY, SEMI AUTOMATIC, 14 GAX6 CM, STERILE, SUPERCORE, LATEX</t>
  </si>
  <si>
    <t>NEEDLE, BX, SEMI AUTO, 14 GAX6 CM, STRL, SUPERCORE, LTX</t>
  </si>
  <si>
    <t>SEMI AUTOMATIC</t>
  </si>
  <si>
    <t>14 GAX6 CM</t>
  </si>
  <si>
    <t>SUPERCORE</t>
  </si>
  <si>
    <t>https://www.argonmedical.com/?s=701114060&amp;lang=enhttps://accessgudid.nlm.nih.gov/devices/00886333005956</t>
  </si>
  <si>
    <t>701114090</t>
  </si>
  <si>
    <t>ARGON_701114090</t>
  </si>
  <si>
    <t>Supercore Biopsy Instrument 14GA X 9CM</t>
  </si>
  <si>
    <t>PRODIGO1073159</t>
  </si>
  <si>
    <t>SuperCoreGäó Biopsy Instrument 14ga x 9cm</t>
  </si>
  <si>
    <t>SuperCore Semi-Automatic Biopsy Instrument 14G x 9 cm optional co-axial needle MCXS1409LX</t>
  </si>
  <si>
    <t>NEEDLE, BIOPSY, SEMI AUTOMATIC, 14 GAX9 CM, STERILE, SUPERCORE, LATEX</t>
  </si>
  <si>
    <t>NEEDLE, BX, SEMI AUTO, 14 GAX9 CM, STRL, SUPERCORE, LTX</t>
  </si>
  <si>
    <t>14 GAX9 CM</t>
  </si>
  <si>
    <t>https://www.argonmedical.com/?s=701114090&amp;lang=enhttps://accessgudid.nlm.nih.gov/devices/00886333005970</t>
  </si>
  <si>
    <t>701114150</t>
  </si>
  <si>
    <t>ARGON_701114150</t>
  </si>
  <si>
    <t>Supercore Biopsy Instrument 14GA X 15CM</t>
  </si>
  <si>
    <t>PRODIGO1073160</t>
  </si>
  <si>
    <t>SuperCoreGäó Biopsy Instrument 14ga x 15cm</t>
  </si>
  <si>
    <t>SuperCore Semi-Automatic Biopsy Instrument 14G x 15 cm optional co-axial needle MCXS1415LX</t>
  </si>
  <si>
    <t>NEEDLE, BIOPSY, SEMI AUTOMATIC, 14 GAX15 CM, STERILE, SUPERCORE, LATEX</t>
  </si>
  <si>
    <t>NEEDLE, BX, SEMI AUTO, 14 GAX15 CM, STRL, SUPERCORE, LTX</t>
  </si>
  <si>
    <t>14 GAX15 CM</t>
  </si>
  <si>
    <t>https://www.argonmedical.com/?s=701114150&amp;lang=enhttps://accessgudid.nlm.nih.gov/devices/00886333005949</t>
  </si>
  <si>
    <t>701114200</t>
  </si>
  <si>
    <t>ARGON_701114200</t>
  </si>
  <si>
    <t>Supercore Biopsy Instrument 14GA X 20CM</t>
  </si>
  <si>
    <t>PRODIGO1073161</t>
  </si>
  <si>
    <t>SuperCoreGäó Biopsy Instrument 14ga x 20cm</t>
  </si>
  <si>
    <t>SuperCore Semi-Automatic Biopsy Instrument 14G x 20 cm optional co-axial needle MCXS1420LX</t>
  </si>
  <si>
    <t>NEEDLE, BIOPSY, SEMI AUTOMATIC, 14 GAX20 CM, STERILE, SUPERCORE, LATEX</t>
  </si>
  <si>
    <t>NEEDLE, BX, SEMI AUTO, 14 GAX20 CM, STRL, SUPERCORE, LTX</t>
  </si>
  <si>
    <t>14 GAX20 CM</t>
  </si>
  <si>
    <t>https://www.argonmedical.com/?s=701114200&amp;lang=enhttps://accessgudid.nlm.nih.gov/devices/00886333005932</t>
  </si>
  <si>
    <t>701116060</t>
  </si>
  <si>
    <t>ARGON_701116060</t>
  </si>
  <si>
    <t>Supercore Biopsy Instrument 16GA X 6CM</t>
  </si>
  <si>
    <t>PRODIGO1073162</t>
  </si>
  <si>
    <t>SuperCoreGäó Biopsy Instrument 16ga x 6cm</t>
  </si>
  <si>
    <t>SuperCore Semi-Automatic Biopsy Instrument 16G x 6 cm</t>
  </si>
  <si>
    <t>NEEDLE, BIOPSY, SEMI AUTOMATIC, 16 GAX6 CM, STERILE, SUPERCORE, LATEX</t>
  </si>
  <si>
    <t>NEEDLE, BX, SEMI AUTO, 16 GAX6 CM, STRL, SUPERCORE, LTX</t>
  </si>
  <si>
    <t>16 GAX6 CM</t>
  </si>
  <si>
    <t>https://www.argonmedical.com/?s=701116060&amp;lang=enhttps://accessgudid.nlm.nih.gov/devices/00886333005925</t>
  </si>
  <si>
    <t>701116090</t>
  </si>
  <si>
    <t>ARGON_701116090</t>
  </si>
  <si>
    <t>Supercore Biopsy Instrument 16GA X 9CM</t>
  </si>
  <si>
    <t>PRODIGO1073163</t>
  </si>
  <si>
    <t>SuperCoreGäó Biopsy Instrument 16ga x 9cm</t>
  </si>
  <si>
    <t>SuperCore Semi-Automatic Biopsy Instrument 16G x 9 cm optional co-axial needle MCXS1609LX</t>
  </si>
  <si>
    <t>NEEDLE, BIOPSY, SEMI AUTOMATIC, 16 GAX9 CM, STERILE, SUPERCORE, LATEX</t>
  </si>
  <si>
    <t>NEEDLE, BX, SEMI AUTO, 16 GAX9 CM, STRL, SUPERCORE, LTX</t>
  </si>
  <si>
    <t>16 GAX9 CM</t>
  </si>
  <si>
    <t>https://www.argonmedical.com/?s=701116090&amp;lang=enhttps://accessgudid.nlm.nih.gov/devices/00886333005918</t>
  </si>
  <si>
    <t>701116150</t>
  </si>
  <si>
    <t>ARGON_701116150</t>
  </si>
  <si>
    <t>Supercore Biopsy Instrument 16GA X 15CM</t>
  </si>
  <si>
    <t>PRODIGO1073164</t>
  </si>
  <si>
    <t>SuperCoreGäó Biopsy Instrument 16ga x 15cm</t>
  </si>
  <si>
    <t>SuperCore Semi-Automatic Biopsy Instrument 16G x 15 cm optional co-axial needle MCXS1615LX</t>
  </si>
  <si>
    <t>NEEDLE, BIOPSY, SEMI AUTOMATIC, 16 GAX15 CM, STERILE, SUPERCORE, LATEX</t>
  </si>
  <si>
    <t>NEEDLE, BX, SEMI AUTO, 16 GAX15 CM, STRL, SUPERCORE, LTX</t>
  </si>
  <si>
    <t>https://www.argonmedical.com/?s=701116150&amp;lang=enhttps://accessgudid.nlm.nih.gov/devices/00886333005826</t>
  </si>
  <si>
    <t>701118200</t>
  </si>
  <si>
    <t>ARGON_701118200</t>
  </si>
  <si>
    <t>Supercore Biopsy Instrument 18GA X 20CM</t>
  </si>
  <si>
    <t>PRODIGO1073165</t>
  </si>
  <si>
    <t>SuperCoreGäó Biopsy Instrument 18ga x 20cm</t>
  </si>
  <si>
    <t>SuperCore Semi-Automatic Biopsy Instrument 18G x 20 cm optional co-axial needle MCXS1820LX</t>
  </si>
  <si>
    <t>NEEDLE, BIOPSY, SEMI AUTOMATIC, 18 GAX20 CM, STERILE, SUPERCORE, LATEX</t>
  </si>
  <si>
    <t>NEEDLE, BX, SEMI AUTO, 18 GAX20 CM, STRL, SUPERCORE, LTX</t>
  </si>
  <si>
    <t>https://www.argonmedical.com/?s=701118200&amp;lang=enhttps://accessgudid.nlm.nih.gov/devices/00886333005871</t>
  </si>
  <si>
    <t>701120060</t>
  </si>
  <si>
    <t>ARGON_701120060</t>
  </si>
  <si>
    <t>Supercore Biopsy Instrument 20GA X 6CM</t>
  </si>
  <si>
    <t>PRODIGO1073166</t>
  </si>
  <si>
    <t>SuperCoreGäó Biopsy Instrument 20ga x 6cm</t>
  </si>
  <si>
    <t>SuperCore Semi-Automatic Biopsy Instrument 20G x 6 cm</t>
  </si>
  <si>
    <t>NEEDLE, BIOPSY, SEMI AUTOMATIC, 20 GAX6 CM, STERILE, SUPERCORE, LATEX</t>
  </si>
  <si>
    <t>NEEDLE, BX, SEMI AUTO, 20 GAX6 CM, STRL, SUPERCORE, LTX</t>
  </si>
  <si>
    <t>20 GAX6 CM</t>
  </si>
  <si>
    <t>https://www.argonmedical.com/?s=701120060&amp;lang=enhttps://accessgudid.nlm.nih.gov/devices/00886333005864</t>
  </si>
  <si>
    <t>701120200</t>
  </si>
  <si>
    <t>ARGON_701120200</t>
  </si>
  <si>
    <t>Supercore Biopsy Instrument 20GA X 20CM</t>
  </si>
  <si>
    <t>PRODIGO1073168</t>
  </si>
  <si>
    <t>SuperCoreGäó Biopsy Instrument 20ga x 20cm</t>
  </si>
  <si>
    <t>SuperCore Semi-Automatic Biopsy Instrument 20G x 20 cm optional co-axial needle MCXS2020LY</t>
  </si>
  <si>
    <t>NEEDLE, BIOPSY, SEMI AUTOMATIC, 20 GAX20 CM, STERILE, SUPERCORE, LATEX</t>
  </si>
  <si>
    <t>NEEDLE, BX, SEMI AUTO, 20 GAX20 CM, STRL, SUPERCORE, LTX</t>
  </si>
  <si>
    <t>20 GAX20 CM</t>
  </si>
  <si>
    <t>https://www.argonmedical.com/?s=701120200&amp;lang=enhttps://accessgudid.nlm.nih.gov/devices/00886333005833</t>
  </si>
  <si>
    <t>701214090</t>
  </si>
  <si>
    <t>ARGON_701214090</t>
  </si>
  <si>
    <t>Supercore Adjustable Biopsy Instrument &amp; Coaxial14GA X 9CM With 13GA X 3.9CM Coaxial</t>
  </si>
  <si>
    <t>PRODIGO1073169</t>
  </si>
  <si>
    <t>SuperCoreGäó Biopsy Instrument with Co-Axial Introducer Needle</t>
  </si>
  <si>
    <t>SuperCore Semi-Automatic Biopsy Device with Co-axial Introducer Needle 14G x 9 cm device packaged with 13G x 3.9 cm co-axial</t>
  </si>
  <si>
    <t>DEVICE, BIOPSY, SEMI AUTOMATIC, 14 GAX9 CM, 13 GAX3.9 CM, ADJUSTABLE, COAXIAL INTRODUCER NEEDLE, STERILE, SUPERCORE, LATEX</t>
  </si>
  <si>
    <t>DEVICE, BX, SEMI AUTO, 14 GAX9 CM, 13 GAX3.9 CM, ADJ, COAX INTRO NDL, STRL, SUPERCORE, LTX</t>
  </si>
  <si>
    <t>DEVICE, BX, SEMI AUTO, 14 GAX9 CM, 13 GAX3.9 CM, ADJ, SUPERCORE</t>
  </si>
  <si>
    <t>13 GAX3.9 CM</t>
  </si>
  <si>
    <t>ADJUSTABLE, COAXIAL INTRODUCER NEEDLE</t>
  </si>
  <si>
    <t>https://www.argonmedical.com/?s=701214090&amp;lang=enhttps://accessgudid.nlm.nih.gov/devices/00886333006038</t>
  </si>
  <si>
    <t>701214150</t>
  </si>
  <si>
    <t>ARGON_701214150</t>
  </si>
  <si>
    <t>Supercore Adjustable Biopsy Instrument &amp; Coaxial14GA X 15CM With 13GA X 9.9CM Coaxial</t>
  </si>
  <si>
    <t>PRODIGO1073170</t>
  </si>
  <si>
    <t>SuperCore Semi-Automatic Biopsy Device with Co-axial Introducer Needle 14G x 15 cm device packaged with 13G x 9.9 cm co-axial</t>
  </si>
  <si>
    <t>DEVICE, BIOPSY, SEMI AUTOMATIC, 14 GAX15 CM, 13 GAX9.9 CM, ADJUSTABLE, COAXIAL INTRODUCER NEEDLE, STERILE, SUPERCORE, LATEX</t>
  </si>
  <si>
    <t>DEVICE, BX, SEMI AUTO, 14 GAX15 CM, 13 GAX9.9 CM, ADJ, COAX INTRO NDL, STRL, SUPERCORE, LTX</t>
  </si>
  <si>
    <t>DEVICE, BX, SEMI AUTO, 14 GAX15 CM, 13 GAX9.9 CM, ADJ, SUPERCORE</t>
  </si>
  <si>
    <t>13 GAX9.9 CM</t>
  </si>
  <si>
    <t>https://www.argonmedical.com/?s=701214150&amp;lang=enhttps://accessgudid.nlm.nih.gov/devices/00886333005994</t>
  </si>
  <si>
    <t>701214200</t>
  </si>
  <si>
    <t>ARGON_701214200</t>
  </si>
  <si>
    <t>Supercore Adjustable Biopsy Instrument &amp; Coaxial14GA X 20CM With 13GA X 14.9CM Coaxial</t>
  </si>
  <si>
    <t>PRODIGO1073171</t>
  </si>
  <si>
    <t>SuperCore Semi-Automatic Biopsy Device with Co-axial Introducer Needle 14G x 20 cm device packaged with 13G x 14.9 cm co-axial</t>
  </si>
  <si>
    <t>DEVICE, BIOPSY, SEMI AUTOMATIC, 14 GAX20 CM, 13 GAX14.9 CM, ADJUSTABLE, COAXIAL INTRODUCER NEEDLE, STERILE, SUPERCORE, LATEX</t>
  </si>
  <si>
    <t>DEVICE, BX, SEMI AUTO, 14 GAX20 CM, 13 GAX14.9 CM, ADJ, COAX INTRO NDL, STRL, SUPERCORE, LTX</t>
  </si>
  <si>
    <t>DEVICE, BX, SEMI AUTO, 14 GAX20 CM, 13 GAX14.9 CM, ADJ, SUPERCORE</t>
  </si>
  <si>
    <t>13 GAX14.9 CM</t>
  </si>
  <si>
    <t>https://www.argonmedical.com/?s=701214200&amp;lang=enhttps://accessgudid.nlm.nih.gov/devices/00886333006007</t>
  </si>
  <si>
    <t>701216090</t>
  </si>
  <si>
    <t>ARGON_701216090</t>
  </si>
  <si>
    <t>Supercore Adjustable Biopsy Instrument &amp; Coaxial16GA X 9CM With 15GA X 3.9CM Coaxial</t>
  </si>
  <si>
    <t>PRODIGO1073172</t>
  </si>
  <si>
    <t>SuperCore Semi-Automatic Biopsy Device with Co-axial Introducer Needle 16G x 9 cm device packaged with 15G x 3.9 cm co-axial</t>
  </si>
  <si>
    <t>DEVICE, BIOPSY, SEMI AUTOMATIC, 16 GAX9 CM, 15 GAX3.9 CM, ADJUSTABLE, COAXIAL INTRODUCER NEEDLE, STERILE, SUPERCORE, LATEX</t>
  </si>
  <si>
    <t>DEVICE, BX, SEMI AUTO, 16 GAX9 CM, 15 GAX3.9 CM, ADJ, COAX INTRO NDL, STRL, SUPERCORE, LTX</t>
  </si>
  <si>
    <t>DEVICE, BX, SEMI AUTO, 16 GAX9 CM, 15 GAX3.9 CM, ADJ, SUPERCORE</t>
  </si>
  <si>
    <t>15 GAX3.9 CM</t>
  </si>
  <si>
    <t>https://www.argonmedical.com/?s=701216090&amp;lang=enhttps://accessgudid.nlm.nih.gov/devices/00886333006014</t>
  </si>
  <si>
    <t>756108025</t>
  </si>
  <si>
    <t>ARGON_756108025</t>
  </si>
  <si>
    <t>Skater All-Purpose And Nephrostomy Drainage Catheter   8FR X 25CM Non-Locking Pigtail</t>
  </si>
  <si>
    <t>PRODIGO1073173</t>
  </si>
  <si>
    <t>SkaterGäó All-Purpose and Nephrostomy Set Non-Locking 8F x 25cm</t>
  </si>
  <si>
    <t>SkaterGäó All-Purpose and Nephrostomy Set</t>
  </si>
  <si>
    <t>SKATER All Purpose and Nephrostomy Non-Locking (Box of 5) TROCAR STYLET 8F x 25cm .038IN</t>
  </si>
  <si>
    <t>CATHETER, DRAINAGE, ALL-PURPOSE, 0.038 IN, 8 FRX25 CM, NEPHROSTOMY, NON LOCKING PIGTAIL, TROCAR STYLET, SET, STERILE, SKATER, LATEX</t>
  </si>
  <si>
    <t>CATHETER, DRAINAGE, ALL PURP, 0.038 IN, 8 FRX25 CM, NEPHROSTOMY, N LCK PGTL, TROCAR STYL, SET, STRL, SKATER, LTX</t>
  </si>
  <si>
    <t>CATHETER, DRAINAGE, ALL PURP, 038, 8 FRX25 CM, N LCK PGTL, SKATER</t>
  </si>
  <si>
    <t>ALL-PURPOSE</t>
  </si>
  <si>
    <t>8 FRX25 CM</t>
  </si>
  <si>
    <t>NEPHROSTOMY</t>
  </si>
  <si>
    <t>NON LOCKING PIGTAIL, TROCAR STYLET, SET</t>
  </si>
  <si>
    <t>https://www.argonmedical.com/wp-content/uploads/2023/04/SKATER-Brochure-2023.pdfhttps://accessgudid.nlm.nih.gov/devices/00886333217892</t>
  </si>
  <si>
    <t>SKATER-Brochure-2023.pdf</t>
  </si>
  <si>
    <t>756108030</t>
  </si>
  <si>
    <t>ARGON_756108030</t>
  </si>
  <si>
    <t>Skater All Purpose And Nephrostomy Drainage Catheter   8FR X 30CM Non-Locking Pigtail</t>
  </si>
  <si>
    <t>PRODIGO1073174</t>
  </si>
  <si>
    <t>SkaterGäó All Purpose and Nephrostomy Drainage Set Non-Locking 8F x 30cm</t>
  </si>
  <si>
    <t>SkaterGäó All Purpose and Nephrostomy Drainage Set</t>
  </si>
  <si>
    <t>SKATER All Purpose and Nephrostomy Non-Locking (Box of 5) TROCAR STYLET 8F x 30cm .038IN</t>
  </si>
  <si>
    <t>CATHETER, DRAINAGE, ALL-PURPOSE, 0.038 IN, 8 FRX30 CM, NEPHROSTOMY, NON LOCKING PIGTAIL, TROCAR STYLET, SET, STERILE, SKATER, LATEX</t>
  </si>
  <si>
    <t>CATHETER, DRAINAGE, ALL PURP, 0.038 IN, 8 FRX30 CM, NEPHROSTOMY, N LCK PGTL, TROCAR STYL, SET, STRL, SKATER, LTX</t>
  </si>
  <si>
    <t>CATHETER, DRAINAGE, ALL PURP, 038, 8 FRX30 CM, N LCK PGTL, SKATER</t>
  </si>
  <si>
    <t>8 FRX30 CM</t>
  </si>
  <si>
    <t>https://www.argonmedical.com/wp-content/uploads/2023/04/SKATER-Brochure-2023.pdfhttps://accessgudid.nlm.nih.gov/devices/00886333217908</t>
  </si>
  <si>
    <t>756110020</t>
  </si>
  <si>
    <t>ARGON_756110020</t>
  </si>
  <si>
    <t>Skater All-Purpose And Nephrostomy Drainage Catheter 10FR X 20CM Non-Locking Pigtail</t>
  </si>
  <si>
    <t>PRODIGO1073175</t>
  </si>
  <si>
    <t>SkaterGäó All Purpose and Nephrostomy Drainage Set Non-Locking 10Fr x 20cm</t>
  </si>
  <si>
    <t>SKATER All Purpose and Nephrostomy Non-Locking (Box of 5) TROCAR STYLET 10F x 20cm .038IN</t>
  </si>
  <si>
    <t>CATHETER, DRAINAGE, ALL-PURPOSE, 0.038 IN, 10 FRX20 CM, NEPHROSTOMY, NON LOCKING PIGTAIL, TROCAR STYLET, SET, STERILE, SKATER, LATEX</t>
  </si>
  <si>
    <t>CATHETER, DRAINAGE, ALL PURP, 0.038 IN, 10 FRX20 CM, NEPHROSTOMY, N LCK PGTL, TROCAR STYL, SET, STRL, SKATER, LTX</t>
  </si>
  <si>
    <t>CATHETER, DRAINAGE, ALL PURP, 038, 10 FRX20 CM, N LCK PGTL, SKATER</t>
  </si>
  <si>
    <t>10 FRX20 CM</t>
  </si>
  <si>
    <t>https://www.argonmedical.com/wp-content/uploads/2023/04/SKATER-Brochure-2023.pdfhttps://accessgudid.nlm.nih.gov/devices/00886333217915</t>
  </si>
  <si>
    <t>756110025</t>
  </si>
  <si>
    <t>ARGON_756110025</t>
  </si>
  <si>
    <t>Skater All-Purpose And Nephrostomy Drainage Catheter 10FR X 25CM Non-Locking Pigtail</t>
  </si>
  <si>
    <t>PRODIGO1073176</t>
  </si>
  <si>
    <t>SkaterGäó All Purpose and Nephrostomy Drainage Set Non-Locking 10Fr x 25cm</t>
  </si>
  <si>
    <t>SkaterGäó All Purpose and Nephrostomy Drainage</t>
  </si>
  <si>
    <t>SKATER All Purpose and Nephrostomy Non-Locking (Box of 5) TROCAR STYLET 10F x 25cm .038IN</t>
  </si>
  <si>
    <t>CATHETER, DRAINAGE, ALL-PURPOSE, 0.038 IN, 10 FRX25 CM, NEPHROSTOMY, NON LOCKING PIGTAIL, TROCAR STYLET, SET, STERILE, SKATER, LATEX</t>
  </si>
  <si>
    <t>CATHETER, DRAINAGE, ALL PURP, 0.038 IN, 10 FRX25 CM, NEPHROSTOMY, N LCK PGTL, TROCAR STYL, SET, STRL, SKATER, LTX</t>
  </si>
  <si>
    <t>CATHETER, DRAINAGE, ALL PURP, 038, 10 FRX25 CM, N LCK PGTL, SKATER</t>
  </si>
  <si>
    <t>10 FRX25 CM</t>
  </si>
  <si>
    <t>https://www.argonmedical.com/wp-content/uploads/2023/04/SKATER-Brochure-2023.pdfhttps://accessgudid.nlm.nih.gov/devices/00886333217922</t>
  </si>
  <si>
    <t>756110030</t>
  </si>
  <si>
    <t>ARGON_756110030</t>
  </si>
  <si>
    <t>Skater All Purpose And Nephrostomy Drainage Catheter 10FR X 30CM Non-Locking Pigtail</t>
  </si>
  <si>
    <t>PRODIGO1073177</t>
  </si>
  <si>
    <t>SkaterGäó All Purpose and Nephrostomy Drainage Set Non-Locking 10F x 30cm</t>
  </si>
  <si>
    <t>SKATER All Purpose and Nephrostomy Non-Locking (Box of 5) TROCAR STYLET 10F x 30cm .038IN</t>
  </si>
  <si>
    <t>CATHETER, DRAINAGE, ALL-PURPOSE, 0.038 IN, 10 FRX30 CM, NEPHROSTOMY, NON LOCKING PIGTAIL, TROCAR STYLET, SET, STERILE, SKATER, LATEX</t>
  </si>
  <si>
    <t>CATHETER, DRAINAGE, ALL PURP, 0.038 IN, 10 FRX30 CM, NEPHROSTOMY, N LCK PGTL, TROCAR STYL, SET, STRL, SKATER, LTX</t>
  </si>
  <si>
    <t>CATHETER, DRAINAGE, ALL PURP, 038, 10 FRX30 CM, N LCK PGTL, SKATER</t>
  </si>
  <si>
    <t>10 FRX30 CM</t>
  </si>
  <si>
    <t>https://www.argonmedical.com/wp-content/uploads/2023/04/SKATER-Brochure-2023.pdfhttps://accessgudid.nlm.nih.gov/devices/00886333217939</t>
  </si>
  <si>
    <t>756112020</t>
  </si>
  <si>
    <t>ARGON_756112020</t>
  </si>
  <si>
    <t>Skater All-Purpose And Nephrostomy Drainage Catheter 12FR X 20CM Non-Locking Pigtail</t>
  </si>
  <si>
    <t>PRODIGO1073178</t>
  </si>
  <si>
    <t>SkaterGäó All-Purpose and Nephrostomy Set GÇô Non-Locking (12Fx20cm)</t>
  </si>
  <si>
    <t>SKATER All Purpose and Nephrostomy Non-Locking (Box of 5) TROCAR STYLET 12F x 20cm .038IN</t>
  </si>
  <si>
    <t>CATHETER, DRAINAGE, ALL-PURPOSE, 0.038 IN, 12 FRX20 CM, NEPHROSTOMY, NON LOCKING PIGTAIL, TROCAR STYLET, SET, STERILE, SKATER, LATEX</t>
  </si>
  <si>
    <t>CATHETER, DRAINAGE, ALL PURP, 0.038 IN, 12 FRX20 CM, NEPHROSTOMY, N LCK PGTL, TROCAR STYL, SET, STRL, SKATER, LTX</t>
  </si>
  <si>
    <t>CATHETER, DRAINAGE, ALL PURP, 038, 12 FRX20 CM, N LCK PGTL, SKATER</t>
  </si>
  <si>
    <t>12 FRX20 CM</t>
  </si>
  <si>
    <t>https://www.argonmedical.com/wp-content/uploads/2023/04/SKATER-Brochure-2023.pdfhttps://accessgudid.nlm.nih.gov/devices/00886333217946</t>
  </si>
  <si>
    <t>756112025</t>
  </si>
  <si>
    <t>ARGON_756112025</t>
  </si>
  <si>
    <t>Skater All-Purpose And Nephrostomy Drainage Catheter 12FR X 25CM Non-Locking Pigtail</t>
  </si>
  <si>
    <t>PRODIGO1073179</t>
  </si>
  <si>
    <t>SkaterGäó All Purpose and Nephrostomy Drainage Set Non-Locking (12Fx25cm)</t>
  </si>
  <si>
    <t>SKATER All Purpose and Nephrostomy Non-Locking (Box of 5) TROCAR STYLET 12F x 25cm .038IN</t>
  </si>
  <si>
    <t>CATHETER, DRAINAGE, ALL-PURPOSE, 0.038 IN, 12 FRX25 CM, NEPHROSTOMY, NON LOCKING PIGTAIL, TROCAR STYLET, SET, STERILE, SKATER, LATEX</t>
  </si>
  <si>
    <t>CATHETER, DRAINAGE, ALL PURP, 0.038 IN, 12 FRX25 CM, NEPHROSTOMY, N LCK PGTL, TROCAR STYL, SET, STRL, SKATER, LTX</t>
  </si>
  <si>
    <t>CATHETER, DRAINAGE, ALL PURP, 038, 12 FRX25 CM, N LCK PGTL, SKATER</t>
  </si>
  <si>
    <t>12 FRX25 CM</t>
  </si>
  <si>
    <t>https://www.argonmedical.com/wp-content/uploads/2023/04/SKATER-Brochure-2023.pdfhttps://accessgudid.nlm.nih.gov/devices/00886333217953</t>
  </si>
  <si>
    <t>756114020</t>
  </si>
  <si>
    <t>ARGON_756114020</t>
  </si>
  <si>
    <t>Skater All-Purpose And Nephrostomy Drainage Catheter 14FR X 20CM Non-Locking Pigtail</t>
  </si>
  <si>
    <t>PRODIGO1073180</t>
  </si>
  <si>
    <t>SkaterGäó All Purpose and Nephrostomy Drainage Set Non-Locking (14Fx20cm)</t>
  </si>
  <si>
    <t>SKATER All Purpose and Nephrostomy Non-Locking (Box of 5) TROCAR STYLET 14F x 20cm .038IN</t>
  </si>
  <si>
    <t>CATHETER, DRAINAGE, ALL-PURPOSE, 0.038 IN, 14 FRX20 CM, NEPHROSTOMY, NON LOCKING PIGTAIL, TROCAR STYLET, SET, STERILE, SKATER, LATEX</t>
  </si>
  <si>
    <t>CATHETER, DRAINAGE, ALL PURP, 0.038 IN, 14 FRX20 CM, NEPHROSTOMY, N LCK PGTL, TROCAR STYL, SET, STRL, SKATER, LTX</t>
  </si>
  <si>
    <t>CATHETER, DRAINAGE, ALL PURP, 038, 14 FRX20 CM, N LCK PGTL, SKATER</t>
  </si>
  <si>
    <t>14 FRX20 CM</t>
  </si>
  <si>
    <t>https://www.argonmedical.com/wp-content/uploads/2023/04/SKATER-Brochure-2023.pdfhttps://accessgudid.nlm.nih.gov/devices/00886333217960</t>
  </si>
  <si>
    <t>756114025</t>
  </si>
  <si>
    <t>ARGON_756114025</t>
  </si>
  <si>
    <t>Skater All-Purpose And Nephrostomy Drainage Catheter 14FR X 25CM Non-Locking Pigtail</t>
  </si>
  <si>
    <t>PRODIGO1073181</t>
  </si>
  <si>
    <t>SkaterGäó All Purpose and Nephrostomy Drainage Set Non-Locking (14Fx25cm)</t>
  </si>
  <si>
    <t>SKATER All Purpose and Nephrostomy Non-Locking (Box of 5) TROCAR STYLET 14F x 25cm .038IN</t>
  </si>
  <si>
    <t>CATHETER, DRAINAGE, ALL-PURPOSE, 0.038 IN, 14 FRX25 CM, NEPHROSTOMY, NON LOCKING PIGTAIL, TROCAR STYLET, SET, STERILE, SKATER, LATEX</t>
  </si>
  <si>
    <t>CATHETER, DRAINAGE, ALL PURP, 0.038 IN, 14 FRX25 CM, NEPHROSTOMY, N LCK PGTL, TROCAR STYL, SET, STRL, SKATER, LTX</t>
  </si>
  <si>
    <t>CATHETER, DRAINAGE, ALL PURP, 038, 14 FRX25 CM, N LCK PGTL, SKATER</t>
  </si>
  <si>
    <t>14 FRX25 CM</t>
  </si>
  <si>
    <t>https://www.argonmedical.com/wp-content/uploads/2023/04/SKATER-Brochure-2023.pdfhttps://accessgudid.nlm.nih.gov/devices/00886333217977</t>
  </si>
  <si>
    <t>756116025</t>
  </si>
  <si>
    <t>ARGON_756116025</t>
  </si>
  <si>
    <t>Skater All-Purpose And Nephrostomy Drainage Catheter 16FR X 25CM Non-Locking Pigtail</t>
  </si>
  <si>
    <t>PRODIGO1073182</t>
  </si>
  <si>
    <t>SkaterGäó All-Purpose and Nephrostomy Set GÇô Non-Locking (16Fx25cm)</t>
  </si>
  <si>
    <t>SKATER All Purpose and Nephrostomy Non-Locking (Box of 5) TROCAR STYLET 16F x 25cm .038IN</t>
  </si>
  <si>
    <t>CATHETER, DRAINAGE, ALL-PURPOSE, 0.038 IN, 16 FRX25 CM, NEPHROSTOMY, NON LOCKING PIGTAIL, TROCAR STYLET, SET, STERILE, SKATER, LATEX</t>
  </si>
  <si>
    <t>CATHETER, DRAINAGE, ALL PURP, 0.038 IN, 16 FRX25 CM, NEPHROSTOMY, N LCK PGTL, TROCAR STYL, SET, STRL, SKATER, LTX</t>
  </si>
  <si>
    <t>CATHETER, DRAINAGE, ALL PURP, 038, 16 FRX25 CM, N LCK PGTL, SKATER</t>
  </si>
  <si>
    <t>16 FRX25 CM</t>
  </si>
  <si>
    <t>https://www.argonmedical.com/wp-content/uploads/2023/04/SKATER-Brochure-2023.pdfhttps://accessgudid.nlm.nih.gov/devices/00886333217984</t>
  </si>
  <si>
    <t>756606015</t>
  </si>
  <si>
    <t>ARGON_756606015</t>
  </si>
  <si>
    <t xml:space="preserve">Skater All-Purpose And Nephrostomy Drainage Catheter   6FR X 15CM Locking Pigtail </t>
  </si>
  <si>
    <t>PRODIGO1073183</t>
  </si>
  <si>
    <t>SKATERGäó All-Purpose and Nephrostomy Drainage Set Locking 6F x 15cm</t>
  </si>
  <si>
    <t>SKATERGäó All-Purpose and Nephrostomy Drainage Set</t>
  </si>
  <si>
    <t>SKATER All Purpose and Nephrostomy Locking (Box of 5) TROCAR STYLET 6F x 15cm .035IN</t>
  </si>
  <si>
    <t>CATHETER, DRAINAGE, ALL-PURPOSE, 0.035 IN, 6 FRX15 CM, NEPHROSTOMY, LOCKING PIGTAIL, TROCAR STYLET, SET, STERILE, SKATER, LATEX</t>
  </si>
  <si>
    <t>CATHETER, DRAINAGE, ALL PURP, 0.035 IN, 6 FRX15 CM, NEPHROSTOMY, LCK PGTL, TROCAR STYL , SET, STRL, SKATER, LTX</t>
  </si>
  <si>
    <t>CATHETER, DRAINAGE, ALL PURP, 035, 6 FRX15 CM, LCK PGTL, SKATER</t>
  </si>
  <si>
    <t>6 FRX15 CM</t>
  </si>
  <si>
    <t>LOCKING PIGTAIL, TROCAR STYLET, SET</t>
  </si>
  <si>
    <t>https://www.argonmedical.com/wp-content/uploads/2023/04/SKATER-Brochure-2023.pdfhttps://accessgudid.nlm.nih.gov/devices/00886333225057</t>
  </si>
  <si>
    <t>756606025</t>
  </si>
  <si>
    <t>ARGON_756606025</t>
  </si>
  <si>
    <t xml:space="preserve">Skater All-Purpose And Nephrostomy Drainage Catheter   6FR X 25CM Locking Pigtail </t>
  </si>
  <si>
    <t>PRODIGO1073184</t>
  </si>
  <si>
    <t>SKATERGäó All Purpose and Nephrostomy Drainage Set Locking 6F x 25cm</t>
  </si>
  <si>
    <t>SKATERGäó All Purpose and Nephrostomy Drainage Set</t>
  </si>
  <si>
    <t>SKATER All Purpose and Nephrostomy Locking (Box of 5) TROCAR STYLET 6F x 25cm .035IN</t>
  </si>
  <si>
    <t>CATHETER, DRAINAGE, ALL-PURPOSE, 0.035 IN, 6 FRX25 CM, NEPHROSTOMY, LOCKING PIGTAIL, TROCAR STYLET, SET, STERILE, SKATER, LATEX</t>
  </si>
  <si>
    <t>CATHETER, DRAINAGE, ALL PURP, 0.035 IN, 6 FRX25 CM, NEPHROSTOMY, LCK PGTL, TROCAR STYL , SET, STRL, SKATER, LTX</t>
  </si>
  <si>
    <t>CATHETER, DRAINAGE, ALL PURP, 035, 6 FRX25 CM, LCK PGTL, SKATER</t>
  </si>
  <si>
    <t>6 FRX25 CM</t>
  </si>
  <si>
    <t>https://www.argonmedical.com/wp-content/uploads/2023/04/SKATER-Brochure-2023.pdfhttps://accessgudid.nlm.nih.gov/devices/00886333225071</t>
  </si>
  <si>
    <t>756606035</t>
  </si>
  <si>
    <t>ARGON_756606035</t>
  </si>
  <si>
    <t xml:space="preserve">Skater All-Purpose And Nephrostomy Drainage Catheter   6FR X 35CM Locking Pigtail </t>
  </si>
  <si>
    <t>PRODIGO1073185</t>
  </si>
  <si>
    <t>SKATERGäó All Purpose and Nephrostomy Drainage Set Locking 6F x 35cm</t>
  </si>
  <si>
    <t>SKATER All Purpose and Nephrostomy Locking (Box of 5) 6F x 35cm .035IN</t>
  </si>
  <si>
    <t>CATHETER, DRAINAGE, ALL-PURPOSE, 0.035 IN, 6 FRX35 CM, NEPHROSTOMY, LOCKING PIGTAIL, SET, STERILE, SKATER, LATEX</t>
  </si>
  <si>
    <t>CATHETER, DRAINAGE, ALL PURP, 0.035 IN, 6 FRX35 CM, NEPHROSTOMY, LCK PGTL, SET, STRL, SKATER, LTX</t>
  </si>
  <si>
    <t>CATHETER, DRAINAGE, ALL PURP, 035, 6 FRX35 CM, LCK PGTL, SKATER</t>
  </si>
  <si>
    <t>6 FRX35 CM</t>
  </si>
  <si>
    <t>LOCKING PIGTAIL, SET</t>
  </si>
  <si>
    <t>https://www.argonmedical.com/wp-content/uploads/2023/04/SKATER-Brochure-2023.pdfhttps://accessgudid.nlm.nih.gov/devices/00886333225088</t>
  </si>
  <si>
    <t>756607015</t>
  </si>
  <si>
    <t>ARGON_756607015</t>
  </si>
  <si>
    <t xml:space="preserve">Skater All-Purpose And Nephrostomy Drainage Catheter   7FR X 15CM Locking Pigtail </t>
  </si>
  <si>
    <t>PRODIGO1073186</t>
  </si>
  <si>
    <t>SKATERGäó All-Purpose and Nephrostomy Drainage Set Locking 7F x 15cm</t>
  </si>
  <si>
    <t>SKATER All Purpose and Nephrostomy Locking (Box of 5) TROCAR STYLET 7F x 15cm .035IN</t>
  </si>
  <si>
    <t>CATHETER, DRAINAGE, ALL-PURPOSE, 0.035 IN, 7 FRX15 CM, NEPHROSTOMY, LOCKING PIGTAIL, TROCAR STYLET, SET, STERILE, SKATER, LATEX</t>
  </si>
  <si>
    <t>CATHETER, DRAINAGE, ALL PURP, 0.035 IN, 7 FRX15 CM, NEPHROSTOMY, LCK PGTL, TROCAR STYL , SET, STRL, SKATER, LTX</t>
  </si>
  <si>
    <t>CATHETER, DRAINAGE, ALL PURP, 035, 7 FRX15 CM, LCK PGTL, SKATER</t>
  </si>
  <si>
    <t>7 FRX15 CM</t>
  </si>
  <si>
    <t>https://www.argonmedical.com/wp-content/uploads/2023/04/SKATER-Brochure-2023.pdfhttps://accessgudid.nlm.nih.gov/devices/00886333225095</t>
  </si>
  <si>
    <t>756607020</t>
  </si>
  <si>
    <t>ARGON_756607020</t>
  </si>
  <si>
    <t xml:space="preserve">Skater All-Purpose And Nephrostomy Drainage Catheter   7FR X 20CM Locking Pigtail </t>
  </si>
  <si>
    <t>PRODIGO1073187</t>
  </si>
  <si>
    <t>SKATERGäó All Purpose and Nephrostomy Drainage Set Locking 7F x 20cm</t>
  </si>
  <si>
    <t>SKATER All Purpose and Nephrostomy Locking (Box of 5) TROCAR STYLET 7F x 20cm .035IN</t>
  </si>
  <si>
    <t>CATHETER, DRAINAGE, ALL-PURPOSE, 0.035 IN, 7 FRX20 CM, NEPHROSTOMY, LOCKING PIGTAIL, TROCAR STYLET, SET, STERILE, SKATER, LATEX</t>
  </si>
  <si>
    <t>CATHETER, DRAINAGE, ALL PURP, 0.035 IN, 7 FRX20 CM, NEPHROSTOMY, LCK PGTL, TROCAR STYL , SET, STRL, SKATER, LTX</t>
  </si>
  <si>
    <t>CATHETER, DRAINAGE, ALL PURP, 035, 7 FRX20 CM, LCK PGTL, SKATER</t>
  </si>
  <si>
    <t>7 FRX20 CM</t>
  </si>
  <si>
    <t>https://www.argonmedical.com/wp-content/uploads/2023/04/SKATER-Brochure-2023.pdfhttps://accessgudid.nlm.nih.gov/devices/00886333225101</t>
  </si>
  <si>
    <t>756607025</t>
  </si>
  <si>
    <t>ARGON_756607025</t>
  </si>
  <si>
    <t xml:space="preserve">Skater All-Purpose And Nephrostomy Drainage Catheter   7FR X 25CM Locking Pigtail </t>
  </si>
  <si>
    <t>PRODIGO1073188</t>
  </si>
  <si>
    <t>SKATERGäó All Purpose and Nephrostomy Drainage Set Locking 7F x 25cm</t>
  </si>
  <si>
    <t>SKATER All Purpose and Nephrostomy Locking (Box of 5) TROCAR STYLET 7F x 25cm .035IN</t>
  </si>
  <si>
    <t>CATHETER, DRAINAGE, ALL-PURPOSE, 0.035 IN, 7 FRX25 CM, NEPHROSTOMY, LOCKING PIGTAIL, TROCAR STYLET, SET, STERILE, SKATER, LATEX</t>
  </si>
  <si>
    <t>CATHETER, DRAINAGE, ALL PURP, 0.035 IN, 7 FRX25 CM, NEPHROSTOMY, LCK PGTL, TROCAR STYL , SET, STRL, SKATER, LTX</t>
  </si>
  <si>
    <t>CATHETER, DRAINAGE, ALL PURP, 035, 7 FRX25 CM, LCK PGTL, SKATER</t>
  </si>
  <si>
    <t>7 FRX25 CM</t>
  </si>
  <si>
    <t>https://www.argonmedical.com/wp-content/uploads/2023/04/SKATER-Brochure-2023.pdfhttps://accessgudid.nlm.nih.gov/devices/00886333225118</t>
  </si>
  <si>
    <t>756608015</t>
  </si>
  <si>
    <t>ARGON_756608015</t>
  </si>
  <si>
    <t xml:space="preserve">Skater All-Purpose And Nephrostomy Drainage Catheter   8FR X 15CM Locking Pigtail </t>
  </si>
  <si>
    <t>PRODIGO1073189</t>
  </si>
  <si>
    <t>SKATERGäó All-Purpose and Nephrostomy Drainage Set Locking 8F x 15cm</t>
  </si>
  <si>
    <t>SKATER All Purpose and Nephrostomy Locking (Box of 5) TROCAR STYLET 8F x 15cm .038IN</t>
  </si>
  <si>
    <t>CATHETER, DRAINAGE, ALL-PURPOSE, 0.038 IN, 8 FRX15 CM, NEPHROSTOMY, LOCKING PIGTAIL, TROCAR STYLET, SET, STERILE, SKATER, LATEX</t>
  </si>
  <si>
    <t>CATHETER, DRAINAGE, ALL PURP, 0.038 IN, 8 FRX15 CM, NEPHROSTOMY, LCK PGTL, TROCAR STYL , SET, STRL, SKATER, LTX</t>
  </si>
  <si>
    <t>CATHETER, DRAINAGE, ALL PURP, 038, 8 FRX15 CM, LCK PGTL, SKATER</t>
  </si>
  <si>
    <t>8 FRX15 CM</t>
  </si>
  <si>
    <t>https://www.argonmedical.com/wp-content/uploads/2023/04/SKATER-Brochure-2023.pdfhttps://accessgudid.nlm.nih.gov/devices/00886333225125</t>
  </si>
  <si>
    <t>756608020</t>
  </si>
  <si>
    <t>ARGON_756608020</t>
  </si>
  <si>
    <t>Skater All-Purpose And Nephrostomy Drainage Catheter   8FR X 20CM Locking Pigtail</t>
  </si>
  <si>
    <t>PRODIGO1073190</t>
  </si>
  <si>
    <t>SkaterGäó All-Purpose and Nephrostomy Set GÇô Locking 8Fr x 20cm</t>
  </si>
  <si>
    <t>SKATER All Purpose and Nephrostomy Locking (Box of 5) TROCAR STYLET 8F x 20cm .038IN</t>
  </si>
  <si>
    <t>CATHETER, DRAINAGE, ALL-PURPOSE, 0.038 IN, 8 FRX20 CM, NEPHROSTOMY, LOCKING PIGTAIL, TROCAR STYLET, SET, STERILE, SKATER, LATEX</t>
  </si>
  <si>
    <t>CATHETER, DRAINAGE, ALL PURP, 0.038 IN, 8 FRX20 CM, NEPHROSTOMY, LCK PGTL, TROCAR STYL , SET, STRL, SKATER, LTX</t>
  </si>
  <si>
    <t>CATHETER, DRAINAGE, ALL PURP, 038, 8 FRX20 CM, LCK PGTL, SKATER</t>
  </si>
  <si>
    <t>8 FRX20 CM</t>
  </si>
  <si>
    <t>https://www.argonmedical.com/wp-content/uploads/2023/04/SKATER-Brochure-2023.pdfhttps://accessgudid.nlm.nih.gov/devices/00886333217779</t>
  </si>
  <si>
    <t>756608030</t>
  </si>
  <si>
    <t>ARGON_756608030</t>
  </si>
  <si>
    <t>Skater All Purpose And Nephrostomy Drainage Catheter   8FR X 30CM Locking Pigtail</t>
  </si>
  <si>
    <t>PRODIGO1073191</t>
  </si>
  <si>
    <t>SkaterGäó All Purpose and Nephrostomy Drainage SetGÇôLocking 8F x 30cm</t>
  </si>
  <si>
    <t>SKATER All Purpose and Nephrostomy Locking (Box of 5) TROCAR STYLET 8F x 30cm .038IN</t>
  </si>
  <si>
    <t>CATHETER, DRAINAGE, ALL-PURPOSE, 0.038 IN, 8 FRX30 CM, NEPHROSTOMY, LOCKING PIGTAIL, TROCAR STYLET, SET, STERILE, SKATER, LATEX</t>
  </si>
  <si>
    <t>CATHETER, DRAINAGE, ALL PURP, 0.038 IN, 8 FRX30 CM, NEPHROSTOMY, LCK PGTL, TROCAR STYL , SET, STRL, SKATER, LTX</t>
  </si>
  <si>
    <t>CATHETER, DRAINAGE, ALL PURP, 038, 8 FRX30 CM, LCK PGTL, SKATER</t>
  </si>
  <si>
    <t>https://www.argonmedical.com/wp-content/uploads/2023/04/SKATER-Brochure-2023.pdfhttps://accessgudid.nlm.nih.gov/devices/00886333217793</t>
  </si>
  <si>
    <t>756608045</t>
  </si>
  <si>
    <t>ARGON_756608045</t>
  </si>
  <si>
    <t xml:space="preserve">Skater All Purpose And Nephrostomy Drainage Catheter   8FR X 45CM Locking Pigtail </t>
  </si>
  <si>
    <t>PRODIGO1073193</t>
  </si>
  <si>
    <t>SKATERGäó All-Purpose and Nephrostomy Drainage Set Locking 8F x 45cm</t>
  </si>
  <si>
    <t>SKATER All Purpose and Nephrostomy Locking (Box of 5) 8F x 45cm .038IN</t>
  </si>
  <si>
    <t>CATHETER, DRAINAGE, ALL-PURPOSE, 0.038 IN, 8 FRX45 CM, NEPHROSTOMY, LOCKING PIGTAIL, SET, STERILE, SKATER, LATEX</t>
  </si>
  <si>
    <t>CATHETER, DRAINAGE, ALL PURP, 0.038 IN, 8 FRX45 CM, NEPHROSTOMY, LCK PGTL, SET, STRL, SKATER, LTX</t>
  </si>
  <si>
    <t>CATHETER, DRAINAGE, ALL PURP, 038, 8 FRX45 CM, LCK PGTL, SKATER</t>
  </si>
  <si>
    <t>8 FRX45 CM</t>
  </si>
  <si>
    <t>https://www.argonmedical.com/wp-content/uploads/2023/04/SKATER-Brochure-2023.pdfhttps://accessgudid.nlm.nih.gov/devices/00886333225149</t>
  </si>
  <si>
    <t>756610015</t>
  </si>
  <si>
    <t>ARGON_756610015</t>
  </si>
  <si>
    <t xml:space="preserve">Skater All Purpose And Nephrostomy Drainage Catheter 10FR X 15CM Locking Pigtail </t>
  </si>
  <si>
    <t>PRODIGO1073194</t>
  </si>
  <si>
    <t>SKATERGäó All-Purpose and Nephrostomy Drainage Set Locking 10F x 15cm</t>
  </si>
  <si>
    <t>SKATER All Purpose and Nephrostomy Locking (Box of 5) TROCAR STYLET 10F x 15cm .038IN</t>
  </si>
  <si>
    <t>CATHETER, DRAINAGE, ALL-PURPOSE, 0.038 IN, 10 FRX15 CM, NEPHROSTOMY, LOCKING PIGTAIL, TROCAR STYLET, SET, STERILE, SKATER, LATEX</t>
  </si>
  <si>
    <t>CATHETER, DRAINAGE, ALL PURP, 0.038 IN, 10 FRX15 CM, NEPHROSTOMY, LCK PGTL, TROCAR STYL , SET, STRL, SKATER, LTX</t>
  </si>
  <si>
    <t>CATHETER, DRAINAGE, ALL PURP, 038, 10 FRX15 CM, LCK PGTL, SKATER</t>
  </si>
  <si>
    <t>10 FRX15 CM</t>
  </si>
  <si>
    <t>https://www.argonmedical.com/wp-content/uploads/2023/04/SKATER-Brochure-2023.pdfhttps://accessgudid.nlm.nih.gov/devices/00886333225156</t>
  </si>
  <si>
    <t>756610020</t>
  </si>
  <si>
    <t>ARGON_756610020</t>
  </si>
  <si>
    <t>Skater All-Purpose And Nephrostomy Drainage Catheter 10FR X 20CM Locking Pigtail</t>
  </si>
  <si>
    <t>PRODIGO1073195</t>
  </si>
  <si>
    <t>SkaterGäó All-Purpose and Nephrostomy Drainage Set GÇô Locking 10Fr x 20cm</t>
  </si>
  <si>
    <t>SkaterGäó All-Purpose and Nephrostomy Drainage Set</t>
  </si>
  <si>
    <t>SKATER All Purpose and Nephrostomy Locking (Box of 5) TROCAR STYLET 10F x 20cm .038IN</t>
  </si>
  <si>
    <t>CATHETER, DRAINAGE, ALL-PURPOSE, 0.038 IN, 10 FRX20 CM, NEPHROSTOMY, LOCKING PIGTAIL, TROCAR STYLET, SET, STERILE, SKATER, LATEX</t>
  </si>
  <si>
    <t>CATHETER, DRAINAGE, ALL PURP, 0.038 IN, 10 FRX20 CM, NEPHROSTOMY, LCK PGTL, TROCAR STYL , SET, STRL, SKATER, LTX</t>
  </si>
  <si>
    <t>CATHETER, DRAINAGE, ALL PURP, 038, 10 FRX20 CM, LCK PGTL, SKATER</t>
  </si>
  <si>
    <t>https://www.argonmedical.com/wp-content/uploads/2023/04/SKATER-Brochure-2023.pdfhttps://accessgudid.nlm.nih.gov/devices/00886333217809</t>
  </si>
  <si>
    <t>756610025</t>
  </si>
  <si>
    <t>ARGON_756610025</t>
  </si>
  <si>
    <t>Skater All-Purpose And Nephrostomy Drainage Catheter 10FR X 25CM Locking Pigtail</t>
  </si>
  <si>
    <t>PRODIGO1073196</t>
  </si>
  <si>
    <t>SkaterGäó All-Purpose and Nephrostomy Drainage Set GÇô Locking 10Fr x 25cm</t>
  </si>
  <si>
    <t>SKATER All Purpose and Nephrostomy Locking (Box of 5) TROCAR STYLET 10F x 25cm .038IN</t>
  </si>
  <si>
    <t>CATHETER, DRAINAGE, ALL-PURPOSE, 0.038 IN, 10 FRX25 CM, NEPHROSTOMY, LOCKING PIGTAIL, TROCAR STYLET, SET, STERILE, SKATER, LATEX</t>
  </si>
  <si>
    <t>CATHETER, DRAINAGE, ALL PURP, 0.038 IN, 10 FRX25 CM, NEPHROSTOMY, LCK PGTL, TROCAR STYL , SET, STRL, SKATER, LTX</t>
  </si>
  <si>
    <t>CATHETER, DRAINAGE, ALL PURP, 038, 10 FRX25 CM, LCK PGTL, SKATER</t>
  </si>
  <si>
    <t>https://www.argonmedical.com/wp-content/uploads/2023/04/SKATER-Brochure-2023.pdfhttps://accessgudid.nlm.nih.gov/devices/00886333217816</t>
  </si>
  <si>
    <t>756610030</t>
  </si>
  <si>
    <t>ARGON_756610030</t>
  </si>
  <si>
    <t>Skater All Purpose And Nephrostomy Drainage Catheter 10FR X 30CM Locking Pigtail</t>
  </si>
  <si>
    <t>PRODIGO1073197</t>
  </si>
  <si>
    <t>SkaterGäó All Purpose and Nephrostomy Drainage SetGÇôLocking 10F x 30cm</t>
  </si>
  <si>
    <t>SKATER All Purpose and Nephrostomy Locking (Box of 5) TROCAR STYLET 10F x 30cm .038IN</t>
  </si>
  <si>
    <t>CATHETER, DRAINAGE, ALL-PURPOSE, 0.038 IN, 10 FRX30 CM, NEPHROSTOMY, LOCKING PIGTAIL, TROCAR STYLET, SET, STERILE, SKATER, LATEX</t>
  </si>
  <si>
    <t>CATHETER, DRAINAGE, ALL PURP, 0.038 IN, 10 FRX30 CM, NEPHROSTOMY, LCK PGTL, TROCAR STYL , SET, STRL, SKATER, LTX</t>
  </si>
  <si>
    <t>CATHETER, DRAINAGE, ALL PURP, 038, 10 FRX30 CM, LCK PGTL, SKATER</t>
  </si>
  <si>
    <t>https://www.argonmedical.com/wp-content/uploads/2023/04/SKATER-Brochure-2023.pdfhttps://accessgudid.nlm.nih.gov/devices/00886333217823</t>
  </si>
  <si>
    <t>756610035</t>
  </si>
  <si>
    <t>ARGON_756610035</t>
  </si>
  <si>
    <t xml:space="preserve">Skater All Purpose And Nephrostomy Drainage Catheter 10FR X 35CM Locking Pigtail </t>
  </si>
  <si>
    <t>PRODIGO1073198</t>
  </si>
  <si>
    <t>SKATERGäó All Purpose and Nephrostomy Drainage Set Locking 10F x 35cm</t>
  </si>
  <si>
    <t>SKATER All Purpose and Nephrostomy Locking (Box of 5) 10F x 35cm .038IN</t>
  </si>
  <si>
    <t>CATHETER, DRAINAGE, ALL-PURPOSE, 0.038 IN, 10 FRX35 CM, NEPHROSTOMY, LOCKING PIGTAIL, SET, STERILE, SKATER, LATEX</t>
  </si>
  <si>
    <t>CATHETER, DRAINAGE, ALL PURP, 0.038 IN, 10 FRX35 CM, NEPHROSTOMY, LCK PGTL, SET, STRL, SKATER, LTX</t>
  </si>
  <si>
    <t>CATHETER, DRAINAGE, ALL PURP, 038, 10 FRX35 CM, LCK PGTL, SKATER</t>
  </si>
  <si>
    <t>10 FRX35 CM</t>
  </si>
  <si>
    <t>https://www.argonmedical.com/wp-content/uploads/2023/04/SKATER-Brochure-2023.pdfhttps://accessgudid.nlm.nih.gov/devices/00886333225163</t>
  </si>
  <si>
    <t>756610045</t>
  </si>
  <si>
    <t>ARGON_756610045</t>
  </si>
  <si>
    <t xml:space="preserve">Skater All Purpose And Nephrostomy Drainage Catheter 10FR X 45CM Locking Pigtail </t>
  </si>
  <si>
    <t>PRODIGO1073199</t>
  </si>
  <si>
    <t>SKATERGäó All-Purpose and Nephrostomy Drainage Set Locking 10F x 45cm</t>
  </si>
  <si>
    <t>SKATER All Purpose and Nephrostomy Locking (Box of 5) 10F x 45cm .038IN</t>
  </si>
  <si>
    <t>CATHETER, DRAINAGE, ALL-PURPOSE, 0.038 IN, 10 FRX45 CM, NEPHROSTOMY, LOCKING PIGTAIL, SET, STERILE, SKATER, LATEX</t>
  </si>
  <si>
    <t>CATHETER, DRAINAGE, ALL PURP, 0.038 IN, 10 FRX45 CM, NEPHROSTOMY, LCK PGTL, SET, STRL, SKATER, LTX</t>
  </si>
  <si>
    <t>CATHETER, DRAINAGE, ALL PURP, 038, 10 FRX45 CM, LCK PGTL, SKATER</t>
  </si>
  <si>
    <t>10 FRX45 CM</t>
  </si>
  <si>
    <t>https://www.argonmedical.com/wp-content/uploads/2023/04/SKATER-Brochure-2023.pdfhttps://accessgudid.nlm.nih.gov/devices/00886333225170</t>
  </si>
  <si>
    <t>756610060</t>
  </si>
  <si>
    <t>ARGON_756610060</t>
  </si>
  <si>
    <t xml:space="preserve">Skater All Purpose And Nephrostomy Drainage Catheter 10FR X 60CM Locking Pigtail </t>
  </si>
  <si>
    <t>PRODIGO1073200</t>
  </si>
  <si>
    <t>SKATERGäó All-Purpose and Nephrostomy Drainage Set Locking 10F x 60cm</t>
  </si>
  <si>
    <t>SKATER All Purpose and Nephrostomy Locking (Box of 5) 10F x 60cm .038IN</t>
  </si>
  <si>
    <t>CATHETER, DRAINAGE, ALL-PURPOSE, 0.038 IN, 10 FRX60 CM, NEPHROSTOMY, LOCKING PIGTAIL, SET, STERILE, SKATER, LATEX</t>
  </si>
  <si>
    <t>CATHETER, DRAINAGE, ALL PURP, 0.038 IN, 10 FRX60 CM, NEPHROSTOMY, LCK PGTL, SET, STRL, SKATER, LTX</t>
  </si>
  <si>
    <t>CATHETER, DRAINAGE, ALL PURP, 038, 10 FRX60 CM, LCK PGTL, SKATER</t>
  </si>
  <si>
    <t>10 FRX60 CM</t>
  </si>
  <si>
    <t>https://www.argonmedical.com/wp-content/uploads/2023/04/SKATER-Brochure-2023.pdfhttps://accessgudid.nlm.nih.gov/devices/00886333225187</t>
  </si>
  <si>
    <t>756612015</t>
  </si>
  <si>
    <t>ARGON_756612015</t>
  </si>
  <si>
    <t xml:space="preserve">Skater All Purpose And Nephrostomy Drainage Catheter 12FR X 15CM Locking Pigtail </t>
  </si>
  <si>
    <t>PRODIGO1073201</t>
  </si>
  <si>
    <t>SKATERGäó All-Purpose and Nephrostomy Drainage Set Locking 12F x 15cm</t>
  </si>
  <si>
    <t>SKATER All Purpose and Nephrostomy Locking (Box of 5) TROCAR STYLET 12F x 15cm .038IN</t>
  </si>
  <si>
    <t>CATHETER, DRAINAGE, ALL-PURPOSE, 0.038 IN, 12 FRX15 CM, NEPHROSTOMY, LOCKING PIGTAIL, TROCAR STYLET, SET, STERILE, SKATER, LATEX</t>
  </si>
  <si>
    <t>CATHETER, DRAINAGE, ALL PURP, 0.038 IN, 12 FRX15 CM, NEPHROSTOMY, LCK PGTL, TROCAR STYL , SET, STRL, SKATER, LTX</t>
  </si>
  <si>
    <t>CATHETER, DRAINAGE, ALL PURP, 038, 12 FRX15 CM, LCK PGTL, SKATER</t>
  </si>
  <si>
    <t>12 FRX15 CM</t>
  </si>
  <si>
    <t>https://www.argonmedical.com/wp-content/uploads/2023/04/SKATER-Brochure-2023.pdfhttps://accessgudid.nlm.nih.gov/devices/00886333225194</t>
  </si>
  <si>
    <t>756612020</t>
  </si>
  <si>
    <t>ARGON_756612020</t>
  </si>
  <si>
    <t>Skater All-Purpose And Nephrostomy Drainage Catheter 12FR X 20CM Locking Pigtail</t>
  </si>
  <si>
    <t>PRODIGO1073202</t>
  </si>
  <si>
    <t>SkaterGäó All-Purpose and Nephrostomy Drainage Set GÇô Locking 12Fr x 20cm</t>
  </si>
  <si>
    <t>SKATER All Purpose and Nephrostomy Locking (Box of 5) TROCAR STYLET 12F x 20cm .038IN</t>
  </si>
  <si>
    <t>CATHETER, DRAINAGE, ALL-PURPOSE, 0.038 IN, 12 FRX20 CM, NEPHROSTOMY, LOCKING PIGTAIL, TROCAR STYLET, SET, STERILE, SKATER, LATEX</t>
  </si>
  <si>
    <t>CATHETER, DRAINAGE, ALL PURP, 0.038 IN, 12 FRX20 CM, NEPHROSTOMY, LCK PGTL, TROCAR STYL , SET, STRL, SKATER, LTX</t>
  </si>
  <si>
    <t>CATHETER, DRAINAGE, ALL PURP, 038, 12 FRX20 CM, LCK PGTL, SKATER</t>
  </si>
  <si>
    <t>https://www.argonmedical.com/wp-content/uploads/2023/04/SKATER-Brochure-2023.pdfhttps://accessgudid.nlm.nih.gov/devices/00886333217830</t>
  </si>
  <si>
    <t>756612025</t>
  </si>
  <si>
    <t>ARGON_756612025</t>
  </si>
  <si>
    <t>Skater All-Purpose And Nephrostomy Drainage Catheter 12FR X 25CM Locking Pigtail</t>
  </si>
  <si>
    <t>PRODIGO1073203</t>
  </si>
  <si>
    <t>SkaterGäó All-Purpose and Nephrostomy Drainage Set GÇô Locking 12Fr x 25cm</t>
  </si>
  <si>
    <t>SKATER All Purpose and Nephrostomy Locking (Box of 5) TROCAR STYLET 12F x 25cm .038IN</t>
  </si>
  <si>
    <t>CATHETER, DRAINAGE, ALL-PURPOSE, 0.038 IN, 12 FRX25 CM, NEPHROSTOMY, LOCKING PIGTAIL, TROCAR STYLET, SET, STERILE, SKATER, LATEX</t>
  </si>
  <si>
    <t>CATHETER, DRAINAGE, ALL PURP, 0.038 IN, 12 FRX25 CM, NEPHROSTOMY, LCK PGTL, TROCAR STYL , SET, STRL, SKATER, LTX</t>
  </si>
  <si>
    <t>CATHETER, DRAINAGE, ALL PURP, 038, 12 FRX25 CM, LCK PGTL, SKATER</t>
  </si>
  <si>
    <t>https://www.argonmedical.com/wp-content/uploads/2023/04/SKATER-Brochure-2023.pdfhttps://accessgudid.nlm.nih.gov/devices/00886333217847</t>
  </si>
  <si>
    <t>756612030</t>
  </si>
  <si>
    <t>ARGON_756612030</t>
  </si>
  <si>
    <t xml:space="preserve">Skater All Purpose And Nephrostomy Drainage Catheter 12FR X 30CM Locking Pigtail </t>
  </si>
  <si>
    <t>PRODIGO1073204</t>
  </si>
  <si>
    <t>SKATERGäó All-Purpose and Nephrostomy Drainage Set Locking 12F x 30cm</t>
  </si>
  <si>
    <t>SKATER All Purpose and Nephrostomy Locking (Box of 5) TROCAR STYLET 12F x 30cm .038IN</t>
  </si>
  <si>
    <t>CATHETER, DRAINAGE, ALL-PURPOSE, 0.038 IN, 12 FRX30 CM, NEPHROSTOMY, LOCKING PIGTAIL, TROCAR STYLET, SET, STERILE, SKATER, LATEX</t>
  </si>
  <si>
    <t>CATHETER, DRAINAGE, ALL PURP, 0.038 IN, 12 FRX30 CM, NEPHROSTOMY, LCK PGTL, TROCAR STYL , SET, STRL, SKATER, LTX</t>
  </si>
  <si>
    <t>CATHETER, DRAINAGE, ALL PURP, 038, 12 FRX30 CM, LCK PGTL, SKATER</t>
  </si>
  <si>
    <t>12 FRX30 CM</t>
  </si>
  <si>
    <t>https://www.argonmedical.com/wp-content/uploads/2023/04/SKATER-Brochure-2023.pdfhttps://accessgudid.nlm.nih.gov/devices/00886333225200</t>
  </si>
  <si>
    <t>756612035</t>
  </si>
  <si>
    <t>ARGON_756612035</t>
  </si>
  <si>
    <t xml:space="preserve">Skater All Purpose And Nephrostomy Drainage Catheter 12FR X 35CM Locking Pigtail </t>
  </si>
  <si>
    <t>PRODIGO1073205</t>
  </si>
  <si>
    <t>SKATERGäó All Purpose and Nephrostomy Drainage Set Locking 12F x 35cm</t>
  </si>
  <si>
    <t>SKATER All Purpose and Nephrostomy Locking (Box of 5) 12F x 35cm .038IN</t>
  </si>
  <si>
    <t>CATHETER, DRAINAGE, ALL-PURPOSE, 0.038 IN, 12 FRX35 CM, NEPHROSTOMY, LOCKING PIGTAIL, SET, STERILE, SKATER, LATEX</t>
  </si>
  <si>
    <t>CATHETER, DRAINAGE, ALL PURP, 0.038 IN, 12 FRX35 CM, NEPHROSTOMY, LCK PGTL, SET, STRL, SKATER, LTX</t>
  </si>
  <si>
    <t>CATHETER, DRAINAGE, ALL PURP, 038, 12 FRX35 CM, LCK PGTL, SKATER</t>
  </si>
  <si>
    <t>12 FRX35 CM</t>
  </si>
  <si>
    <t>https://www.argonmedical.com/wp-content/uploads/2023/04/SKATER-Brochure-2023.pdfhttps://accessgudid.nlm.nih.gov/devices/00886333225217</t>
  </si>
  <si>
    <t>756612045</t>
  </si>
  <si>
    <t>ARGON_756612045</t>
  </si>
  <si>
    <t xml:space="preserve">Skater All Purpose And Nephrostomy Drainage Catheter 12FR X 45CM Locking Pigtail </t>
  </si>
  <si>
    <t>PRODIGO1073206</t>
  </si>
  <si>
    <t>SKATERGäó All-Purpose and Nephrostomy Drainage Set Locking 12F x 45cm</t>
  </si>
  <si>
    <t>SKATER All Purpose and Nephrostomy Locking (Box of 5) 12F x 45cm .038IN</t>
  </si>
  <si>
    <t>CATHETER, DRAINAGE, ALL-PURPOSE, 0.038 IN, 12 FRX45 CM, NEPHROSTOMY, LOCKING PIGTAIL, SET, STERILE, SKATER, LATEX</t>
  </si>
  <si>
    <t>CATHETER, DRAINAGE, ALL PURP, 0.038 IN, 12 FRX45 CM, NEPHROSTOMY, LCK PGTL, SET, STRL, SKATER, LTX</t>
  </si>
  <si>
    <t>CATHETER, DRAINAGE, ALL PURP, 038, 12 FRX45 CM, LCK PGTL, SKATER</t>
  </si>
  <si>
    <t>12 FRX45 CM</t>
  </si>
  <si>
    <t>https://www.argonmedical.com/wp-content/uploads/2023/04/SKATER-Brochure-2023.pdfhttps://accessgudid.nlm.nih.gov/devices/00886333225224</t>
  </si>
  <si>
    <t>756612060</t>
  </si>
  <si>
    <t>ARGON_756612060</t>
  </si>
  <si>
    <t xml:space="preserve">Skater All Purpose And Nephrostomy Drainage Catheter 12FR X 60CM Locking Pigtail </t>
  </si>
  <si>
    <t>PRODIGO1073207</t>
  </si>
  <si>
    <t>SKATERGäó All-Purpose and Nephrostomy Drainage Set Locking 12F x 60cm</t>
  </si>
  <si>
    <t>SKATER All Purpose and Nephrostomy Locking (Box of 5) 12F x 60cm .038IN</t>
  </si>
  <si>
    <t>CATHETER, DRAINAGE, ALL-PURPOSE, 0.038 IN, 12 FRX60 CM, NEPHROSTOMY, LOCKING PIGTAIL, SET, STERILE, SKATER, LATEX</t>
  </si>
  <si>
    <t>CATHETER, DRAINAGE, ALL PURP, 0.038 IN, 12 FRX60 CM, NEPHROSTOMY, LCK PGTL, SET, STRL, SKATER, LTX</t>
  </si>
  <si>
    <t>CATHETER, DRAINAGE, ALL PURP, 038, 12 FRX60 CM, LCK PGTL, SKATER</t>
  </si>
  <si>
    <t>12 FRX60 CM</t>
  </si>
  <si>
    <t>https://www.argonmedical.com/wp-content/uploads/2023/04/SKATER-Brochure-2023.pdfhttps://accessgudid.nlm.nih.gov/devices/00886333225231</t>
  </si>
  <si>
    <t>756614015</t>
  </si>
  <si>
    <t>ARGON_756614015</t>
  </si>
  <si>
    <t xml:space="preserve">Skater All Purpose And Nephrostomy Drainage Catheter 14FR X 15CM Locking Pigtail </t>
  </si>
  <si>
    <t>PRODIGO1073208</t>
  </si>
  <si>
    <t>SKATERGäó All-Purpose and Nephrostomy Drainage Set Locking 14F x 15cm</t>
  </si>
  <si>
    <t>SKATER All Purpose and Nephrostomy Locking (Box of 5) TROCAR STYLET 14F x 15cm .038IN</t>
  </si>
  <si>
    <t>CATHETER, DRAINAGE, ALL-PURPOSE, 0.038 IN, 14 FRX15 CM, NEPHROSTOMY, LOCKING PIGTAIL, TROCAR STYLET, SET, STERILE, SKATER, LATEX</t>
  </si>
  <si>
    <t>CATHETER, DRAINAGE, ALL PURP, 0.038 IN, 14 FRX15 CM, NEPHROSTOMY, LCK PGTL, TROCAR STYL , SET, STRL, SKATER, LTX</t>
  </si>
  <si>
    <t>CATHETER, DRAINAGE, ALL PURP, 038, 14 FRX15 CM, LCK PGTL, SKATER</t>
  </si>
  <si>
    <t>14 FRX15 CM</t>
  </si>
  <si>
    <t>https://www.argonmedical.com/wp-content/uploads/2023/04/SKATER-Brochure-2023.pdfhttps://accessgudid.nlm.nih.gov/devices/00886333225248</t>
  </si>
  <si>
    <t>756614020</t>
  </si>
  <si>
    <t>ARGON_756614020</t>
  </si>
  <si>
    <t>Skater All-Purpose And Nephrostomy Drainage Catheter 14FR X 20CM Locking Pigtail</t>
  </si>
  <si>
    <t>PRODIGO1073209</t>
  </si>
  <si>
    <t>SkaterGäó All-Purpose and Nephrostomy Drainage Set GÇô Locking 14Fr x 20cm</t>
  </si>
  <si>
    <t>SKATER All Purpose and Nephrostomy Locking (Box of 5) TROCAR STYLET 14F x 20cm 038IN</t>
  </si>
  <si>
    <t>CATHETER, DRAINAGE, ALL-PURPOSE, 0.038 IN, 14 FRX20 CM, NEPHROSTOMY, LOCKING PIGTAIL, TROCAR STYLET, SET, STERILE, SKATER, LATEX</t>
  </si>
  <si>
    <t>CATHETER, DRAINAGE, ALL PURP, 0.038 IN, 14 FRX20 CM, NEPHROSTOMY, LCK PGTL, TROCAR STYL , SET, STRL, SKATER, LTX</t>
  </si>
  <si>
    <t>CATHETER, DRAINAGE, ALL PURP, 038, 14 FRX20 CM, LCK PGTL, SKATER</t>
  </si>
  <si>
    <t>https://www.argonmedical.com/wp-content/uploads/2023/04/SKATER-Brochure-2023.pdfhttps://accessgudid.nlm.nih.gov/devices/00886333217854</t>
  </si>
  <si>
    <t>756614025</t>
  </si>
  <si>
    <t>ARGON_756614025</t>
  </si>
  <si>
    <t>Skater All-Purpose And Nephrostomy Drainage Catheter 14FR X 25CM Locking Pigtail</t>
  </si>
  <si>
    <t>PRODIGO1073210</t>
  </si>
  <si>
    <t>SkaterGäó All-Purpose and Nephrostomy Drainage Set GÇô Locking 14Fr x 25cm</t>
  </si>
  <si>
    <t>SKATER All Purpose and Nephrostomy Locking (Box of 5) TROCAR STYLET 14F x 25cm 038IN</t>
  </si>
  <si>
    <t>CATHETER, DRAINAGE, ALL-PURPOSE, 0.038 IN, 14 FRX25 CM, NEPHROSTOMY, LOCKING PIGTAIL, TROCAR STYLET, SET, STERILE, SKATER, LATEX</t>
  </si>
  <si>
    <t>CATHETER, DRAINAGE, ALL PURP, 0.038 IN, 14 FRX25 CM, NEPHROSTOMY, LCK PGTL, TROCAR STYL , SET, STRL, SKATER, LTX</t>
  </si>
  <si>
    <t>CATHETER, DRAINAGE, ALL PURP, 038, 14 FRX25 CM, LCK PGTL, SKATER</t>
  </si>
  <si>
    <t>https://www.argonmedical.com/wp-content/uploads/2023/04/SKATER-Brochure-2023.pdfhttps://accessgudid.nlm.nih.gov/devices/00886333217861</t>
  </si>
  <si>
    <t>756614030</t>
  </si>
  <si>
    <t>ARGON_756614030</t>
  </si>
  <si>
    <t xml:space="preserve">Skater All-Purpose And Nephrostomy Drainage Catheter 14FR X 30CM Locking Pigtail </t>
  </si>
  <si>
    <t>PRODIGO1073211</t>
  </si>
  <si>
    <t>SKATERGäó All-Purpose and Nephrostomy Drainage Set Locking 14F x 30cm</t>
  </si>
  <si>
    <t>SKATER All Purpose and Nephrostomy Locking (Box of 5) TROCAR STYLET 14F x 30cm .038IN</t>
  </si>
  <si>
    <t>CATHETER, DRAINAGE, ALL-PURPOSE, 0.038 IN, 14 FRX30 CM, NEPHROSTOMY, LOCKING PIGTAIL, TROCAR STYLET, SET, STERILE, SKATER, LATEX</t>
  </si>
  <si>
    <t>CATHETER, DRAINAGE, ALL PURP, 0.038 IN, 14 FRX30 CM, NEPHROSTOMY, LCK PGTL, TROCAR STYL , SET, STRL, SKATER, LTX</t>
  </si>
  <si>
    <t>CATHETER, DRAINAGE, ALL PURP, 038, 14 FRX30 CM, LCK PGTL, SKATER</t>
  </si>
  <si>
    <t>14 FRX30 CM</t>
  </si>
  <si>
    <t>https://www.argonmedical.com/wp-content/uploads/2023/04/SKATER-Brochure-2023.pdfhttps://accessgudid.nlm.nih.gov/devices/00886333225255</t>
  </si>
  <si>
    <t>756614035</t>
  </si>
  <si>
    <t>ARGON_756614035</t>
  </si>
  <si>
    <t xml:space="preserve">Skater All-Purpose And Nephrostomy Drainage Catheter 14FR X 35CM Locking Pigtail </t>
  </si>
  <si>
    <t>PRODIGO1073212</t>
  </si>
  <si>
    <t>SKATERGäó All Purpose and Nephrostomy Drainage Set Locking 14F x 35cm</t>
  </si>
  <si>
    <t>SKATER All Purpose and Nephrostomy Locking (Box of 5) 14F x 35cm .038IN</t>
  </si>
  <si>
    <t>CATHETER, DRAINAGE, ALL-PURPOSE, 0.038 IN, 14 FRX35 CM, NEPHROSTOMY, LOCKING PIGTAIL, SET, STERILE, SKATER, LATEX</t>
  </si>
  <si>
    <t>CATHETER, DRAINAGE, ALL PURP, 0.038 IN, 14 FRX35 CM, NEPHROSTOMY, LCK PGTL, SET, STRL, SKATER, LTX</t>
  </si>
  <si>
    <t>CATHETER, DRAINAGE, ALL PURP, 038, 14 FRX35 CM, LCK PGTL, SKATER</t>
  </si>
  <si>
    <t>14 FRX35 CM</t>
  </si>
  <si>
    <t>https://www.argonmedical.com/wp-content/uploads/2023/04/SKATER-Brochure-2023.pdfhttps://accessgudid.nlm.nih.gov/devices/00886333225262</t>
  </si>
  <si>
    <t>756614045</t>
  </si>
  <si>
    <t>ARGON_756614045</t>
  </si>
  <si>
    <t xml:space="preserve">Skater All-Purpose And Nephrostomy Drainage Catheter 14FR X 45CM Locking Pigtail </t>
  </si>
  <si>
    <t>PRODIGO1073213</t>
  </si>
  <si>
    <t>SKATERGäó All-Purpose and Nephrostomy Drainage Set Locking 14F x 45cm</t>
  </si>
  <si>
    <t>SKATER All Purpose and Nephrostomy Locking (Box of 5) 14F x 45cm .038IN</t>
  </si>
  <si>
    <t>CATHETER, DRAINAGE, ALL-PURPOSE, 0.038 IN, 14 FRX45 CM, NEPHROSTOMY, LOCKING PIGTAIL, SET, STERILE, SKATER, LATEX</t>
  </si>
  <si>
    <t>CATHETER, DRAINAGE, ALL PURP, 0.038 IN, 14 FRX45 CM, NEPHROSTOMY, LCK PGTL, SET, STRL, SKATER, LTX</t>
  </si>
  <si>
    <t>CATHETER, DRAINAGE, ALL PURP, 038, 14 FRX45 CM, LCK PGTL, SKATER</t>
  </si>
  <si>
    <t>14 FRX45 CM</t>
  </si>
  <si>
    <t>https://www.argonmedical.com/wp-content/uploads/2023/04/SKATER-Brochure-2023.pdfhttps://accessgudid.nlm.nih.gov/devices/00886333225279</t>
  </si>
  <si>
    <t>756614060</t>
  </si>
  <si>
    <t>ARGON_756614060</t>
  </si>
  <si>
    <t xml:space="preserve">Skater All-Purpose And Nephrostomy Drainage Catheter 14FR X 60CM Locking Pigtail </t>
  </si>
  <si>
    <t>PRODIGO1073214</t>
  </si>
  <si>
    <t>SKATERGäó All-Purpose and Nephrostomy Drainage Set Locking 14F x 60cm</t>
  </si>
  <si>
    <t>SKATER All Purpose and Nephrostomy Locking (Box of 5) 14F x 60cm .038IN</t>
  </si>
  <si>
    <t>CATHETER, DRAINAGE, ALL-PURPOSE, 0.038 IN, 14 FRX60 CM, NEPHROSTOMY, LOCKING PIGTAIL, SET, STERILE, SKATER, LATEX</t>
  </si>
  <si>
    <t>CATHETER, DRAINAGE, ALL PURP, 0.038 IN, 14 FRX60 CM, NEPHROSTOMY, LCK PGTL, SET, STRL, SKATER, LTX</t>
  </si>
  <si>
    <t>CATHETER, DRAINAGE, ALL PURP, 038, 14 FRX60 CM, LCK PGTL, SKATER</t>
  </si>
  <si>
    <t>14 FRX60 CM</t>
  </si>
  <si>
    <t>https://www.argonmedical.com/wp-content/uploads/2023/04/SKATER-Brochure-2023.pdfhttps://accessgudid.nlm.nih.gov/devices/00886333225286</t>
  </si>
  <si>
    <t>756616025</t>
  </si>
  <si>
    <t>ARGON_756616025</t>
  </si>
  <si>
    <t>Skater All-Purpose And Nephrostomy Drainage Catheter 16FR X 25CM Locking Pigtail</t>
  </si>
  <si>
    <t>PRODIGO1073215</t>
  </si>
  <si>
    <t>SkaterGäó All-Purpose and Nephrostomy Drainage Set GÇô Locking 16Fr x 25cm</t>
  </si>
  <si>
    <t>SKATER All Purpose and Nephrostomy Locking (Box of 5) TROCAR STYLET 16F x 25cm .038IN</t>
  </si>
  <si>
    <t>CATHETER, DRAINAGE, ALL-PURPOSE, 0.038 IN, 16 FRX25 CM, NEPHROSTOMY, LOCKING PIGTAIL, TROCAR STYLET, SET, STERILE, SKATER, LATEX</t>
  </si>
  <si>
    <t>CATHETER, DRAINAGE, ALL PURP, 0.038 IN, 16 FRX25 CM, NEPHROSTOMY, LCK PGTL, TROCAR STYL , SET, STRL, SKATER, LTX</t>
  </si>
  <si>
    <t>CATHETER, DRAINAGE, ALL PURP, 038, 16 FRX25 CM, LCK PGTL, SKATER</t>
  </si>
  <si>
    <t>https://www.argonmedical.com/wp-content/uploads/2023/04/SKATER-Brochure-2023.pdfhttps://accessgudid.nlm.nih.gov/devices/00886333217878</t>
  </si>
  <si>
    <t>756616030</t>
  </si>
  <si>
    <t>ARGON_756616030</t>
  </si>
  <si>
    <t xml:space="preserve">Skater All-Purpose And Nephrostomy Drainage Catheter 16FR X 30CM Locking Pigtail </t>
  </si>
  <si>
    <t>PRODIGO1073216</t>
  </si>
  <si>
    <t>SKATERGäó All-Purpose and Nephrostomy Drainage Set Locking 16F x 30cm</t>
  </si>
  <si>
    <t>SKATER All Purpose and Nephrostomy Locking (Box of 5) TROCAR STYLET 16F x 30cm .038IN</t>
  </si>
  <si>
    <t>CATHETER, DRAINAGE, ALL-PURPOSE, 0.038 IN, 16 FRX30 CM, NEPHROSTOMY, LOCKING PIGTAIL, TROCAR STYLET, SET, STERILE, SKATER, LATEX</t>
  </si>
  <si>
    <t>CATHETER, DRAINAGE, ALL PURP, 0.038 IN, 16 FRX30 CM, NEPHROSTOMY, LCK PGTL, TROCAR STYL , SET, STRL, SKATER, LTX</t>
  </si>
  <si>
    <t>CATHETER, DRAINAGE, ALL PURP, 038, 16 FRX30 CM, LCK PGTL, SKATER</t>
  </si>
  <si>
    <t>16 FRX30 CM</t>
  </si>
  <si>
    <t>https://www.argonmedical.com/wp-content/uploads/2023/04/SKATER-Brochure-2023.pdfhttps://accessgudid.nlm.nih.gov/devices/00886333225309</t>
  </si>
  <si>
    <t>756616035</t>
  </si>
  <si>
    <t>ARGON_756616035</t>
  </si>
  <si>
    <t xml:space="preserve">Skater All-Purpose And Nephrostomy Drainage Catheter 16FR X 35CM Locking Pigtail </t>
  </si>
  <si>
    <t>PRODIGO1073217</t>
  </si>
  <si>
    <t>SKATERGäó All-Purpose and Nephrostomy Drainage Set Locking 16F x 35cm</t>
  </si>
  <si>
    <t>SKATER All Purpose and Nephrostomy Locking (Box of 5) 16F x 35cm .038IN</t>
  </si>
  <si>
    <t>CATHETER, DRAINAGE, ALL-PURPOSE, 0.038 IN, 16 FRX35 CM, NEPHROSTOMY, LOCKING PIGTAIL, SET, STERILE, SKATER, LATEX</t>
  </si>
  <si>
    <t>CATHETER, DRAINAGE, ALL PURP, 0.038 IN, 16 FRX35 CM, NEPHROSTOMY, LCK PGTL, SET, STRL, SKATER, LTX</t>
  </si>
  <si>
    <t>CATHETER, DRAINAGE, ALL PURP, 038, 16 FRX35 CM, LCK PGTL, SKATER</t>
  </si>
  <si>
    <t>16 FRX35 CM</t>
  </si>
  <si>
    <t>https://www.argonmedical.com/wp-content/uploads/2023/04/SKATER-Brochure-2023.pdfhttps://accessgudid.nlm.nih.gov/devices/00886333225316</t>
  </si>
  <si>
    <t>756616045</t>
  </si>
  <si>
    <t>ARGON_756616045</t>
  </si>
  <si>
    <t xml:space="preserve">Skater All-Purpose And Nephrostomy Drainage Catheter 16FR X 45CM Locking Pigtail </t>
  </si>
  <si>
    <t>PRODIGO1073218</t>
  </si>
  <si>
    <t>SKATERGäó All-Purpose and Nephrostomy Drainage Set Locking 16F x 45cm</t>
  </si>
  <si>
    <t>SKATER All Purpose and Nephrostomy Locking (Box of 5) 16F x 45cm .038IN</t>
  </si>
  <si>
    <t>CATHETER, DRAINAGE, ALL-PURPOSE, 0.038 IN, 16 FRX45 CM, NEPHROSTOMY, LOCKING PIGTAIL, SET, STERILE, SKATER, LATEX</t>
  </si>
  <si>
    <t>CATHETER, DRAINAGE, ALL PURP, 0.038 IN, 16 FRX45 CM, NEPHROSTOMY, LCK PGTL, SET, STRL, SKATER, LTX</t>
  </si>
  <si>
    <t>CATHETER, DRAINAGE, ALL PURP, 038, 16 FRX45 CM, LCK PGTL, SKATER</t>
  </si>
  <si>
    <t>16 FRX45 CM</t>
  </si>
  <si>
    <t>https://www.argonmedical.com/wp-content/uploads/2023/04/SKATER-Brochure-2023.pdfhttps://accessgudid.nlm.nih.gov/devices/00886333225323</t>
  </si>
  <si>
    <t>756616060</t>
  </si>
  <si>
    <t>ARGON_756616060</t>
  </si>
  <si>
    <t xml:space="preserve">Skater All-Purpose And Nephrostomy Drainage Catheter 16FR X 60CM Locking Pigtail </t>
  </si>
  <si>
    <t>PRODIGO1073219</t>
  </si>
  <si>
    <t>SKATERGäó All-Purpose and Nephrostomy Drainage Set Locking 16F x 60cm</t>
  </si>
  <si>
    <t>SKATER All Purpose and Nephrostomy Locking (Box of 5) 16F x 60cm .038IN</t>
  </si>
  <si>
    <t>CATHETER, DRAINAGE, ALL-PURPOSE, 0.038 IN, 16 FRX60 CM, NEPHROSTOMY, LOCKING PIGTAIL, SET, STERILE, SKATER, LATEX</t>
  </si>
  <si>
    <t>CATHETER, DRAINAGE, ALL PURP, 0.038 IN, 16 FRX60 CM, NEPHROSTOMY, LCK PGTL, SET, STRL, SKATER, LTX</t>
  </si>
  <si>
    <t>CATHETER, DRAINAGE, ALL PURP, 038, 16 FRX60 CM, LCK PGTL, SKATER</t>
  </si>
  <si>
    <t>16 FRX60 CM</t>
  </si>
  <si>
    <t>https://www.argonmedical.com/wp-content/uploads/2023/04/SKATER-Brochure-2023.pdfhttps://accessgudid.nlm.nih.gov/devices/00886333225330</t>
  </si>
  <si>
    <t>762614100</t>
  </si>
  <si>
    <t>ARGON_762614100</t>
  </si>
  <si>
    <t>Ultracore Biopsy Needle 14GA X 10CM</t>
  </si>
  <si>
    <t>PRODIGO1073220</t>
  </si>
  <si>
    <t>UltraCoreGäó Biopsy Needle 14ga x 10cm</t>
  </si>
  <si>
    <t>UltraCoreGäó Biopsy Needle</t>
  </si>
  <si>
    <t>Ultracore Needle 14 Gax10 Cm Echogenic Tip Unique Hub Sample Notch Sterile Latex</t>
  </si>
  <si>
    <t>NEEDLE, BIOPSY, ECHOGENIC TIP, 14 GAX10 CM, UNIQUE HUB, SAMPLE NOTCH, STERILE, ULTRACORE, LATEX</t>
  </si>
  <si>
    <t>NEEDLE, BX, ECHOGENIC TIP, 14 GAX10 CM, UNIQUE HUB, SAMPLE NOTCH, STRL, ULTRACORE, LTX</t>
  </si>
  <si>
    <t>NEEDLE, BX, ECHOGENIC TIP, 14 GAX10 CM, UNIQUE HUB, ULTRACORE</t>
  </si>
  <si>
    <t>ECHOGENIC TIP</t>
  </si>
  <si>
    <t>14 GAX10 CM</t>
  </si>
  <si>
    <t>UNIQUE HUB, SAMPLE NOTCH</t>
  </si>
  <si>
    <t>ULTRACORE</t>
  </si>
  <si>
    <t>https://res.onemed.com/SE/Produktblad/1115842.pdf, https://accessgudid.nlm.nih.gov/devices/00886333006458</t>
  </si>
  <si>
    <t>762614130</t>
  </si>
  <si>
    <t>ARGON_762614130</t>
  </si>
  <si>
    <t>Ultracore Biopsy Needle 14GA X 13CM</t>
  </si>
  <si>
    <t>PRODIGO1073221</t>
  </si>
  <si>
    <t>UltraCoreGäó Biopsy Needle 14ga x 13cm</t>
  </si>
  <si>
    <t>Ultracore Needle 14 Gax13 Cm Echogenic Tip Unique Hub Sample Notch Sterile Latex</t>
  </si>
  <si>
    <t>NEEDLE, BIOPSY, ECHOGENIC TIP, 14 GAX13 CM, UNIQUE HUB, SAMPLE NOTCH, STERILE, ULTRACORE, LATEX</t>
  </si>
  <si>
    <t>NEEDLE, BX, ECHOGENIC TIP, 14 GAX13 CM, UNIQUE HUB, SAMPLE NOTCH, STRL, ULTRACORE, LTX</t>
  </si>
  <si>
    <t>NEEDLE, BX, ECHOGENIC TIP, 14 GAX13 CM, UNIQUE HUB, ULTRACORE</t>
  </si>
  <si>
    <t>14 GAX13 CM</t>
  </si>
  <si>
    <t>https://res.onemed.com/SE/Produktblad/1115842.pdf, https://accessgudid.nlm.nih.gov/devices/00886333006519</t>
  </si>
  <si>
    <t>762614160</t>
  </si>
  <si>
    <t>ARGON_762614160</t>
  </si>
  <si>
    <t>Ultracore Biopsy Needle 14GA X 16CM</t>
  </si>
  <si>
    <t>PRODIGO1073222</t>
  </si>
  <si>
    <t>UltraCoreGäó Biopsy Needle 14ga x 16cm</t>
  </si>
  <si>
    <t>Ultracore Needle 14 Gax16 Cm Echogenic Tip Unique Hub Sample Notch Sterile Latex</t>
  </si>
  <si>
    <t>NEEDLE, BIOPSY, ECHOGENIC TIP, 14 GAX16 CM, UNIQUE HUB, SAMPLE NOTCH, STERILE, ULTRACORE, LATEX</t>
  </si>
  <si>
    <t>NEEDLE, BX, ECHOGENIC TIP, 14 GAX16 CM, UNIQUE HUB, SAMPLE NOTCH, STRL, ULTRACORE, LTX</t>
  </si>
  <si>
    <t>NEEDLE, BX, ECHOGENIC TIP, 14 GAX16 CM, UNIQUE HUB, ULTRACORE</t>
  </si>
  <si>
    <t>14 GAX16 CM</t>
  </si>
  <si>
    <t>https://res.onemed.com/SE/Produktblad/1115842.pdf, https://accessgudid.nlm.nih.gov/devices/00886333006502</t>
  </si>
  <si>
    <t>762614200</t>
  </si>
  <si>
    <t>ARGON_762614200</t>
  </si>
  <si>
    <t>Ultracore Biopsy Needle 14GA X 20CM</t>
  </si>
  <si>
    <t>PRODIGO1073223</t>
  </si>
  <si>
    <t>UltraCoreGäó Biopsy Needle 14ga x 20cm</t>
  </si>
  <si>
    <t>Ultracore Needle 14 Gax20 Cm Echogenic Tip Unique Hub Sample Notch Sterile Latex</t>
  </si>
  <si>
    <t>NEEDLE, BIOPSY, ECHOGENIC TIP, 14 GAX20 CM, UNIQUE HUB, SAMPLE NOTCH, STERILE, ULTRACORE, LATEX</t>
  </si>
  <si>
    <t>NEEDLE, BX, ECHOGENIC TIP, 14 GAX20 CM, UNIQUE HUB, SAMPLE NOTCH, STRL, ULTRACORE, LTX</t>
  </si>
  <si>
    <t>NEEDLE, BX, ECHOGENIC TIP, 14 GAX20 CM, UNIQUE HUB, ULTRACORE</t>
  </si>
  <si>
    <t>https://res.onemed.com/SE/Produktblad/1115842.pdf, https://accessgudid.nlm.nih.gov/devices/00886333006434</t>
  </si>
  <si>
    <t>762616100</t>
  </si>
  <si>
    <t>ARGON_762616100</t>
  </si>
  <si>
    <t>Ultracore Biopsy Needle 16GA X 10CM</t>
  </si>
  <si>
    <t>PRODIGO1073224</t>
  </si>
  <si>
    <t>UltraCoreGäó Biopsy Needle 16ga x 10cm</t>
  </si>
  <si>
    <t>Ultracore Needle 16 Gax10 Cm Echogenic Tip Unique Hub Sample Notch Sterile Latex</t>
  </si>
  <si>
    <t>NEEDLE, BIOPSY, ECHOGENIC TIP, 16 GAX10 CM, UNIQUE HUB, SAMPLE NOTCH, STERILE, ULTRACORE, LATEX</t>
  </si>
  <si>
    <t>NEEDLE, BX, ECHOGENIC TIP, 16 GAX10 CM, UNIQUE HUB, SAMPLE NOTCH, STRL, ULTRACORE, LTX</t>
  </si>
  <si>
    <t>NEEDLE, BX, ECHOGENIC TIP, 16 GAX10 CM, UNIQUE HUB, ULTRACORE</t>
  </si>
  <si>
    <t>https://res.onemed.com/SE/Produktblad/1115842.pdf, https://accessgudid.nlm.nih.gov/devices/00886333006496</t>
  </si>
  <si>
    <t>762616130</t>
  </si>
  <si>
    <t>ARGON_762616130</t>
  </si>
  <si>
    <t>Ultracore Biopsy Needle 16GA X 13CM</t>
  </si>
  <si>
    <t>PRODIGO1073225</t>
  </si>
  <si>
    <t>UltraCoreGäó Biopsy Needle 16ga x 13cm</t>
  </si>
  <si>
    <t>Ultracore Needle 16 Gax13 Cm Echogenic Tip Unique Hub Sample Notch Sterile Latex</t>
  </si>
  <si>
    <t>NEEDLE, BIOPSY, ECHOGENIC TIP, 16 GAX13 CM, UNIQUE HUB, SAMPLE NOTCH, STERILE, ULTRACORE, LATEX</t>
  </si>
  <si>
    <t>NEEDLE, BX, ECHOGENIC TIP, 16 GAX13 CM, UNIQUE HUB, SAMPLE NOTCH, STRL, ULTRACORE, LTX</t>
  </si>
  <si>
    <t>NEEDLE, BX, ECHOGENIC TIP, 16 GAX13 CM, UNIQUE HUB, ULTRACORE</t>
  </si>
  <si>
    <t>16 GAX13 CM</t>
  </si>
  <si>
    <t>https://res.onemed.com/SE/Produktblad/1115842.pdf, https://accessgudid.nlm.nih.gov/devices/00886333006533</t>
  </si>
  <si>
    <t>762616160</t>
  </si>
  <si>
    <t>ARGON_762616160</t>
  </si>
  <si>
    <t>Ultracore Biopsy Needle 16GA X 16CM</t>
  </si>
  <si>
    <t>PRODIGO1073226</t>
  </si>
  <si>
    <t>UltraCoreGäó Biopsy Needle 16ga x 16cm</t>
  </si>
  <si>
    <t>Ultracore Needle 16 Gax16 Cm Echogenic Tip Unique Hub Sample Notch Sterile Latex</t>
  </si>
  <si>
    <t>NEEDLE, BIOPSY, ECHOGENIC TIP, 16 GAX16 CM, UNIQUE HUB, SAMPLE NOTCH, STERILE, ULTRACORE, LATEX</t>
  </si>
  <si>
    <t>NEEDLE, BX, ECHOGENIC TIP, 16 GAX16 CM, UNIQUE HUB, SAMPLE NOTCH, STRL, ULTRACORE, LTX</t>
  </si>
  <si>
    <t>NEEDLE, BX, ECHOGENIC TIP, 16 GAX16 CM, UNIQUE HUB, ULTRACORE</t>
  </si>
  <si>
    <t>16 GAX16 CM</t>
  </si>
  <si>
    <t>https://res.onemed.com/SE/Produktblad/1115842.pdf, https://accessgudid.nlm.nih.gov/devices/00886333006489</t>
  </si>
  <si>
    <t>762616200</t>
  </si>
  <si>
    <t>ARGON_762616200</t>
  </si>
  <si>
    <t>Ultracore Biopsy Needle 16GA X 20CM</t>
  </si>
  <si>
    <t>PRODIGO1073227</t>
  </si>
  <si>
    <t>UltraCoreGäó Biopsy Needle 16ga x 20cm</t>
  </si>
  <si>
    <t>Ultracore Needle 16 Gax20 Cm Echogenic Tip Unique Hub Sample Notch Sterile Latex</t>
  </si>
  <si>
    <t>NEEDLE, BIOPSY, ECHOGENIC TIP, 16 GAX20 CM, UNIQUE HUB, SAMPLE NOTCH, STERILE, ULTRACORE, LATEX</t>
  </si>
  <si>
    <t>NEEDLE, BX, ECHOGENIC TIP, 16 GAX20 CM, UNIQUE HUB, SAMPLE NOTCH, STRL, ULTRACORE, LTX</t>
  </si>
  <si>
    <t>NEEDLE, BX, ECHOGENIC TIP, 16 GAX20 CM, UNIQUE HUB, ULTRACORE</t>
  </si>
  <si>
    <t>16 GAX20 CM</t>
  </si>
  <si>
    <t>https://res.onemed.com/SE/Produktblad/1115842.pdf, https://accessgudid.nlm.nih.gov/devices/00886333006472</t>
  </si>
  <si>
    <t>762618100</t>
  </si>
  <si>
    <t>ARGON_762618100</t>
  </si>
  <si>
    <t>Ultracore Biopsy Needle 18GA X 10CM</t>
  </si>
  <si>
    <t>PRODIGO1073228</t>
  </si>
  <si>
    <t>UltraCoreGäó Biopsy Needle 18ga x 10cm</t>
  </si>
  <si>
    <t>Ultracore Needle 18 Gax10 Cm Echogenic Tip Unique Hub Sample Notch Sterile Latex</t>
  </si>
  <si>
    <t>NEEDLE, BIOPSY, ECHOGENIC TIP, 18 GAX10 CM, UNIQUE HUB, SAMPLE NOTCH, STERILE, ULTRACORE, LATEX</t>
  </si>
  <si>
    <t>NEEDLE, BX, ECHOGENIC TIP, 18 GAX10 CM, UNIQUE HUB, SAMPLE NOTCH, STRL, ULTRACORE, LTX</t>
  </si>
  <si>
    <t>NEEDLE, BX, ECHOGENIC TIP, 18 GAX10 CM, UNIQUE HUB, ULTRACORE</t>
  </si>
  <si>
    <t>https://res.onemed.com/SE/Produktblad/1115842.pdf, https://accessgudid.nlm.nih.gov/devices/00886333006465</t>
  </si>
  <si>
    <t>762618130</t>
  </si>
  <si>
    <t>ARGON_762618130</t>
  </si>
  <si>
    <t>Ultracore Biopsy Needle 18GA X 13CM</t>
  </si>
  <si>
    <t>PRODIGO1073229</t>
  </si>
  <si>
    <t>UltraCoreGäó Biopsy Needle 18ga x 13cm</t>
  </si>
  <si>
    <t>Ultracore Needle 18 Gax13 Cm Echogenic Tip Unique Hub Sample Notch Sterile Latex</t>
  </si>
  <si>
    <t>NEEDLE, BIOPSY, ECHOGENIC TIP, 18 GAX13 CM, UNIQUE HUB, SAMPLE NOTCH, STERILE, ULTRACORE, LATEX</t>
  </si>
  <si>
    <t>NEEDLE, BX, ECHOGENIC TIP, 18 GAX13 CM, UNIQUE HUB, SAMPLE NOTCH, STRL, ULTRACORE, LTX</t>
  </si>
  <si>
    <t>NEEDLE, BX, ECHOGENIC TIP, 18 GAX13 CM, UNIQUE HUB, ULTRACORE</t>
  </si>
  <si>
    <t>18 GAX13 CM</t>
  </si>
  <si>
    <t>https://res.onemed.com/SE/Produktblad/1115842.pdf, https://accessgudid.nlm.nih.gov/devices/00886333006526</t>
  </si>
  <si>
    <t>762618160</t>
  </si>
  <si>
    <t>ARGON_762618160</t>
  </si>
  <si>
    <t>Ultracore Biopsy Needle 18GA X 16CM</t>
  </si>
  <si>
    <t>PRODIGO1073230</t>
  </si>
  <si>
    <t>UltraCoreGäó Biopsy Needle 18ga x 16cm</t>
  </si>
  <si>
    <t>Ultracore Needle 18 Gax16 Cm Echogenic Tip Unique Hub Sample Notch Sterile Latex</t>
  </si>
  <si>
    <t>NEEDLE, BIOPSY, ECHOGENIC TIP, 18 GAX16 CM, UNIQUE HUB, SAMPLE NOTCH, STERILE, ULTRACORE, LATEX</t>
  </si>
  <si>
    <t>NEEDLE, BX, ECHOGENIC TIP, 18 GAX16 CM, UNIQUE HUB, SAMPLE NOTCH, STRL, ULTRACORE, LTX</t>
  </si>
  <si>
    <t>NEEDLE, BX, ECHOGENIC TIP, 18 GAX16 CM, UNIQUE HUB, ULTRACORE</t>
  </si>
  <si>
    <t>18 GAX16 CM</t>
  </si>
  <si>
    <t>https://res.onemed.com/SE/Produktblad/1115842.pdf, https://accessgudid.nlm.nih.gov/devices/00886333006427</t>
  </si>
  <si>
    <t>762618200</t>
  </si>
  <si>
    <t>ARGON_762618200</t>
  </si>
  <si>
    <t>Ultracore Biopsy Needle 18GA X 20CM</t>
  </si>
  <si>
    <t>PRODIGO1073231</t>
  </si>
  <si>
    <t>UltraCoreGäó Biopsy Needle 18ga x 20cm</t>
  </si>
  <si>
    <t>Ultracore Needle 18 Gax20 Cm Echogenic Tip Unique Hub Sample Notch Sterile Latex</t>
  </si>
  <si>
    <t>NEEDLE, BIOPSY, ECHOGENIC TIP, 18 GAX20 CM, UNIQUE HUB, SAMPLE NOTCH, STERILE, ULTRACORE, LATEX</t>
  </si>
  <si>
    <t>NEEDLE, BX, ECHOGENIC TIP, 18 GAX20 CM, UNIQUE HUB, SAMPLE NOTCH, STRL, ULTRACORE, LTX</t>
  </si>
  <si>
    <t>NEEDLE, BX, ECHOGENIC TIP, 18 GAX20 CM, UNIQUE HUB, ULTRACORE</t>
  </si>
  <si>
    <t>https://res.onemed.com/SE/Produktblad/1115842.pdf, https://accessgudid.nlm.nih.gov/devices/00886333006373</t>
  </si>
  <si>
    <t>762618250</t>
  </si>
  <si>
    <t>ARGON_762618250</t>
  </si>
  <si>
    <t>Ultracore Biopsy Needle 18GA X 25CM</t>
  </si>
  <si>
    <t>PRODIGO1073232</t>
  </si>
  <si>
    <t>UltraCoreGäó Biopsy Needle 18ga x 25cm</t>
  </si>
  <si>
    <t>Ultracore Needle 18 Gax25 Cm Echogenic Tip Unique Hub Sample Notch Sterile Latex</t>
  </si>
  <si>
    <t>NEEDLE, BIOPSY, ECHOGENIC TIP, 18 GAX25 CM, UNIQUE HUB, SAMPLE NOTCH, STERILE, ULTRACORE, LATEX</t>
  </si>
  <si>
    <t>NEEDLE, BX, ECHOGENIC TIP, 18 GAX25 CM, UNIQUE HUB, SAMPLE NOTCH, STRL, ULTRACORE, LTX</t>
  </si>
  <si>
    <t>NEEDLE, BX, ECHOGENIC TIP, 18 GAX25 CM, UNIQUE HUB, ULTRACORE</t>
  </si>
  <si>
    <t>18 GAX25 CM</t>
  </si>
  <si>
    <t>https://res.onemed.com/SE/Produktblad/1115842.pdf, https://accessgudid.nlm.nih.gov/devices/00886333006380</t>
  </si>
  <si>
    <t>762618300</t>
  </si>
  <si>
    <t>ARGON_762618300</t>
  </si>
  <si>
    <t>Ultracore Biopsy Needle 18GA X 30CM</t>
  </si>
  <si>
    <t>PRODIGO1073233</t>
  </si>
  <si>
    <t>UltraCoreGäó Biopsy Needle 18ga x 30cm</t>
  </si>
  <si>
    <t>Ultracore Needle 18 Gax30 Cm Echogenic Tip Unique Hub Sample Notch Sterile Latex</t>
  </si>
  <si>
    <t>NEEDLE, BIOPSY, ECHOGENIC TIP, 18 GAX30 CM, UNIQUE HUB, SAMPLE NOTCH, STERILE, ULTRACORE, LATEX</t>
  </si>
  <si>
    <t>NEEDLE, BX, ECHOGENIC TIP, 18 GAX30 CM, UNIQUE HUB, SAMPLE NOTCH, STRL, ULTRACORE, LTX</t>
  </si>
  <si>
    <t>NEEDLE, BX, ECHOGENIC TIP, 18 GAX30 CM, UNIQUE HUB, ULTRACORE</t>
  </si>
  <si>
    <t>18 GAX30 CM</t>
  </si>
  <si>
    <t>https://res.onemed.com/SE/Produktblad/1115842.pdf, https://accessgudid.nlm.nih.gov/devices/00886333006397</t>
  </si>
  <si>
    <t>762620100</t>
  </si>
  <si>
    <t>ARGON_762620100</t>
  </si>
  <si>
    <t>Ultracore Biopsy Needle 20GA X 10CM</t>
  </si>
  <si>
    <t>PRODIGO1073234</t>
  </si>
  <si>
    <t>UltraCoreGäó Biopsy Needle 20ga x 10cm</t>
  </si>
  <si>
    <t>Ultracore Needle 20 Gax10 Cm Echogenic Tip Unique Hub Sample Notch Sterile Latex</t>
  </si>
  <si>
    <t>NEEDLE, BIOPSY, ECHOGENIC TIP, 20 GAX10 CM, UNIQUE HUB, SAMPLE NOTCH, STERILE, ULTRACORE, LATEX</t>
  </si>
  <si>
    <t>NEEDLE, BX, ECHOGENIC TIP, 20 GAX10 CM, UNIQUE HUB, SAMPLE NOTCH, STRL, ULTRACORE, LTX</t>
  </si>
  <si>
    <t>NEEDLE, BX, ECHOGENIC TIP, 20 GAX10 CM, UNIQUE HUB, ULTRACORE</t>
  </si>
  <si>
    <t>https://res.onemed.com/SE/Produktblad/1115842.pdf, https://accessgudid.nlm.nih.gov/devices/00886333006403</t>
  </si>
  <si>
    <t>762620130</t>
  </si>
  <si>
    <t>ARGON_762620130</t>
  </si>
  <si>
    <t>Ultracore Biopsy Needle 20GA X 13CM</t>
  </si>
  <si>
    <t>PRODIGO1073235</t>
  </si>
  <si>
    <t>UltraCoreGäó Biopsy Needle 20ga x 13cm</t>
  </si>
  <si>
    <t>Ultracore Needle 20 Gax13 Cm Echogenic Tip Unique Hub Sample Notch Sterile Latex</t>
  </si>
  <si>
    <t>NEEDLE, BIOPSY, ECHOGENIC TIP, 20 GAX13 CM, UNIQUE HUB, SAMPLE NOTCH, STERILE, ULTRACORE, LATEX</t>
  </si>
  <si>
    <t>NEEDLE, BX, ECHOGENIC TIP, 20 GAX13 CM, UNIQUE HUB, SAMPLE NOTCH, STRL, ULTRACORE, LTX</t>
  </si>
  <si>
    <t>NEEDLE, BX, ECHOGENIC TIP, 20 GAX13 CM, UNIQUE HUB, ULTRACORE</t>
  </si>
  <si>
    <t>20 GAX13 CM</t>
  </si>
  <si>
    <t>https://res.onemed.com/SE/Produktblad/1115842.pdf, https://accessgudid.nlm.nih.gov/devices/00886333006441</t>
  </si>
  <si>
    <t>762620160</t>
  </si>
  <si>
    <t>ARGON_762620160</t>
  </si>
  <si>
    <t>Ultracore Biopsy Needle 20GA X 16CM</t>
  </si>
  <si>
    <t>PRODIGO1073236</t>
  </si>
  <si>
    <t>UltraCoreGäó Biopsy Needle 20ga x 16cm</t>
  </si>
  <si>
    <t>Ultracore Needle 20 Gax16 Cm Echogenic Tip Unique Hub Sample Notch Sterile Latex</t>
  </si>
  <si>
    <t>NEEDLE, BIOPSY, ECHOGENIC TIP, 20 GAX16 CM, UNIQUE HUB, SAMPLE NOTCH, STERILE, ULTRACORE, LATEX</t>
  </si>
  <si>
    <t>NEEDLE, BX, ECHOGENIC TIP, 20 GAX16 CM, UNIQUE HUB, SAMPLE NOTCH, STRL, ULTRACORE, LTX</t>
  </si>
  <si>
    <t>NEEDLE, BX, ECHOGENIC TIP, 20 GAX16 CM, UNIQUE HUB, ULTRACORE</t>
  </si>
  <si>
    <t>20 GAX16 CM</t>
  </si>
  <si>
    <t>https://res.onemed.com/SE/Produktblad/1115842.pdf, https://accessgudid.nlm.nih.gov/devices/00886333006410</t>
  </si>
  <si>
    <t>762620200</t>
  </si>
  <si>
    <t>ARGON_762620200</t>
  </si>
  <si>
    <t>Ultracore Biopsy Needle 20GA X 20CM</t>
  </si>
  <si>
    <t>PRODIGO1073237</t>
  </si>
  <si>
    <t>UltraCoreGäó Biopsy Needle 20ga x 20cm</t>
  </si>
  <si>
    <t>Ultracore Needle 20 Gax20 Cm Echogenic Tip Unique Hub Sample Notch Sterile Latex</t>
  </si>
  <si>
    <t>NEEDLE, BIOPSY, ECHOGENIC TIP, 20 GAX20 CM, UNIQUE HUB, SAMPLE NOTCH, STERILE, ULTRACORE, LATEX</t>
  </si>
  <si>
    <t>NEEDLE, BX, ECHOGENIC TIP, 20 GAX20 CM, UNIQUE HUB, SAMPLE NOTCH, STRL, ULTRACORE, LTX</t>
  </si>
  <si>
    <t>NEEDLE, BX, ECHOGENIC TIP, 20 GAX20 CM, UNIQUE HUB, ULTRACORE</t>
  </si>
  <si>
    <t>https://res.onemed.com/SE/Produktblad/1115842.pdf, https://accessgudid.nlm.nih.gov/devices/00886333006366</t>
  </si>
  <si>
    <t>763114100X</t>
  </si>
  <si>
    <t>ARGON_763114100X</t>
  </si>
  <si>
    <t>Tru-Core II Biopsy Instrument 14GA X 10CM</t>
  </si>
  <si>
    <t>PRODIGO1073238</t>
  </si>
  <si>
    <t>Tru-CoreGäó II Biopsy Instrument 14ga x 10cm</t>
  </si>
  <si>
    <t>Tru-CoreGäó II Biopsy Instrument</t>
  </si>
  <si>
    <t>Tru-core Ii Needle 14 Gax10 Cm Echogenic Tip Sample Notch For Automatic Instrument Sterile Latex</t>
  </si>
  <si>
    <t>NEEDLE, BIOPSY, ECHOGENIC TIP, 14 GAX10 CM, SAMPLE NOTCH, FOR AUTOMATIC INSTRUMENT, STERILE, TRU-CORE II, LATEX</t>
  </si>
  <si>
    <t>NEEDLE, BX, ECHOGENIC TIP, 14 GAX10 CM, SAMPLE NOTCH, FOR AUTO INSTRUMENT, STRL, TRU-CORE II, LTX</t>
  </si>
  <si>
    <t>NEEDLE, BX, ECHOGENIC TIP, 14 GAX10 CM, FOR AUTO, TRU-CORE II</t>
  </si>
  <si>
    <t>SAMPLE NOTCH, FOR AUTOMATIC INSTRUMENT</t>
  </si>
  <si>
    <t>TRU-CORE II</t>
  </si>
  <si>
    <t>https://res.onemed.com/SE/Produktblad/1115842.pdf, https://accessgudid.nlm.nih.gov/devices/00886333006649</t>
  </si>
  <si>
    <t>763114160X</t>
  </si>
  <si>
    <t>ARGON_763114160X</t>
  </si>
  <si>
    <t>Tru-Core II Biopsy Instrument 14GA X 16CM</t>
  </si>
  <si>
    <t>PRODIGO1073239</t>
  </si>
  <si>
    <t>Tru-CoreGäó II Biopsy Instrument 14ga x 16cm</t>
  </si>
  <si>
    <t>Tru-core Ii Needle 14 Gax16 Cm Echogenic Tip Sample Notch For Automatic Instrument Sterile Latex</t>
  </si>
  <si>
    <t>NEEDLE, BIOPSY, ECHOGENIC TIP, 14 GAX16 CM, SAMPLE NOTCH, FOR AUTOMATIC INSTRUMENT, STERILE, TRU-CORE II, LATEX</t>
  </si>
  <si>
    <t>NEEDLE, BX, ECHOGENIC TIP, 14 GAX16 CM, SAMPLE NOTCH, FOR AUTO INSTRUMENT, STRL, TRU-CORE II, LTX</t>
  </si>
  <si>
    <t>NEEDLE, BX, ECHOGENIC TIP, 14 GAX16 CM, FOR AUTO, TRU-CORE II</t>
  </si>
  <si>
    <t>https://res.onemed.com/SE/Produktblad/1115842.pdf, https://accessgudid.nlm.nih.gov/devices/00886333006632</t>
  </si>
  <si>
    <t>763114200X</t>
  </si>
  <si>
    <t>ARGON_763114200X</t>
  </si>
  <si>
    <t>Tru-Core II Biopsy Instrument 14GA X 20CM</t>
  </si>
  <si>
    <t>PRODIGO1073240</t>
  </si>
  <si>
    <t>Tru-CoreGäó II Biopsy Instrument 14ga x 20cm</t>
  </si>
  <si>
    <t>Tru-core Ii Needle 14 Gax20 Cm Echogenic Tip Sample Notch For Automatic Instrument Sterile Latex</t>
  </si>
  <si>
    <t>NEEDLE, BIOPSY, ECHOGENIC TIP, 14 GAX20 CM, SAMPLE NOTCH, FOR AUTOMATIC INSTRUMENT, STERILE, TRU-CORE II, LATEX</t>
  </si>
  <si>
    <t>NEEDLE, BX, ECHOGENIC TIP, 14 GAX20 CM, SAMPLE NOTCH, FOR AUTO INSTRUMENT, STRL, TRU-CORE II, LTX</t>
  </si>
  <si>
    <t>NEEDLE, BX, ECHOGENIC TIP, 14 GAX20 CM, FOR AUTO, TRU-CORE II</t>
  </si>
  <si>
    <t>https://res.onemed.com/SE/Produktblad/1115842.pdf, https://accessgudid.nlm.nih.gov/devices/00886333006625</t>
  </si>
  <si>
    <t>763116100X</t>
  </si>
  <si>
    <t>ARGON_763116100X</t>
  </si>
  <si>
    <t>Tru-Core II Biopsy Instrument 16GA X 10CM</t>
  </si>
  <si>
    <t>PRODIGO1073241</t>
  </si>
  <si>
    <t>Tru-CoreGäó II Biopsy Instrument 16ga x 10cm</t>
  </si>
  <si>
    <t>Tru-core Ii Needle 16 Gax10 Cm Echogenic Tip Sample Notch For Automatic Instrument Sterile Latex</t>
  </si>
  <si>
    <t>NEEDLE, BIOPSY, ECHOGENIC TIP, 16 GAX10 CM, SAMPLE NOTCH, FOR AUTOMATIC INSTRUMENT, STERILE, TRU-CORE II, LATEX</t>
  </si>
  <si>
    <t>NEEDLE, BX, ECHOGENIC TIP, 16 GAX10 CM, SAMPLE NOTCH, FOR AUTO INSTRUMENT, STRL, TRU-CORE II, LTX</t>
  </si>
  <si>
    <t>NEEDLE, BX, ECHOGENIC TIP, 16 GAX10 CM, FOR AUTO, TRU-CORE II</t>
  </si>
  <si>
    <t>https://res.onemed.com/SE/Produktblad/1115842.pdf, https://accessgudid.nlm.nih.gov/devices/00886333006618</t>
  </si>
  <si>
    <t>763118200X</t>
  </si>
  <si>
    <t>ARGON_763118200X</t>
  </si>
  <si>
    <t>Tru-Core II Biopsy Instrument 18GA X 20CM</t>
  </si>
  <si>
    <t>PRODIGO1073246</t>
  </si>
  <si>
    <t>Tru-CoreGäó II Biopsy Instrument 18ga x 20cm</t>
  </si>
  <si>
    <t>Tru-core Ii Needle 18 Gax20 Cm Echogenic Tip Sample Notch For Automatic Instrument Sterile Latex</t>
  </si>
  <si>
    <t>NEEDLE, BIOPSY, ECHOGENIC TIP, 18 GAX20 CM, SAMPLE NOTCH, FOR AUTOMATIC INSTRUMENT, STERILE, TRU-CORE II, LATEX</t>
  </si>
  <si>
    <t>NEEDLE, BX, ECHOGENIC TIP, 18 GAX20 CM, SAMPLE NOTCH, FOR AUTO INSTRUMENT, STRL, TRU-CORE II, LTX</t>
  </si>
  <si>
    <t>NEEDLE, BX, ECHOGENIC TIP, 18 GAX20 CM, FOR AUTO, TRU-CORE II</t>
  </si>
  <si>
    <t>https://res.onemed.com/SE/Produktblad/1115842.pdf, https://accessgudid.nlm.nih.gov/devices/00886333006656</t>
  </si>
  <si>
    <t>763120160X</t>
  </si>
  <si>
    <t>ARGON_763120160X</t>
  </si>
  <si>
    <t>Tru-Core II Biopsy Instrument 20GA X 16CM</t>
  </si>
  <si>
    <t>PRODIGO1073248</t>
  </si>
  <si>
    <t>Tru-CoreGäó II Biopsy Instrument 20ga x 16cm</t>
  </si>
  <si>
    <t>Tru-core Ii Needle 20 Gax16 Cm Echogenic Tip Sample Notch For Automatic Instrument Sterile Latex</t>
  </si>
  <si>
    <t>NEEDLE, BIOPSY, ECHOGENIC TIP, 20 GAX16 CM, SAMPLE NOTCH, FOR AUTOMATIC INSTRUMENT, STERILE, TRU-CORE II, LATEX</t>
  </si>
  <si>
    <t>NEEDLE, BX, ECHOGENIC TIP, 20 GAX16 CM, SAMPLE NOTCH, FOR AUTO INSTRUMENT, STRL, TRU-CORE II, LTX</t>
  </si>
  <si>
    <t>NEEDLE, BX, ECHOGENIC TIP, 20 GAX16 CM, FOR AUTO, TRU-CORE II</t>
  </si>
  <si>
    <t>https://res.onemed.com/SE/Produktblad/1115842.pdf, https://accessgudid.nlm.nih.gov/devices/00886333006571</t>
  </si>
  <si>
    <t>763418200X</t>
  </si>
  <si>
    <t>ARGON_763418200X</t>
  </si>
  <si>
    <t>Tru-Core II Biopsy Instrument 18GA X 20CM Urology</t>
  </si>
  <si>
    <t>PRODIGO1073250</t>
  </si>
  <si>
    <t>Tru-CoreGäó II URO Biopsy Instrument 18ga x 20cm</t>
  </si>
  <si>
    <t>Tru-CoreGäó II URO Biopsy Instrument</t>
  </si>
  <si>
    <t>NEEDLE, BIOPSY, ECHOGENIC TIP, 18 GAX20 CM, SAMPLE NOTCH, FOR AUTOMATIC INSTRUMENT/UROLOGY, STERILE, TRU-CORE II, LATEX</t>
  </si>
  <si>
    <t>NEEDLE, BX, ECHOGENIC TIP, 18 GAX20 CM, SAMPLE NOTCH, FOR AUTO INSTRUMENT/UROLOGY, STRL, TRU-CORE II, LTX</t>
  </si>
  <si>
    <t>NEEDLE, BX, ECHOGENIC TIP, 18 GAX20 CM, UROLOGY, TRU-CORE II</t>
  </si>
  <si>
    <t>SAMPLE NOTCH, FOR AUTOMATIC INSTRUMENT/UROLOGY</t>
  </si>
  <si>
    <t>https://res.onemed.com/SE/Produktblad/1115842.pdf, https://accessgudid.nlm.nih.gov/devices/00886333006809</t>
  </si>
  <si>
    <t>763418250X</t>
  </si>
  <si>
    <t>ARGON_763418250X</t>
  </si>
  <si>
    <t>Tru-Core II Biopsy Instrument 18GA X 25CM Urology</t>
  </si>
  <si>
    <t>PRODIGO1073251</t>
  </si>
  <si>
    <t>Tru-CoreGäó II URO Biopsy Instrument 18ga x 25cm</t>
  </si>
  <si>
    <t>Tru-core Ii Needle 18 Gax25 Cm Echogenic Tip Sample Notch For Automatic Instrument Sterile Latex</t>
  </si>
  <si>
    <t>NEEDLE, BIOPSY, ECHOGENIC TIP, 18 GAX25 CM, SAMPLE NOTCH, FOR AUTOMATIC INSTRUMENT, STERILE, TRU-CORE II, LATEX</t>
  </si>
  <si>
    <t>NEEDLE, BX, ECHOGENIC TIP, 18 GAX25 CM, SAMPLE NOTCH, FOR AUTO INSTRUMENT, STRL, TRU-CORE II, LTX</t>
  </si>
  <si>
    <t>NEEDLE, BX, ECHOGENIC TIP, 18 GAX25 CM, SAMPLE NOTCH, TRU-CORE II</t>
  </si>
  <si>
    <t>https://res.onemed.com/SE/Produktblad/1115842.pdf, https://accessgudid.nlm.nih.gov/devices/00886333006816</t>
  </si>
  <si>
    <t>765014100</t>
  </si>
  <si>
    <t>ARGON_765014100</t>
  </si>
  <si>
    <t>Pro-Mag Biopsy Needle 14GA X 10CM</t>
  </si>
  <si>
    <t>PRODIGO1073252</t>
  </si>
  <si>
    <t>Pro-MagGäó Biopsy Needle 14ga x 10cm</t>
  </si>
  <si>
    <t>Pro-MagGäó Biopsy Needle</t>
  </si>
  <si>
    <t>Pro-mag Ultra Needle 14 Gax10 Cm Echogenic Tip Unique Hub Sample Notch Sterile Latex</t>
  </si>
  <si>
    <t>NEEDLE, BIOPSY, ECHOGENIC TIP, 14 GAX10 CM, UNIQUE HUB, SAMPLE NOTCH, STERILE, PRO-MAG ULTRA, LATEX</t>
  </si>
  <si>
    <t>NEEDLE, BX, ECHOGENIC TIP, 14 GAX10 CM, UNIQUE HUB, SAMPLE NOTCH, STRL, PRO-MAG ULTRA, LTX</t>
  </si>
  <si>
    <t>NEEDLE, BX, ECHOGENIC TIP, 14 GAX10 CM, UNIQUE HUB, PRO-MAG ULTRA</t>
  </si>
  <si>
    <t>PRO-MAG ULTRA</t>
  </si>
  <si>
    <t>https://res.onemed.com/SE/Produktblad/1115842.pdf, https://accessgudid.nlm.nih.gov/devices/00886333006861</t>
  </si>
  <si>
    <t>765014120</t>
  </si>
  <si>
    <t>ARGON_765014120</t>
  </si>
  <si>
    <t>Pro-Mag Biopsy Needle 14GA X 12CM</t>
  </si>
  <si>
    <t>PRODIGO1073253</t>
  </si>
  <si>
    <t>Pro-MagGäó Biopsy Needle 14ga x 12cm</t>
  </si>
  <si>
    <t>Pro-mag Ultra Needle 14 Gax12 Cm Echogenic Tip Unique Hub Sample Notch Sterile Latex</t>
  </si>
  <si>
    <t>NEEDLE, BIOPSY, ECHOGENIC TIP, 14 GAX12 CM, UNIQUE HUB, SAMPLE NOTCH, STERILE, PRO-MAG ULTRA, LATEX</t>
  </si>
  <si>
    <t>NEEDLE, BX, ECHOGENIC TIP, 14 GAX12 CM, UNIQUE HUB, SAMPLE NOTCH, STRL, PRO-MAG ULTRA, LTX</t>
  </si>
  <si>
    <t>NEEDLE, BX, ECHOGENIC TIP, 14 GAX12 CM, UNIQUE HUB, PRO-MAG ULTRA</t>
  </si>
  <si>
    <t>14 GAX12 CM</t>
  </si>
  <si>
    <t>https://res.onemed.com/SE/Produktblad/1115842.pdf, https://accessgudid.nlm.nih.gov/devices/00886333006991</t>
  </si>
  <si>
    <t>765014160</t>
  </si>
  <si>
    <t>ARGON_765014160</t>
  </si>
  <si>
    <t>Pro-Mag Biopsy Needle 14GA X 16CM</t>
  </si>
  <si>
    <t>PRODIGO1073254</t>
  </si>
  <si>
    <t>Pro-MagGäó Biopsy Needle 14ga x 16cm</t>
  </si>
  <si>
    <t>Pro-mag Ultra Needle 14 Gax16 Cm Echogenic Tip Unique Hub Sample Notch Sterile Latex</t>
  </si>
  <si>
    <t>NEEDLE, BIOPSY, ECHOGENIC TIP, 14 GAX16 CM, UNIQUE HUB, SAMPLE NOTCH, STERILE, PRO-MAG ULTRA, LATEX</t>
  </si>
  <si>
    <t>NEEDLE, BX, ECHOGENIC TIP, 14 GAX16 CM, UNIQUE HUB, SAMPLE NOTCH, STRL, PRO-MAG ULTRA, LTX</t>
  </si>
  <si>
    <t>NEEDLE, BX, ECHOGENIC TIP, 14 GAX16 CM, UNIQUE HUB, PRO-MAG ULTRA</t>
  </si>
  <si>
    <t>https://res.onemed.com/SE/Produktblad/1115842.pdf, https://accessgudid.nlm.nih.gov/devices/00886333007011</t>
  </si>
  <si>
    <t>765014200</t>
  </si>
  <si>
    <t>ARGON_765014200</t>
  </si>
  <si>
    <t>Pro-Mag Biopsy Needle 14GA X 20CM</t>
  </si>
  <si>
    <t>PRODIGO1073255</t>
  </si>
  <si>
    <t>Pro-MagGäó Biopsy Needle 14ga x 20cm</t>
  </si>
  <si>
    <t>Pro-mag Ultra Needle 14 Gax20 Cm Echogenic Tip Unique Hub Sample Notch Sterile Latex</t>
  </si>
  <si>
    <t>NEEDLE, BIOPSY, ECHOGENIC TIP, 14 GAX20 CM, UNIQUE HUB, SAMPLE NOTCH, STERILE, PRO-MAG ULTRA, LATEX</t>
  </si>
  <si>
    <t>NEEDLE, BX, ECHOGENIC TIP, 14 GAX20 CM, UNIQUE HUB, SAMPLE NOTCH, STRL, PRO-MAG ULTRA, LTX</t>
  </si>
  <si>
    <t>NEEDLE, BX, ECHOGENIC TIP, 14 GAX20 CM, UNIQUE HUB, PRO-MAG ULTRA</t>
  </si>
  <si>
    <t>https://res.onemed.com/SE/Produktblad/1115842.pdf, https://accessgudid.nlm.nih.gov/devices/00886333006984</t>
  </si>
  <si>
    <t>765016100</t>
  </si>
  <si>
    <t>ARGON_765016100</t>
  </si>
  <si>
    <t>Pro-Mag Biopsy Needle 16GA X 10CM</t>
  </si>
  <si>
    <t>PRODIGO1073256</t>
  </si>
  <si>
    <t>Pro-MagGäó Biopsy Needle 16ga x 10cm</t>
  </si>
  <si>
    <t>Pro-mag Ultra Needle 16 Gax10 Cm Echogenic Tip Unique Hub Sample Notch Sterile Latex</t>
  </si>
  <si>
    <t>NEEDLE, BIOPSY, ECHOGENIC TIP, 16 GAX10 CM, UNIQUE HUB, SAMPLE NOTCH, STERILE, PRO-MAG ULTRA, LATEX</t>
  </si>
  <si>
    <t>NEEDLE, BX, ECHOGENIC TIP, 16 GAX10 CM, UNIQUE HUB, SAMPLE NOTCH, STRL, PRO-MAG ULTRA, LTX</t>
  </si>
  <si>
    <t>NEEDLE, BX, ECHOGENIC TIP, 16 GAX10 CM, UNIQUE HUB, PRO-MAG ULTRA</t>
  </si>
  <si>
    <t>https://res.onemed.com/SE/Produktblad/1115842.pdf, https://accessgudid.nlm.nih.gov/devices/00886333006977</t>
  </si>
  <si>
    <t>765016160</t>
  </si>
  <si>
    <t>ARGON_765016160</t>
  </si>
  <si>
    <t>Pro-Mag Biopsy Needle 16GA X 16CM</t>
  </si>
  <si>
    <t>PRODIGO1073257</t>
  </si>
  <si>
    <t>Pro-MagGäó Biopsy Needle 16ga x 16cm</t>
  </si>
  <si>
    <t>Pro-mag Ultra Needle 16 Gax16 Cm Echogenic Tip Unique Hub Sample Notch Sterile Latex</t>
  </si>
  <si>
    <t>NEEDLE, BIOPSY, ECHOGENIC TIP, 16 GAX16 CM, UNIQUE HUB, SAMPLE NOTCH, STERILE, PRO-MAG ULTRA, LATEX</t>
  </si>
  <si>
    <t>NEEDLE, BX, ECHOGENIC TIP, 16 GAX16 CM, UNIQUE HUB, SAMPLE NOTCH, STRL, PRO-MAG ULTRA, LTX</t>
  </si>
  <si>
    <t>NEEDLE, BX, ECHOGENIC TIP, 16 GAX16 CM, UNIQUE HUB, PRO-MAG ULTRA</t>
  </si>
  <si>
    <t>https://res.onemed.com/SE/Produktblad/1115842.pdf, https://accessgudid.nlm.nih.gov/devices/00886333006960</t>
  </si>
  <si>
    <t>765016200</t>
  </si>
  <si>
    <t>ARGON_765016200</t>
  </si>
  <si>
    <t>Pro-Mag Biopsy Needle 16GA X 20CM</t>
  </si>
  <si>
    <t>PRODIGO1073258</t>
  </si>
  <si>
    <t>Pro-MagGäó Biopsy Needle 16ga x 20cm</t>
  </si>
  <si>
    <t>Pro-mag Ultra Needle 16 Gax20 Cm Echogenic Tip Unique Hub Sample Notch Sterile Latex</t>
  </si>
  <si>
    <t>NEEDLE, BIOPSY, ECHOGENIC TIP, 16 GAX20 CM, UNIQUE HUB, SAMPLE NOTCH, STERILE, PRO-MAG ULTRA, LATEX</t>
  </si>
  <si>
    <t>NEEDLE, BX, ECHOGENIC TIP, 16 GAX20 CM, UNIQUE HUB, SAMPLE NOTCH, STRL, PRO-MAG ULTRA, LTX</t>
  </si>
  <si>
    <t>NEEDLE, BX, ECHOGENIC TIP, 16 GAX20 CM, UNIQUE HUB, PRO-MAG ULTRA</t>
  </si>
  <si>
    <t>https://res.onemed.com/SE/Produktblad/1115842.pdf, https://accessgudid.nlm.nih.gov/devices/00886333006953</t>
  </si>
  <si>
    <t>765016250</t>
  </si>
  <si>
    <t>ARGON_765016250</t>
  </si>
  <si>
    <t>Pro-Mag Biopsy Needle 16GA X 25CM</t>
  </si>
  <si>
    <t>PRODIGO1073259</t>
  </si>
  <si>
    <t>Pro-MagGäó Biopsy Needle 16ga x 25cm</t>
  </si>
  <si>
    <t>Pro-mag Ultra Needle 16 Gax25 Cm Echogenic Tip Unique Hub Sample Notch Sterile Latex</t>
  </si>
  <si>
    <t>NEEDLE, BIOPSY, ECHOGENIC TIP, 16 GAX25 CM, UNIQUE HUB, SAMPLE NOTCH, STERILE, PRO-MAG ULTRA, LATEX</t>
  </si>
  <si>
    <t>NEEDLE, BX, ECHOGENIC TIP, 16 GAX25 CM, UNIQUE HUB, SAMPLE NOTCH, STRL, PRO-MAG ULTRA, LTX</t>
  </si>
  <si>
    <t>NEEDLE, BX, ECHOGENIC TIP, 16 GAX25 CM, UNIQUE HUB, PRO-MAG ULTRA</t>
  </si>
  <si>
    <t>16 GAX25 CM</t>
  </si>
  <si>
    <t>https://res.onemed.com/SE/Produktblad/1115842.pdf, https://accessgudid.nlm.nih.gov/devices/00886333006946</t>
  </si>
  <si>
    <t>765018100</t>
  </si>
  <si>
    <t>ARGON_765018100</t>
  </si>
  <si>
    <t>Pro-Mag Biopsy Needle 18GA X 10CM</t>
  </si>
  <si>
    <t>PRODIGO1073260</t>
  </si>
  <si>
    <t>Pro-MagGäó Biopsy Needle 18ga x 10cm</t>
  </si>
  <si>
    <t>Pro-mag Ultra Needle 18 Gax10 Cm Echogenic Tip Unique Hub Sample Notch Sterile Latex</t>
  </si>
  <si>
    <t>NEEDLE, BIOPSY, ECHOGENIC TIP, 18 GAX10 CM, UNIQUE HUB, SAMPLE NOTCH, STERILE, PRO-MAG ULTRA, LATEX</t>
  </si>
  <si>
    <t>NEEDLE, BX, ECHOGENIC TIP, 18 GAX10 CM, UNIQUE HUB, SAMPLE NOTCH, STRL, PRO-MAG ULTRA, LTX</t>
  </si>
  <si>
    <t>NEEDLE, BX, ECHOGENIC TIP, 18 GAX10 CM, UNIQUE HUB, PRO-MAG ULTRA</t>
  </si>
  <si>
    <t>https://res.onemed.com/SE/Produktblad/1115842.pdf, https://accessgudid.nlm.nih.gov/devices/00886333007004</t>
  </si>
  <si>
    <t>765018160</t>
  </si>
  <si>
    <t>ARGON_765018160</t>
  </si>
  <si>
    <t>Pro-Mag Biopsy Needle 18GA X 16CM</t>
  </si>
  <si>
    <t>PRODIGO1073261</t>
  </si>
  <si>
    <t>Pro-MagGäó Biopsy Needle 18ga x 16cm</t>
  </si>
  <si>
    <t>Pro-mag Ultra Needle 18 Gax16 Cm Echogenic Tip Unique Hub Sample Notch Sterile Latex</t>
  </si>
  <si>
    <t>NEEDLE, BIOPSY, ECHOGENIC TIP, 18 GAX16 CM, UNIQUE HUB, SAMPLE NOTCH, STERILE, PRO-MAG ULTRA, LATEX</t>
  </si>
  <si>
    <t>NEEDLE, BX, ECHOGENIC TIP, 18 GAX16 CM, UNIQUE HUB, SAMPLE NOTCH, STRL, PRO-MAG ULTRA, LTX</t>
  </si>
  <si>
    <t>NEEDLE, BX, ECHOGENIC TIP, 18 GAX16 CM, UNIQUE HUB, PRO-MAG ULTRA</t>
  </si>
  <si>
    <t>https://res.onemed.com/SE/Produktblad/1115842.pdf, https://accessgudid.nlm.nih.gov/devices/00886333006854</t>
  </si>
  <si>
    <t>765018200</t>
  </si>
  <si>
    <t>ARGON_765018200</t>
  </si>
  <si>
    <t>Pro-Mag Biopsy Needle 18GA X 20CM</t>
  </si>
  <si>
    <t>PRODIGO1073262</t>
  </si>
  <si>
    <t>Pro-MagGäó Biopsy Needle 18ga x 20cm</t>
  </si>
  <si>
    <t>Pro-mag Ultra Needle 18 Gax20 Cm Echogenic Tip Unique Hub Sample Notch Sterile Latex</t>
  </si>
  <si>
    <t>NEEDLE, BIOPSY, ECHOGENIC TIP, 18 GAX20 CM, UNIQUE HUB, SAMPLE NOTCH, STERILE, PRO-MAG ULTRA, LATEX</t>
  </si>
  <si>
    <t>NEEDLE, BX, ECHOGENIC TIP, 18 GAX20 CM, UNIQUE HUB, SAMPLE NOTCH, STRL, PRO-MAG ULTRA, LTX</t>
  </si>
  <si>
    <t>NEEDLE, BX, ECHOGENIC TIP, 18 GAX20 CM, UNIQUE HUB, PRO-MAG ULTRA</t>
  </si>
  <si>
    <t>https://res.onemed.com/SE/Produktblad/1115842.pdf, https://accessgudid.nlm.nih.gov/devices/00886333006922</t>
  </si>
  <si>
    <t>765018250</t>
  </si>
  <si>
    <t>ARGON_765018250</t>
  </si>
  <si>
    <t>Pro-Mag Biopsy Needle 18GA X 25CM</t>
  </si>
  <si>
    <t>PRODIGO1073263</t>
  </si>
  <si>
    <t>Pro-MagGäó Biopsy Needle 18ga x 25cm</t>
  </si>
  <si>
    <t>Pro-mag Ultra Needle 18 Gax25 Cm Echogenic Tip Unique Hub Sample Notch Sterile Latex</t>
  </si>
  <si>
    <t>NEEDLE, BIOPSY, ECHOGENIC TIP, 18 GAX25 CM, UNIQUE HUB, SAMPLE NOTCH, STERILE, PRO-MAG ULTRA, LATEX</t>
  </si>
  <si>
    <t>NEEDLE, BX, ECHOGENIC TIP, 18 GAX25 CM, UNIQUE HUB, SAMPLE NOTCH, STRL, PRO-MAG ULTRA, LTX</t>
  </si>
  <si>
    <t>NEEDLE, BX, ECHOGENIC TIP, 18 GAX25 CM, UNIQUE HUB, PRO-MAG ULTRA</t>
  </si>
  <si>
    <t>https://res.onemed.com/SE/Produktblad/1115842.pdf, https://accessgudid.nlm.nih.gov/devices/00886333006915</t>
  </si>
  <si>
    <t>765020100</t>
  </si>
  <si>
    <t>ARGON_765020100</t>
  </si>
  <si>
    <t>Pro-Mag Biopsy Needle 20GA X 10CM</t>
  </si>
  <si>
    <t>PRODIGO1073265</t>
  </si>
  <si>
    <t>Pro-MagGäó Biopsy Needle 20ga x 10cm</t>
  </si>
  <si>
    <t>Pro-mag Ultra Needle 20 Gax10 Cm Echogenic Tip Unique Hub Sample Notch Sterile Latex</t>
  </si>
  <si>
    <t>NEEDLE, BIOPSY, ECHOGENIC TIP, 20 GAX10 CM, UNIQUE HUB, SAMPLE NOTCH, STERILE, PRO-MAG ULTRA, LATEX</t>
  </si>
  <si>
    <t>NEEDLE, BX, ECHOGENIC TIP, 20 GAX10 CM, UNIQUE HUB, SAMPLE NOTCH, STRL, PRO-MAG ULTRA, LTX</t>
  </si>
  <si>
    <t>NEEDLE, BX, ECHOGENIC TIP, 20 GAX10 CM, UNIQUE HUB, PRO-MAG ULTRA</t>
  </si>
  <si>
    <t>https://res.onemed.com/SE/Produktblad/1115842.pdf, https://accessgudid.nlm.nih.gov/devices/00886333006892</t>
  </si>
  <si>
    <t>765020160</t>
  </si>
  <si>
    <t>ARGON_765020160</t>
  </si>
  <si>
    <t>Pro-Mag Biopsy Needle 20GA X 16CM</t>
  </si>
  <si>
    <t>PRODIGO1073266</t>
  </si>
  <si>
    <t>Pro-MagGäó Biopsy Needle 20ga x 16cm</t>
  </si>
  <si>
    <t>Pro-mag Ultra Needle 20 Gax16 Cm Echogenic Tip Unique Hub Sample Notch Sterile Latex</t>
  </si>
  <si>
    <t>NEEDLE, BIOPSY, ECHOGENIC TIP, 20 GAX16 CM, UNIQUE HUB, SAMPLE NOTCH, STERILE, PRO-MAG ULTRA, LATEX</t>
  </si>
  <si>
    <t>NEEDLE, BX, ECHOGENIC TIP, 20 GAX16 CM, UNIQUE HUB, SAMPLE NOTCH, STRL, PRO-MAG ULTRA, LTX</t>
  </si>
  <si>
    <t>NEEDLE, BX, ECHOGENIC TIP, 20 GAX16 CM, UNIQUE HUB, PRO-MAG ULTRA</t>
  </si>
  <si>
    <t>https://res.onemed.com/SE/Produktblad/1115842.pdf, https://accessgudid.nlm.nih.gov/devices/00886333006885</t>
  </si>
  <si>
    <t>765020200</t>
  </si>
  <si>
    <t>ARGON_765020200</t>
  </si>
  <si>
    <t>Pro-Mag Biopsy Needle 20GA X 20CM</t>
  </si>
  <si>
    <t>PRODIGO1073267</t>
  </si>
  <si>
    <t>Pro-MagGäó Biopsy Needle 20ga x 20cm</t>
  </si>
  <si>
    <t>Pro-mag Ultra Needle 20 Gax20 Cm Echogenic Tip Unique Hub Sample Notch Sterile Latex</t>
  </si>
  <si>
    <t>NEEDLE, BIOPSY, ECHOGENIC TIP, 20 GAX20 CM, UNIQUE HUB, SAMPLE NOTCH, STERILE, PRO-MAG ULTRA, LATEX</t>
  </si>
  <si>
    <t>NEEDLE, BX, ECHOGENIC TIP, 20 GAX20 CM, UNIQUE HUB, SAMPLE NOTCH, STRL, PRO-MAG ULTRA, LTX</t>
  </si>
  <si>
    <t>NEEDLE, BX, ECHOGENIC TIP, 20 GAX20 CM, UNIQUE HUB, PRO-MAG ULTRA</t>
  </si>
  <si>
    <t>https://res.onemed.com/SE/Produktblad/1115842.pdf, https://accessgudid.nlm.nih.gov/devices/00886333006878</t>
  </si>
  <si>
    <t>7675</t>
  </si>
  <si>
    <t>ARGON_7675</t>
  </si>
  <si>
    <t>Pro-Mag Ultra Automatic Biopsy Instrument</t>
  </si>
  <si>
    <t>PRODIGO1073268</t>
  </si>
  <si>
    <t>Pro-MagGäó Ultra Automatic Biopsy Instrument</t>
  </si>
  <si>
    <t>Pro-mag Ultra Needle Echogenic Tip For Automatic Instrument Non Sterile Latex Reusable</t>
  </si>
  <si>
    <t>NEEDLE, BIOPSY, ECHOGENIC TIP, FOR AUTOMATIC INSTRUMENT, NON STERILE, PRO-MAG ULTRA, LATEX, REUSABLE</t>
  </si>
  <si>
    <t>NEEDLE, BX, ECHOGENIC TIP, FOR AUTO INSTRUMENT, NS, PRO-MAG ULTRA, LTX, REUSE</t>
  </si>
  <si>
    <t>NEEDLE, BX, ECHOGENIC TIP, FOR AUTO INSTRUMENT, NS, PRO-MAG ULTRA</t>
  </si>
  <si>
    <t>FOR AUTOMATIC INSTRUMENT</t>
  </si>
  <si>
    <t>NON STERILE</t>
  </si>
  <si>
    <t>REUSABLE</t>
  </si>
  <si>
    <t>https://res.onemed.com/SE/Produktblad/1115842.pdf, https://accessgudid.nlm.nih.gov/devices/20886333007190</t>
  </si>
  <si>
    <t>ACN1410MF</t>
  </si>
  <si>
    <t>ARGON_ACN1410MF</t>
  </si>
  <si>
    <t>ACN Biopsy Needle 14GA X 10CM Promag 2.2</t>
  </si>
  <si>
    <t>PRODIGO1073270</t>
  </si>
  <si>
    <t>ACNGäó Biopsy Needle 14ga x 10cm</t>
  </si>
  <si>
    <t>ACNGäó Biopsy Needle</t>
  </si>
  <si>
    <t>Acn Needle 14 Gax10 Cm Echogenic Tip Unique Hub Sample Notch For Pro-mag Ultra 2.2 Instrument Sterile Latex</t>
  </si>
  <si>
    <t>NEEDLE, BIOPSY, ECHOGENIC TIP, 14 GAX10 CM, UNIQUE HUB, SAMPLE NOTCH, FOR PRO-MAG ULTRA 2.2 INSTRUMENT, STERILE, ACN, LATEX</t>
  </si>
  <si>
    <t>NEEDLE, BX, ECHOGENIC TIP, 14 GAX10 CM, UNIQUE HUB, SAMPLE NOTCH, FOR PRO-MAG ULTRA 2.2 INSTRUMENT, STRL, ACN, LTX</t>
  </si>
  <si>
    <t>NEEDLE, BX, ECHOGENIC TIP, 14 GAX10 CM, PRO-MAG ULTRA 2.2, ACN</t>
  </si>
  <si>
    <t>UNIQUE HUB, SAMPLE NOTCH, FOR PRO-MAG ULTRA 2.2 INSTRUMENT</t>
  </si>
  <si>
    <t>ACN</t>
  </si>
  <si>
    <t>https://res.onemed.com/SE/Produktblad/1115842.pdf, https://accessgudid.nlm.nih.gov/devices/00886333007387</t>
  </si>
  <si>
    <t>ACN1412MF</t>
  </si>
  <si>
    <t>ARGON_ACN1412MF</t>
  </si>
  <si>
    <t>ACN Biopsy Needle 14GA X 12CM Promag 2.2</t>
  </si>
  <si>
    <t>PRODIGO1073271</t>
  </si>
  <si>
    <t>ACNGäó Biopsy Needle 14ga x 12cm</t>
  </si>
  <si>
    <t>Acn Needle 14 Gax12 Cm Echogenic Tip Unique Hub Sample Notch For Pro-mag Ultra 2.2 Instrument Sterile Latex</t>
  </si>
  <si>
    <t>NEEDLE, BIOPSY, ECHOGENIC TIP, 14 GAX12 CM, UNIQUE HUB, SAMPLE NOTCH, FOR PRO-MAG ULTRA 2.2 INSTRUMENT, STERILE, ACN, LATEX</t>
  </si>
  <si>
    <t>NEEDLE, BX, ECHOGENIC TIP, 14 GAX12 CM, UNIQUE HUB, SAMPLE NOTCH, FOR PRO-MAG ULTRA 2.2 INSTRUMENT, STRL, ACN, LTX</t>
  </si>
  <si>
    <t>NEEDLE, BX, ECHOGENIC TIP, 14 GAX12 CM, PRO-MAG ULTRA 2.2, ACN</t>
  </si>
  <si>
    <t>https://res.onemed.com/SE/Produktblad/1115842.pdf, https://accessgudid.nlm.nih.gov/devices/00886333007288</t>
  </si>
  <si>
    <t>ACN1416MF</t>
  </si>
  <si>
    <t>ARGON_ACN1416MF</t>
  </si>
  <si>
    <t>ACN Biopsy Needle 14GA X 16CM Promag 2.2</t>
  </si>
  <si>
    <t>PRODIGO1073272</t>
  </si>
  <si>
    <t>ACNGäó Biopsy Needle 14ga x 16cm</t>
  </si>
  <si>
    <t>Acn Needle 14 Gax16 Cm Echogenic Tip Unique Hub Sample Notch For Pro-mag Ultra 2.2 Instrument Sterile Latex</t>
  </si>
  <si>
    <t>NEEDLE, BIOPSY, ECHOGENIC TIP, 14 GAX16 CM, UNIQUE HUB, SAMPLE NOTCH, FOR PRO-MAG ULTRA 2.2 INSTRUMENT, STERILE, ACN, LATEX</t>
  </si>
  <si>
    <t>NEEDLE, BX, ECHOGENIC TIP, 14 GAX16 CM, UNIQUE HUB, SAMPLE NOTCH, FOR PRO-MAG ULTRA 2.2 INSTRUMENT, STRL, ACN, LTX</t>
  </si>
  <si>
    <t>NEEDLE, BX, ECHOGENIC TIP, 14 GAX16 CM, PRO-MAG ULTRA 2.2, ACN</t>
  </si>
  <si>
    <t>https://res.onemed.com/SE/Produktblad/1115842.pdf, https://accessgudid.nlm.nih.gov/devices/00886333007271</t>
  </si>
  <si>
    <t>ACN1420MF</t>
  </si>
  <si>
    <t>ARGON_ACN1420MF</t>
  </si>
  <si>
    <t>ACN Biopsy Needle 14GA X 20CM Promag 2.2</t>
  </si>
  <si>
    <t>PRODIGO1073273</t>
  </si>
  <si>
    <t>ACNGäó Biopsy Needle 14ga x 20cm</t>
  </si>
  <si>
    <t>Acn Needle 14 Gax20 Cm Echogenic Tip Unique Hub Sample Notch For Pro-mag Ultra 2.2 Instrument Sterile Latex</t>
  </si>
  <si>
    <t>NEEDLE, BIOPSY, ECHOGENIC TIP, 14 GAX20 CM, UNIQUE HUB, SAMPLE NOTCH, FOR PRO-MAG ULTRA 2.2 INSTRUMENT, STERILE, ACN, LATEX</t>
  </si>
  <si>
    <t>NEEDLE, BX, ECHOGENIC TIP, 14 GAX20 CM, UNIQUE HUB, SAMPLE NOTCH, FOR PRO-MAG ULTRA 2.2 INSTRUMENT, STRL, ACN, LTX</t>
  </si>
  <si>
    <t>NEEDLE, BX, ECHOGENIC TIP, 14 GAX20 CM, PRO-MAG ULTRA 2.2, ACN</t>
  </si>
  <si>
    <t>https://res.onemed.com/SE/Produktblad/1115842.pdf, https://accessgudid.nlm.nih.gov/devices/00886333007301</t>
  </si>
  <si>
    <t>ACN1610MF</t>
  </si>
  <si>
    <t>ARGON_ACN1610MF</t>
  </si>
  <si>
    <t>ACN Biopsy Needle 16GA X 10CM Promag 2.2</t>
  </si>
  <si>
    <t>PRODIGO1073274</t>
  </si>
  <si>
    <t>ACNGäó Biopsy Needle 16ga x 10cm</t>
  </si>
  <si>
    <t>Acn Needle 16 Gax10 Cm Echogenic Tip Unique Hub Sample Notch For Pro-mag Ultra 2.2 Instrument Sterile Latex</t>
  </si>
  <si>
    <t>NEEDLE, BIOPSY, ECHOGENIC TIP, 16 GAX10 CM, UNIQUE HUB, SAMPLE NOTCH, FOR PRO-MAG ULTRA 2.2 INSTRUMENT, STERILE, ACN, LATEX</t>
  </si>
  <si>
    <t>NEEDLE, BX, ECHOGENIC TIP, 16 GAX10 CM, UNIQUE HUB, SAMPLE NOTCH, FOR PRO-MAG ULTRA 2.2 INSTRUMENT, STRL, ACN, LTX</t>
  </si>
  <si>
    <t>NEEDLE, BX, ECHOGENIC TIP, 16 GAX10 CM, PRO-MAG ULTRA 2.2, ACN</t>
  </si>
  <si>
    <t>https://res.onemed.com/SE/Produktblad/1115842.pdf, https://accessgudid.nlm.nih.gov/devices/00886333007325</t>
  </si>
  <si>
    <t>ACN1616MF</t>
  </si>
  <si>
    <t>ARGON_ACN1616MF</t>
  </si>
  <si>
    <t>ACN Biopsy Needle 16GA X 16CM Promag 2.2</t>
  </si>
  <si>
    <t>PRODIGO1073275</t>
  </si>
  <si>
    <t>ACNGäó Biopsy Needle 16ga x 16cm</t>
  </si>
  <si>
    <t>Acn Needle 16 Gax16 Cm Echogenic Tip Unique Hub Sample Notch For Pro-mag Ultra 2.2 Instrument Sterile Latex</t>
  </si>
  <si>
    <t>NEEDLE, BIOPSY, ECHOGENIC TIP, 16 GAX16 CM, UNIQUE HUB, SAMPLE NOTCH, FOR PRO-MAG ULTRA 2.2 INSTRUMENT, STERILE, ACN, LATEX</t>
  </si>
  <si>
    <t>NEEDLE, BX, ECHOGENIC TIP, 16 GAX16 CM, UNIQUE HUB, SAMPLE NOTCH, FOR PRO-MAG ULTRA 2.2 INSTRUMENT, STRL, ACN, LTX</t>
  </si>
  <si>
    <t>NEEDLE, BX, ECHOGENIC TIP, 16 GAX16 CM, PRO-MAG ULTRA 2.2, ACN</t>
  </si>
  <si>
    <t>https://res.onemed.com/SE/Produktblad/1115842.pdf, https://accessgudid.nlm.nih.gov/devices/00886333007394</t>
  </si>
  <si>
    <t>ACN1620MF</t>
  </si>
  <si>
    <t>ARGON_ACN1620MF</t>
  </si>
  <si>
    <t>ACN Biopsy Needle 16GA X 20CM Promag 2.2</t>
  </si>
  <si>
    <t>PRODIGO1073276</t>
  </si>
  <si>
    <t>ACNGäó Biopsy Needle 16ga x 20cm</t>
  </si>
  <si>
    <t>Acn Needle 16 Gax20 Cm Echogenic Tip Unique Hub Sample Notch For Pro-mag Ultra 2.2 Instrument Sterile Latex</t>
  </si>
  <si>
    <t>NEEDLE, BIOPSY, ECHOGENIC TIP, 16 GAX20 CM, UNIQUE HUB, SAMPLE NOTCH, FOR PRO-MAG ULTRA 2.2 INSTRUMENT, STERILE, ACN, LATEX</t>
  </si>
  <si>
    <t>NEEDLE, BX, ECHOGENIC TIP, 16 GAX20 CM, UNIQUE HUB, SAMPLE NOTCH, FOR PRO-MAG ULTRA 2.2 INSTRUMENT, STRL, ACN, LTX</t>
  </si>
  <si>
    <t>NEEDLE, BX, ECHOGENIC TIP, 16 GAX20 CM, PRO-MAG ULTRA 2.2, ACN</t>
  </si>
  <si>
    <t>https://res.onemed.com/SE/Produktblad/1115842.pdf, https://accessgudid.nlm.nih.gov/devices/00886333007349</t>
  </si>
  <si>
    <t>ACN1625MF</t>
  </si>
  <si>
    <t>ARGON_ACN1625MF</t>
  </si>
  <si>
    <t>ACN Biopsy Needle 16GA X 25CM Promag 2.2</t>
  </si>
  <si>
    <t>PRODIGO1073277</t>
  </si>
  <si>
    <t>ACNGäó Biopsy Needle 16ga x 25cm</t>
  </si>
  <si>
    <t>Acn Needle 16 Gax25 Cm Echogenic Tip Unique Hub Sample Notch For Pro-mag Ultra 2.2 Instrument Sterile Latex</t>
  </si>
  <si>
    <t>NEEDLE, BIOPSY, ECHOGENIC TIP, 16 GAX25 CM, UNIQUE HUB, SAMPLE NOTCH, FOR PRO-MAG ULTRA 2.2 INSTRUMENT, STERILE, ACN, LATEX</t>
  </si>
  <si>
    <t>NEEDLE, BX, ECHOGENIC TIP, 16 GAX25 CM, UNIQUE HUB, SAMPLE NOTCH, FOR PRO-MAG ULTRA 2.2 INSTRUMENT, STRL, ACN, LTX</t>
  </si>
  <si>
    <t>NEEDLE, BX, ECHOGENIC TIP, 16 GAX25 CM, PRO-MAG ULTRA 2.2, ACN</t>
  </si>
  <si>
    <t>https://res.onemed.com/SE/Produktblad/1115842.pdf, https://accessgudid.nlm.nih.gov/devices/00886333007264</t>
  </si>
  <si>
    <t>ACN1810MF</t>
  </si>
  <si>
    <t>ARGON_ACN1810MF</t>
  </si>
  <si>
    <t>ACN Biopsy Needle 18GA X 10CM Promag 2.2</t>
  </si>
  <si>
    <t>PRODIGO1073278</t>
  </si>
  <si>
    <t>ACNGäó Biopsy Needle 18ga x 10cm</t>
  </si>
  <si>
    <t>Acn Needle 18 Gax10 Cm Echogenic Tip Unique Hub Sample Notch For Pro-mag Ultra 2.2 Instrument Sterile Latex</t>
  </si>
  <si>
    <t>NEEDLE, BIOPSY, ECHOGENIC TIP, 18 GAX10 CM, UNIQUE HUB, SAMPLE NOTCH, FOR PRO-MAG ULTRA 2.2 INSTRUMENT, STERILE, ACN, LATEX</t>
  </si>
  <si>
    <t>NEEDLE, BX, ECHOGENIC TIP, 18 GAX10 CM, UNIQUE HUB, SAMPLE NOTCH, FOR PRO-MAG ULTRA 2.2 INSTRUMENT, STRL, ACN, LTX</t>
  </si>
  <si>
    <t>NEEDLE, BX, ECHOGENIC TIP, 18 GAX10 CM, PRO-MAG ULTRA 2.2, ACN</t>
  </si>
  <si>
    <t>https://res.onemed.com/SE/Produktblad/1115842.pdf, https://accessgudid.nlm.nih.gov/devices/00886333007356</t>
  </si>
  <si>
    <t>ACN1820MF</t>
  </si>
  <si>
    <t>ARGON_ACN1820MF</t>
  </si>
  <si>
    <t>ACN Biopsy Needle 18GA X 20CM Promag 2.2</t>
  </si>
  <si>
    <t>PRODIGO1073280</t>
  </si>
  <si>
    <t>ACNGäó Biopsy Needle 18ga x 20cm</t>
  </si>
  <si>
    <t>Acn Needle 18 Gax20 Cm Echogenic Tip Unique Hub Sample Notch For Pro-mag Ultra 2.2 Instrument Sterile Latex</t>
  </si>
  <si>
    <t>NEEDLE, BIOPSY, ECHOGENIC TIP, 18 GAX20 CM, UNIQUE HUB, SAMPLE NOTCH, FOR PRO-MAG ULTRA 2.2 INSTRUMENT, STERILE, ACN, LATEX</t>
  </si>
  <si>
    <t>NEEDLE, BX, ECHOGENIC TIP, 18 GAX20 CM, UNIQUE HUB, SAMPLE NOTCH, FOR PRO-MAG ULTRA 2.2 INSTRUMENT, STRL, ACN, LTX</t>
  </si>
  <si>
    <t>NEEDLE, BX, ECHOGENIC TIP, 18 GAX20 CM, PRO-MAG ULTRA 2.2, ACN</t>
  </si>
  <si>
    <t>https://res.onemed.com/SE/Produktblad/1115842.pdf, https://accessgudid.nlm.nih.gov/devices/00886333007363</t>
  </si>
  <si>
    <t>ACN1825MF</t>
  </si>
  <si>
    <t>ARGON_ACN1825MF</t>
  </si>
  <si>
    <t>ACN Biopsy Needle 18GA X 25CM Promag 2.2</t>
  </si>
  <si>
    <t>PRODIGO1073281</t>
  </si>
  <si>
    <t>ACNGäó Biopsy Needle 18ga x 25cm</t>
  </si>
  <si>
    <t>Acn Needle 18 Gax25 Cm Echogenic Tip Unique Hub Sample Notch For Pro-mag Ultra 2.2 Instrument Sterile Latex</t>
  </si>
  <si>
    <t>NEEDLE, BIOPSY, ECHOGENIC TIP, 18 GAX25 CM, UNIQUE HUB, SAMPLE NOTCH, FOR PRO-MAG ULTRA 2.2 INSTRUMENT, STERILE, ACN, LATEX</t>
  </si>
  <si>
    <t>NEEDLE, BX, ECHOGENIC TIP, 18 GAX25 CM, UNIQUE HUB, SAMPLE NOTCH, FOR PRO-MAG ULTRA 2.2 INSTRUMENT, STRL, ACN, LTX</t>
  </si>
  <si>
    <t>NEEDLE, BX, ECHOGENIC TIP, 18 GAX25 CM, PRO-MAG ULTRA 2.2, ACN</t>
  </si>
  <si>
    <t>https://res.onemed.com/SE/Produktblad/1115842.pdf, https://accessgudid.nlm.nih.gov/devices/00886333007370</t>
  </si>
  <si>
    <t>ACN1830MF</t>
  </si>
  <si>
    <t>ARGON_ACN1830MF</t>
  </si>
  <si>
    <t>ACN Biopsy Needle 18GA X 30CM Promag 2.2</t>
  </si>
  <si>
    <t>PRODIGO1073282</t>
  </si>
  <si>
    <t>ACNGäó Biopsy Needle 18ga x 30cm</t>
  </si>
  <si>
    <t>Acn Needle 18 Gax30 Cm Echogenic Tip Unique Hub Sample Notch For Pro-mag Ultra 2.2 Instrument Sterile Latex</t>
  </si>
  <si>
    <t>NEEDLE, BIOPSY, ECHOGENIC TIP, 18 GAX30 CM, UNIQUE HUB, SAMPLE NOTCH, FOR PRO-MAG ULTRA 2.2 INSTRUMENT, STERILE, ACN, LATEX</t>
  </si>
  <si>
    <t>NEEDLE, BX, ECHOGENIC TIP, 18 GAX30 CM, UNIQUE HUB, SAMPLE NOTCH, FOR PRO-MAG ULTRA 2.2 INSTRUMENT, STRL, ACN, LTX</t>
  </si>
  <si>
    <t>NEEDLE, BX, ECHOGENIC TIP, 18 GAX30 CM, PRO-MAG ULTRA 2.2, ACN</t>
  </si>
  <si>
    <t>https://res.onemed.com/SE/Produktblad/1115842.pdf, https://accessgudid.nlm.nih.gov/devices/00886333007233</t>
  </si>
  <si>
    <t>ACN2010MF</t>
  </si>
  <si>
    <t>ARGON_ACN2010MF</t>
  </si>
  <si>
    <t>ACN Biopsy Needle 20GA X 10CM Promag 2.2</t>
  </si>
  <si>
    <t>PRODIGO1073283</t>
  </si>
  <si>
    <t>ACNGäó Biopsy Needle 20ga x 10cm</t>
  </si>
  <si>
    <t>Acn Needle 20 Gax10 Cm Echogenic Tip Unique Hub Sample Notch For Pro-mag Ultra 2.2 Instrument Sterile Latex</t>
  </si>
  <si>
    <t>NEEDLE, BIOPSY, ECHOGENIC TIP, 20 GAX10 CM, UNIQUE HUB, SAMPLE NOTCH, FOR PRO-MAG ULTRA 2.2 INSTRUMENT, STERILE, ACN, LATEX</t>
  </si>
  <si>
    <t>NEEDLE, BX, ECHOGENIC TIP, 20 GAX10 CM, UNIQUE HUB, SAMPLE NOTCH, FOR PRO-MAG ULTRA 2.2 INSTRUMENT, STRL, ACN, LTX</t>
  </si>
  <si>
    <t>NEEDLE, BX, ECHOGENIC TIP, 20 GAX10 CM, PRO-MAG ULTRA 2.2, ACN</t>
  </si>
  <si>
    <t>https://res.onemed.com/SE/Produktblad/1115842.pdf, https://accessgudid.nlm.nih.gov/devices/00886333007332</t>
  </si>
  <si>
    <t>ACN2016MF</t>
  </si>
  <si>
    <t>ARGON_ACN2016MF</t>
  </si>
  <si>
    <t>ACN Biopsy Needle 20GA X 16CM Promag 2.2</t>
  </si>
  <si>
    <t>PRODIGO1073284</t>
  </si>
  <si>
    <t>ACNGäó Biopsy Needle 20ga x 16cm</t>
  </si>
  <si>
    <t>Acn Needle 20 Gax16 Cm Echogenic Tip Unique Hub Sample Notch For Pro-mag Ultra 2.2 Instrument Sterile Latex</t>
  </si>
  <si>
    <t>NEEDLE, BIOPSY, ECHOGENIC TIP, 20 GAX16 CM, UNIQUE HUB, SAMPLE NOTCH, FOR PRO-MAG ULTRA 2.2 INSTRUMENT, STERILE, ACN, LATEX</t>
  </si>
  <si>
    <t>NEEDLE, BX, ECHOGENIC TIP, 20 GAX16 CM, UNIQUE HUB, SAMPLE NOTCH, FOR PRO-MAG ULTRA 2.2 INSTRUMENT, STRL, ACN, LTX</t>
  </si>
  <si>
    <t>NEEDLE, BX, ECHOGENIC TIP, 20 GAX16 CM, PRO-MAG ULTRA 2.2, ACN</t>
  </si>
  <si>
    <t>https://res.onemed.com/SE/Produktblad/1115842.pdf, https://accessgudid.nlm.nih.gov/devices/00886333007318</t>
  </si>
  <si>
    <t>ACN2020MF</t>
  </si>
  <si>
    <t>ARGON_ACN2020MF</t>
  </si>
  <si>
    <t>ACN Biopsy Needle 20GA X 20CM Promag 2.2</t>
  </si>
  <si>
    <t>PRODIGO1073285</t>
  </si>
  <si>
    <t>ACNGäó Biopsy Needle 20ga x 20cm</t>
  </si>
  <si>
    <t>Acn Needle 20 Gax20 Cm Echogenic Tip Unique Hub Sample Notch For Pro-mag Ultra 2.2 Instrument Sterile Latex</t>
  </si>
  <si>
    <t>NEEDLE, BIOPSY, ECHOGENIC TIP, 20 GAX20 CM, UNIQUE HUB, SAMPLE NOTCH, FOR PRO-MAG ULTRA 2.2 INSTRUMENT, STERILE, ACN, LATEX</t>
  </si>
  <si>
    <t>NEEDLE, BX, ECHOGENIC TIP, 20 GAX20 CM, UNIQUE HUB, SAMPLE NOTCH, FOR PRO-MAG ULTRA 2.2 INSTRUMENT, STRL, ACN, LTX</t>
  </si>
  <si>
    <t>NEEDLE, BX, ECHOGENIC TIP, 20 GAX20 CM, PRO-MAG ULTRA 2.2, ACN</t>
  </si>
  <si>
    <t>https://res.onemed.com/SE/Produktblad/1115842.pdf, https://accessgudid.nlm.nih.gov/devices/00886333007257</t>
  </si>
  <si>
    <t>BGWI1802</t>
  </si>
  <si>
    <t>ARGON_BGWI1802</t>
  </si>
  <si>
    <t>Winged Guidewire Introducer Needle - 18GA X 7CM</t>
  </si>
  <si>
    <t>PRODIGO1073286</t>
  </si>
  <si>
    <t>Winged Guidewire Introducer Needle 18ga x 7cm</t>
  </si>
  <si>
    <t>Winged Guidewire Introducer Needle</t>
  </si>
  <si>
    <t>42203427  Angiography introducer needles</t>
  </si>
  <si>
    <t>Needle 0.038 In 18 Gax7 Cm Winged Guidewire Sterile Latex</t>
  </si>
  <si>
    <t>NEEDLE, INTRODUCER, 0.038 IN, 18 GAX7 CM, WINGED GUIDEWIRE, STERILE, LATEX</t>
  </si>
  <si>
    <t>NEEDLE, INTRO, 0.038 IN, 18 GAX7 CM, WNG GUIDEWIRE, STRL, LTX</t>
  </si>
  <si>
    <t>WINGED GUIDEWIRE</t>
  </si>
  <si>
    <t>https://res.onemed.com/SE/Produktblad/1115842.pdf, https://accessgudid.nlm.nih.gov/devices/00886333007424</t>
  </si>
  <si>
    <t>BGWI1902</t>
  </si>
  <si>
    <t>ARGON_BGWI1902</t>
  </si>
  <si>
    <t>Winged Guidewire Introducer Needle - 19GA X 7CM</t>
  </si>
  <si>
    <t>PRODIGO1073287</t>
  </si>
  <si>
    <t>Winged Guidewire Introducer Needle 19ga x 7cm</t>
  </si>
  <si>
    <t>Needle 0.035 In 19 Gax7 Cm Winged Guidewire Sterile Latex</t>
  </si>
  <si>
    <t>NEEDLE, INTRODUCER, 0.035 IN, 19 GAX7 CM, WINGED GUIDEWIRE, STERILE, LATEX</t>
  </si>
  <si>
    <t>NEEDLE, INTRO, 0.035 IN, 19 GAX7 CM, WNG GUIDEWIRE, STRL, LTX</t>
  </si>
  <si>
    <t>https://res.onemed.com/SE/Produktblad/1115842.pdf, https://accessgudid.nlm.nih.gov/devices/00886333007417</t>
  </si>
  <si>
    <t>BLN2003</t>
  </si>
  <si>
    <t>ARGON_BLN2003</t>
  </si>
  <si>
    <t>Accura Kopans Style BLN 20GA X 3CM Nonrepositionable</t>
  </si>
  <si>
    <t>PRODIGO1073288</t>
  </si>
  <si>
    <t>AccuraGäó BLN 20ga x 3cm</t>
  </si>
  <si>
    <t>Accura Needle 20 Gax3 Cm 10.4 Cm Kopan Springhook Hardwire Non Repositionable Sterile Latex</t>
  </si>
  <si>
    <t>NEEDLE, BREAST LOCALIZATION, KOPAN, 20 GAX3 CM, 10.4 CM, SPRINGHOOK HARDWIRE, NON REPOSITIONABLE, STERILE, ACCURA, LATEX</t>
  </si>
  <si>
    <t>NEEDLE, BRST LOC, KOPAN, 20 GAX3 CM, 10.4 CM, SPRINGHOOK HARDWIRE, N REPOSITIONABLE, STRL, ACCURA, LTX</t>
  </si>
  <si>
    <t>NEEDLE, BRST LOC, KOPAN, 20 GAX3 CM, 10.4 CM, SPRINGHOOK, ACCURA</t>
  </si>
  <si>
    <t>KOPAN</t>
  </si>
  <si>
    <t>10.4 CM</t>
  </si>
  <si>
    <t>SPRINGHOOK HARDWIRE, NON REPOSITIONABLE</t>
  </si>
  <si>
    <t>https://res.onemed.com/SE/Produktblad/1115842.pdf, https://accessgudid.nlm.nih.gov/devices/00886333007516</t>
  </si>
  <si>
    <t>BLN2015</t>
  </si>
  <si>
    <t>ARGON_BLN2015</t>
  </si>
  <si>
    <t>Accura Kopans Style BLN 20GA X 15CM Nonrepositionable</t>
  </si>
  <si>
    <t>PRODIGO1073292</t>
  </si>
  <si>
    <t>AccuraGäó BLN 20ga x 15cm</t>
  </si>
  <si>
    <t>Accura Needle 20 Gax15 Cm 28.9 Cm Kopan Springhook Hardwire Non Repositionable Sterile Latex</t>
  </si>
  <si>
    <t>NEEDLE, BREAST LOCALIZATION, KOPAN, 20 GAX15 CM, 28.9 CM, SPRINGHOOK HARDWIRE, NON REPOSITIONABLE, STERILE, ACCURA, LATEX</t>
  </si>
  <si>
    <t>NEEDLE, BRST LOC, KOPAN, 20 GAX15 CM, 28.9 CM, SPRINGHOOK HARDWIRE, N REPOSITIONABLE, STRL, ACCURA, LTX</t>
  </si>
  <si>
    <t>NEEDLE, BRST LOC, KOPAN, 20 GAX15 CM, 28.9 CM, SPRINGHOOK, ACCURA</t>
  </si>
  <si>
    <t>20 GAX15 CM</t>
  </si>
  <si>
    <t>28.9 CM</t>
  </si>
  <si>
    <t>https://res.onemed.com/SE/Produktblad/1115842.pdf, https://accessgudid.nlm.nih.gov/devices/00886333007479</t>
  </si>
  <si>
    <t>BLN2103</t>
  </si>
  <si>
    <t>ARGON_BLN2103</t>
  </si>
  <si>
    <t>Accura Kopans Style BLN 21GA X 3CM Nonrepositionable</t>
  </si>
  <si>
    <t>PRODIGO1073293</t>
  </si>
  <si>
    <t>AccuraGäó BLN 21ga x 3cm</t>
  </si>
  <si>
    <t>Accura Needle 21 Gax3 Cm 10.4 Cm Kopan Springhook Hardwire Non Repositionable Sterile Latex</t>
  </si>
  <si>
    <t>NEEDLE, BREAST LOCALIZATION, KOPAN, 21 GAX3 CM, 10.4 CM, SPRINGHOOK HARDWIRE, NON REPOSITIONABLE, STERILE, ACCURA, LATEX</t>
  </si>
  <si>
    <t>NEEDLE, BRST LOC, KOPAN, 21 GAX3 CM, 10.4 CM, SPRINGHOOK HARDWIRE, N REPOSITIONABLE, STRL, ACCURA, LTX</t>
  </si>
  <si>
    <t>NEEDLE, BRST LOC, KOPAN, 21 GAX3 CM, 10.4 CM, SPRINGHOOK, ACCURA</t>
  </si>
  <si>
    <t>21 GAX3 CM</t>
  </si>
  <si>
    <t>https://res.onemed.com/SE/Produktblad/1115842.pdf, https://accessgudid.nlm.nih.gov/devices/00886333007462</t>
  </si>
  <si>
    <t>BLN2105</t>
  </si>
  <si>
    <t>ARGON_BLN2105</t>
  </si>
  <si>
    <t>Accura Kopans Style BLN 21GA X 5CM Nonrepositionable</t>
  </si>
  <si>
    <t>PRODIGO1073294</t>
  </si>
  <si>
    <t>AccuraGäó BLN 21ga x 5cm</t>
  </si>
  <si>
    <t>Accura Needle 21 Gax5 Cm 14.4 Cm Kopan Springhook Hardwire Non Repositionable Sterile Latex</t>
  </si>
  <si>
    <t>NEEDLE, BREAST LOCALIZATION, KOPAN, 21 GAX5 CM, 14.4 CM, SPRINGHOOK HARDWIRE, NON REPOSITIONABLE, STERILE, ACCURA, LATEX</t>
  </si>
  <si>
    <t>NEEDLE, BRST LOC, KOPAN, 21 GAX5 CM, 14.4 CM, SPRINGHOOK HARDWIRE, N REPOSITIONABLE, STRL, ACCURA, LTX</t>
  </si>
  <si>
    <t>NEEDLE, BRST LOC, KOPAN, 21 GAX5 CM, 14.4 CM, SPRINGHOOK, ACCURA</t>
  </si>
  <si>
    <t>21 GAX5 CM</t>
  </si>
  <si>
    <t>14.4 CM</t>
  </si>
  <si>
    <t>https://res.onemed.com/SE/Produktblad/1115842.pdf, https://accessgudid.nlm.nih.gov/devices/00886333007431</t>
  </si>
  <si>
    <t>BLN21075</t>
  </si>
  <si>
    <t>ARGON_BLN21075</t>
  </si>
  <si>
    <t>Accura Kopans Style BLN 21GA X 7.5CM Nonrepositionable</t>
  </si>
  <si>
    <t>PRODIGO1073295</t>
  </si>
  <si>
    <t>AccuraGäó BLN 21ga x 7.5cm</t>
  </si>
  <si>
    <t>Accura Needle 21 Gax7.5 Cm 19.4 Cm Kopan Springhook Hardwire Non Repositionable Sterile Latex</t>
  </si>
  <si>
    <t>NEEDLE, BREAST LOCALIZATION, KOPAN, 21 GAX7.5 CM, 19.4 CM, SPRINGHOOK HARDWIRE, NON REPOSITIONABLE, STERILE, ACCURA, LATEX</t>
  </si>
  <si>
    <t>NEEDLE, BRST LOC, KOPAN, 21 GAX7.5 CM, 19.4 CM, SPRINGHOOK HARDWIRE, N REPOSITIONABLE, STRL, ACCURA, LTX</t>
  </si>
  <si>
    <t>NEEDLE, BRST LOC, KOPAN, 21 GAX7.5 CM, 19.4 CM, SPRINGHOOK, ACCURA</t>
  </si>
  <si>
    <t>21 GAX7.5 CM</t>
  </si>
  <si>
    <t>19.4 CM</t>
  </si>
  <si>
    <t>https://res.onemed.com/SE/Produktblad/1115842.pdf, https://accessgudid.nlm.nih.gov/devices/00886333007455</t>
  </si>
  <si>
    <t>BLN2110</t>
  </si>
  <si>
    <t>ARGON_BLN2110</t>
  </si>
  <si>
    <t>Accura Kopans Style BLN 21GA X 10CM Nonrepositionable</t>
  </si>
  <si>
    <t>PRODIGO1073296</t>
  </si>
  <si>
    <t>AccuraGäó BLN 21ga x 10cm</t>
  </si>
  <si>
    <t>Accura Needle 21 Gax10 Cm 24.4 Cm Kopan Springhook Hardwire Non Repositionable Sterile Latex</t>
  </si>
  <si>
    <t>NEEDLE, BREAST LOCALIZATION, KOPAN, 21 GAX10 CM, 24.4 CM, SPRINGHOOK HARDWIRE, NON REPOSITIONABLE, STERILE, ACCURA, LATEX</t>
  </si>
  <si>
    <t>NEEDLE, BRST LOC, KOPAN, 21 GAX10 CM, 24.4 CM, SPRINGHOOK HARDWIRE, N REPOSITIONABLE, STRL, ACCURA, LTX</t>
  </si>
  <si>
    <t>NEEDLE, BRST LOC, KOPAN, 21 GAX10 CM, 24.4 CM, SPRINGHOOK, ACCURA</t>
  </si>
  <si>
    <t>21 GAX10 CM</t>
  </si>
  <si>
    <t>24.4 CM</t>
  </si>
  <si>
    <t>https://res.onemed.com/SE/Produktblad/1115842.pdf, https://accessgudid.nlm.nih.gov/devices/00886333007523</t>
  </si>
  <si>
    <t>BLND2003</t>
  </si>
  <si>
    <t>ARGON_BLND2003</t>
  </si>
  <si>
    <t>D Wire BLN 20GA X 3CM Nonrepoisitionable</t>
  </si>
  <si>
    <t>PRODIGO1073297</t>
  </si>
  <si>
    <t>D Wire BLN 20ga x 3cm</t>
  </si>
  <si>
    <t>Accura Needle 20 Gax3 Cm 13.2 Cm D Wire Non Repositionable Sterile Latex</t>
  </si>
  <si>
    <t>NEEDLE, BREAST LOCALIZATION, 20 GAX3 CM, 13.2 CM, D WIRE, NON REPOSITIONABLE, STERILE, ACCURA, LATEX</t>
  </si>
  <si>
    <t>NEEDLE, BRST LOC, 20 GAX3 CM, 13.2 CM, D WIRE, N REPOSITIONABLE, STRL, ACCURA, LTX</t>
  </si>
  <si>
    <t>NEEDLE, BRST LOC, 20 GAX3 CM, 13.2 CM, D WIRE, ACCURA</t>
  </si>
  <si>
    <t>13.2 CM</t>
  </si>
  <si>
    <t>D WIRE, NON REPOSITIONABLE</t>
  </si>
  <si>
    <t>https://res.onemed.com/SE/Produktblad/1115842.pdf, https://accessgudid.nlm.nih.gov/devices/00886333007578</t>
  </si>
  <si>
    <t>BLND2005</t>
  </si>
  <si>
    <t>ARGON_BLND2005</t>
  </si>
  <si>
    <t>D Wire BLN 20GA X 5CM Nonrepoisitionable</t>
  </si>
  <si>
    <t>PRODIGO1073298</t>
  </si>
  <si>
    <t>D Wire BLN 20ga x 5cm</t>
  </si>
  <si>
    <t>Accura Needle 20 Gax5 Cm 17.2 Cm D Wire Non Repositionable Sterile Latex</t>
  </si>
  <si>
    <t>NEEDLE, BREAST LOCALIZATION, 20 GAX5 CM, 17.2 CM, D WIRE, NON REPOSITIONABLE, STERILE, ACCURA, LATEX</t>
  </si>
  <si>
    <t>NEEDLE, BRST LOC, 20 GAX5 CM, 17.2 CM, D WIRE, N REPOSITIONABLE, STRL, ACCURA, LTX</t>
  </si>
  <si>
    <t>NEEDLE, BRST LOC, 20 GAX5 CM, 17.2 CM, D WIRE, ACCURA</t>
  </si>
  <si>
    <t>17.2 CM</t>
  </si>
  <si>
    <t>https://res.onemed.com/SE/Produktblad/1115842.pdf, https://accessgudid.nlm.nih.gov/devices/00886333007561</t>
  </si>
  <si>
    <t>BLND20075</t>
  </si>
  <si>
    <t>ARGON_BLND20075</t>
  </si>
  <si>
    <t>D Wire BLN 20GA X 7.5CM Nonrepoisitionable</t>
  </si>
  <si>
    <t>PRODIGO1073299</t>
  </si>
  <si>
    <t>D Wire BLN 20ga x 7.5cm</t>
  </si>
  <si>
    <t>Accura Needle 20 Gax7.5 Cm 18.3 Cm D Wire Non Repositionable Sterile Latex</t>
  </si>
  <si>
    <t>NEEDLE, BREAST LOCALIZATION, 20 GAX7.5 CM, 18.3 CM, D WIRE, NON REPOSITIONABLE, STERILE, ACCURA, LATEX</t>
  </si>
  <si>
    <t>NEEDLE, BRST LOC, 20 GAX7.5 CM, 18.3 CM, D WIRE, N REPOSITIONABLE, STRL, ACCURA, LTX</t>
  </si>
  <si>
    <t>NEEDLE, BRST LOC, 20 GAX7.5 CM, 18.3 CM, D WIRE, ACCURA</t>
  </si>
  <si>
    <t>18.3 CM</t>
  </si>
  <si>
    <t>https://res.onemed.com/SE/Produktblad/1115842.pdf, https://accessgudid.nlm.nih.gov/devices/00886333007530</t>
  </si>
  <si>
    <t>BLND2010</t>
  </si>
  <si>
    <t>ARGON_BLND2010</t>
  </si>
  <si>
    <t>D Wire BLN 20GA X 10CM Nonrepoisitionable</t>
  </si>
  <si>
    <t>PRODIGO1073300</t>
  </si>
  <si>
    <t>D Wire BLN 20ga x 10cm</t>
  </si>
  <si>
    <t>Accura Needle 20 Gax10 Cm 21.2 Cm D Wire Non Repositionable Sterile Latex</t>
  </si>
  <si>
    <t>NEEDLE, BREAST LOCALIZATION, 20 GAX10 CM, 21.2 CM, D WIRE, NON REPOSITIONABLE, STERILE, ACCURA, LATEX</t>
  </si>
  <si>
    <t>NEEDLE, BRST LOC, 20 GAX10 CM, 21.2 CM, D WIRE, N REPOSITIONABLE, STRL, ACCURA, LTX</t>
  </si>
  <si>
    <t>NEEDLE, BRST LOC, 20 GAX10 CM, 21.2 CM, D WIRE, ACCURA</t>
  </si>
  <si>
    <t>21.2 CM</t>
  </si>
  <si>
    <t>https://res.onemed.com/SE/Produktblad/1115842.pdf, https://accessgudid.nlm.nih.gov/devices/00886333007554</t>
  </si>
  <si>
    <t>BLND2015</t>
  </si>
  <si>
    <t>ARGON_BLND2015</t>
  </si>
  <si>
    <t>D Wire BLN 20GA X 15CM Nonrepoisitionable</t>
  </si>
  <si>
    <t>PRODIGO1073301</t>
  </si>
  <si>
    <t>D Wire BLN 20ga x 15cm</t>
  </si>
  <si>
    <t>Accura Needle 20 Gax15 Cm 28.9 Cm D Wire Non Repositionable Sterile Latex</t>
  </si>
  <si>
    <t>NEEDLE, BREAST LOCALIZATION, 20 GAX15 CM, 28.9 CM, D WIRE, NON REPOSITIONABLE, STERILE, ACCURA, LATEX</t>
  </si>
  <si>
    <t>NEEDLE, BRST LOC, 20 GAX15 CM, 28.9 CM, D WIRE, N REPOSITIONABLE, STRL, ACCURA, LTX</t>
  </si>
  <si>
    <t>NEEDLE, BRST LOC, 20 GAX15 CM, 28.9 CM, D WIRE, ACCURA</t>
  </si>
  <si>
    <t>https://res.onemed.com/SE/Produktblad/1115842.pdf, https://accessgudid.nlm.nih.gov/devices/00886333007585</t>
  </si>
  <si>
    <t>BMET1104CTL</t>
  </si>
  <si>
    <t>ARGON_BMET1104CTL</t>
  </si>
  <si>
    <t>T-Lok Economy Bone Marrow Tray</t>
  </si>
  <si>
    <t>PRODIGO1073304</t>
  </si>
  <si>
    <t>T-LokGäó Economy Bone Marrow Tray</t>
  </si>
  <si>
    <t>42295471  Bone marrow aspiration systems</t>
  </si>
  <si>
    <t>A4550</t>
  </si>
  <si>
    <t>SURGICAL TRAYS</t>
  </si>
  <si>
    <t>T-lok Bone Marrow Tray 11 Gax4 In 16 Gax2.688 In Economy With Biopsy Aspiration Needle Sterile Latex</t>
  </si>
  <si>
    <t>BONE MARROW TRAY, ECONOMY, 11 GAX4 IN, 16 GAX2.688 IN, WITH BIOPSY ASPIRATION NEEDLE, STERILE, T-LOK, LATEX</t>
  </si>
  <si>
    <t>BONE MARROW TRAY, ECON, 11 GAX4 IN, 16 GAX2.688 IN, W/ BX ASPIR NDL, STRL, T-LOK, LTX</t>
  </si>
  <si>
    <t>BONE MARROW TRAY, ECON, 11 GAX4 IN, 16 GAX2.688 IN, ASPIR, T-LOK</t>
  </si>
  <si>
    <t>BONE MARROW TRAY</t>
  </si>
  <si>
    <t>ECONOMY</t>
  </si>
  <si>
    <t>11 GAX4 IN</t>
  </si>
  <si>
    <t>16 GAX2.688 IN</t>
  </si>
  <si>
    <t>WITH BIOPSY ASPIRATION NEEDLE</t>
  </si>
  <si>
    <t>T-LOK</t>
  </si>
  <si>
    <t>https://www.argonmedical.com/wp-content/uploads/2022/09/tlok-brochure.pdf, https://accessgudid.nlm.nih.gov/devices/00886333007615</t>
  </si>
  <si>
    <t>BMHN1104X</t>
  </si>
  <si>
    <t>ARGON_BMHN1104X</t>
  </si>
  <si>
    <t>Bone Marrow Harvest Needle 11GA X 4In Bevel Tip</t>
  </si>
  <si>
    <t>PRODIGO1073306</t>
  </si>
  <si>
    <t>Bone Marrow Harvest Needle 11ga x 4in</t>
  </si>
  <si>
    <t>Bone Marrow Harvest Needle</t>
  </si>
  <si>
    <t>Needle 11 Gax4 In Beveled Tip For Bone Marrow Harvest Sterile Latex</t>
  </si>
  <si>
    <t>NEEDLE, BIOPSY, BEVELED TIP, 11 GAX4 IN, FOR BONE MARROW HARVEST, STERILE, LATEX</t>
  </si>
  <si>
    <t>NEEDLE, BX, BVL TIP, 11 GAX4 IN, FOR BNE MAR HARV, STRL, LTX</t>
  </si>
  <si>
    <t>BEVELED TIP</t>
  </si>
  <si>
    <t>FOR BONE MARROW HARVEST</t>
  </si>
  <si>
    <t>https://res.onemed.com/SE/Produktblad/1115842.pdf, https://accessgudid.nlm.nih.gov/devices/00886333007646</t>
  </si>
  <si>
    <t>BMHN1302X</t>
  </si>
  <si>
    <t>ARGON_BMHN1302X</t>
  </si>
  <si>
    <t>Bone Marrow Harvest Needle 13GA X 2InBevel Tip</t>
  </si>
  <si>
    <t>PRODIGO1073307</t>
  </si>
  <si>
    <t>Bone Marrow Harvest Needle 13ga x 2in</t>
  </si>
  <si>
    <t>Needle 13 Gax2 In Beveled Tip For Bone Marrow Harvest Sterile Latex</t>
  </si>
  <si>
    <t>NEEDLE, BIOPSY, BEVELED TIP, 13 GAX2 IN, FOR BONE MARROW HARVEST, STERILE, LATEX</t>
  </si>
  <si>
    <t>NEEDLE, BX, BVL TIP, 13 GAX2 IN, FOR BNE MAR HARV, STRL, LTX</t>
  </si>
  <si>
    <t>13 GAX2 IN</t>
  </si>
  <si>
    <t>https://res.onemed.com/SE/Produktblad/1115842.pdf, https://accessgudid.nlm.nih.gov/devices/00886333007684</t>
  </si>
  <si>
    <t>BMHN1303X</t>
  </si>
  <si>
    <t>ARGON_BMHN1303X</t>
  </si>
  <si>
    <t>Bone Marrow Harvest Needle 13GA X 3InBevel Tip</t>
  </si>
  <si>
    <t>PRODIGO1073308</t>
  </si>
  <si>
    <t>Bone Marrow Harvest Needle 13ga x 3in</t>
  </si>
  <si>
    <t>Needle 13 Gax3 In Beveled Tip For Bone Marrow Harvest Sterile Latex</t>
  </si>
  <si>
    <t>NEEDLE, BIOPSY, BEVELED TIP, 13 GAX3 IN, FOR BONE MARROW HARVEST, STERILE, LATEX</t>
  </si>
  <si>
    <t>NEEDLE, BX, BVL TIP, 13 GAX3 IN, FOR BNE MAR HARV, STRL, LTX</t>
  </si>
  <si>
    <t>13 GAX3 IN</t>
  </si>
  <si>
    <t>https://res.onemed.com/SE/Produktblad/1115842.pdf, https://accessgudid.nlm.nih.gov/devices/00886333007677</t>
  </si>
  <si>
    <t>BMHN1304VX</t>
  </si>
  <si>
    <t>ARGON_BMHN1304VX</t>
  </si>
  <si>
    <t>Bone Marrow Harvest Needle 13GA X 4In Double Diamond Tip W/ Side Holes</t>
  </si>
  <si>
    <t>PRODIGO1073309</t>
  </si>
  <si>
    <t>Bone Marrow Harvest Needle 13ga x 4in</t>
  </si>
  <si>
    <t>Needle 13 Gax4 In Double Diamond Tip Side Hole For Bone Marrow Harvest Sterile Latex</t>
  </si>
  <si>
    <t>NEEDLE, BIOPSY, DOUBLE DIAMOND TIP, 13 GAX4 IN, SIDE HOLE, FOR BONE MARROW HARVEST, STERILE, LATEX</t>
  </si>
  <si>
    <t>NEEDLE, BX, DBL DIAMOND TIP, 13 GAX4 IN, SH, FOR BNE MAR HARV, STRL, LTX</t>
  </si>
  <si>
    <t>NEEDLE, BX, DBL DIAMOND TIP, 13 GAX4 IN, SH, FOR BNE MAR HARV</t>
  </si>
  <si>
    <t>DOUBLE DIAMOND TIP</t>
  </si>
  <si>
    <t>13 GAX4 IN</t>
  </si>
  <si>
    <t>SIDE HOLE, FOR BONE MARROW HARVEST</t>
  </si>
  <si>
    <t>https://res.onemed.com/SE/Produktblad/1115842.pdf, https://accessgudid.nlm.nih.gov/devices/00886333007653</t>
  </si>
  <si>
    <t>BMHN1304X</t>
  </si>
  <si>
    <t>ARGON_BMHN1304X</t>
  </si>
  <si>
    <t>Bone Marrow Harvest Needle 13GA X 4In Bevel Tip</t>
  </si>
  <si>
    <t>PRODIGO1073310</t>
  </si>
  <si>
    <t>Needle 13 Gax4 In Beveled Tip For Bone Marrow Harvest Sterile Latex</t>
  </si>
  <si>
    <t>NEEDLE, BIOPSY, BEVELED TIP, 13 GAX4 IN, FOR BONE MARROW HARVEST, STERILE, LATEX</t>
  </si>
  <si>
    <t>NEEDLE, BX, BVL TIP, 13 GAX4 IN, FOR BNE MAR HARV, STRL, LTX</t>
  </si>
  <si>
    <t>https://res.onemed.com/SE/Produktblad/1115842.pdf, https://accessgudid.nlm.nih.gov/devices/00886333007691</t>
  </si>
  <si>
    <t>BMHN1502X</t>
  </si>
  <si>
    <t>ARGON_BMHN1502X</t>
  </si>
  <si>
    <t>Bone Marrow Harvest Needle 15GA X 2In Bevel Tip</t>
  </si>
  <si>
    <t>PRODIGO1073311</t>
  </si>
  <si>
    <t>Bone Marrow Harvest Needle 15ga x 2in</t>
  </si>
  <si>
    <t>Needle 15 Gax2 In Beveled Tip For Bone Marrow Harvest Sterile Latex</t>
  </si>
  <si>
    <t>NEEDLE, BIOPSY, BEVELED TIP, 15 GAX2 IN, FOR BONE MARROW HARVEST, STERILE, LATEX</t>
  </si>
  <si>
    <t>NEEDLE, BX, BVL TIP, 15 GAX2 IN, FOR BNE MAR HARV, STRL, LTX</t>
  </si>
  <si>
    <t>15 GAX2 IN</t>
  </si>
  <si>
    <t>https://res.onemed.com/SE/Produktblad/1115842.pdf, https://accessgudid.nlm.nih.gov/devices/00886333007707</t>
  </si>
  <si>
    <t>BMT0804ATL</t>
  </si>
  <si>
    <t>ARGON_BMT0804ATL</t>
  </si>
  <si>
    <t>T-Lok Bone Marrow Tray</t>
  </si>
  <si>
    <t>PRODIGO1073312</t>
  </si>
  <si>
    <t>T-LokGäó Bone Marrow Tray</t>
  </si>
  <si>
    <t>T-lok Bone Marrow Tray Standard 8 Gax4 In With Biopsy Needle Sterile Latex-free</t>
  </si>
  <si>
    <t>BONE MARROW TRAY, STANDARD, 8 GAX4 IN, WITH BIOPSY NEEDLE, STERILE, T-LOK, LATEX-FREE</t>
  </si>
  <si>
    <t>BONE MARROW TRAY, STD, 8 GAX4 IN, W/ BX NDL, STRL, T-LOK, LF</t>
  </si>
  <si>
    <t>8 GAX4 IN</t>
  </si>
  <si>
    <t>WITH BIOPSY NEEDLE</t>
  </si>
  <si>
    <t>LATEX-FREE</t>
  </si>
  <si>
    <t>https://www.argonmedical.com/wp-content/uploads/2022/09/tlok-brochure.pdf, https://accessgudid.nlm.nih.gov/devices/00886333007813</t>
  </si>
  <si>
    <t>BMT0804CATL</t>
  </si>
  <si>
    <t>ARGON_BMT0804CATL</t>
  </si>
  <si>
    <t>PRODIGO1073313</t>
  </si>
  <si>
    <t>T-lok Bone Marrow Tray Standard 8 Gax4 In With Biopsy Needle Sterile Latex</t>
  </si>
  <si>
    <t>BONE MARROW TRAY, STANDARD, 8 GAX4 IN, WITH BIOPSY NEEDLE, STERILE, T-LOK, LATEX</t>
  </si>
  <si>
    <t>BONE MARROW TRAY, STD, 8 GAX4 IN, W/ BX NDL, STRL, T-LOK, LTX</t>
  </si>
  <si>
    <t>https://www.argonmedical.com/wp-content/uploads/2022/09/tlok-brochure.pdf, https://accessgudid.nlm.nih.gov/devices/00886333007820</t>
  </si>
  <si>
    <t>BMT1000</t>
  </si>
  <si>
    <t>ARGON_BMT1000</t>
  </si>
  <si>
    <t>Bone Marrow Tray</t>
  </si>
  <si>
    <t>PRODIGO1073314</t>
  </si>
  <si>
    <t>T-lok Bone Marrow Tray Standard Sterile Latex-free</t>
  </si>
  <si>
    <t>BONE MARROW TRAY, STANDARD, STERILE, T-LOK, LATEX-FREE</t>
  </si>
  <si>
    <t>BONE MARROW TRAY, STD, STRL, T-LOK, LF</t>
  </si>
  <si>
    <t>https://www.argonmedical.com/wp-content/uploads/2022/09/tlok-brochure.pdf, https://accessgudid.nlm.nih.gov/devices/00886333007851</t>
  </si>
  <si>
    <t>BMT1104BDF</t>
  </si>
  <si>
    <t>ARGON_BMT1104BDF</t>
  </si>
  <si>
    <t>T-Lok Bone Marrow Tray - Drug Free</t>
  </si>
  <si>
    <t>PRODIGO1073316</t>
  </si>
  <si>
    <t>T-LokGäó Bone Marrow Tray - Drug Free</t>
  </si>
  <si>
    <t>T-lok Bone Marrow Tray Standard 11 Gax4 In 15 Gax2.688 In Drug Free With Biopsy Aspiration Needle Sterile Latex-free</t>
  </si>
  <si>
    <t>BONE MARROW TRAY, STANDARD, 11 GAX4 IN, 15 GAX2.688 IN, DRUG FREE, WITH BIOPSY ASPIRATION NEEDLE, STERILE, T-LOK, LATEX-FREE</t>
  </si>
  <si>
    <t>BONE MARROW TRAY, STD, 11 GAX4 IN, 15 GAX2.688 IN, DRUG FREE, W/ BX ASPIR NDL, STRL, T-LOK, LF</t>
  </si>
  <si>
    <t>BONE MARROW TRAY, STD, 11 GAX4 IN, 15 GAX2.688 IN, DRUG, T-LOK</t>
  </si>
  <si>
    <t>15 GAX2.688 IN</t>
  </si>
  <si>
    <t>DRUG FREE, WITH BIOPSY ASPIRATION NEEDLE</t>
  </si>
  <si>
    <t>https://www.scribd.com/document/413558186/ARGON-Compressed, https://accessgudid.nlm.nih.gov/devices/00886333223213</t>
  </si>
  <si>
    <t>BMT1104BTL</t>
  </si>
  <si>
    <t>ARGON_BMT1104BTL</t>
  </si>
  <si>
    <t>T-Lok Bone Marrow Biopsy Tray 11GA X 4 T-Lok Needle &amp; 15GA X 2.688 Aspiration Needle</t>
  </si>
  <si>
    <t>PRODIGO1073317</t>
  </si>
  <si>
    <t>T-lok Bone Marrow Tray Standard 11 Gax4 In 15 Gax2.688 In With Biopsy Aspiration Needle Sterile Latex-free</t>
  </si>
  <si>
    <t>BONE MARROW TRAY, STANDARD, 11 GAX4 IN, 15 GAX2.688 IN, WITH BIOPSY ASPIRATION NEEDLE, STERILE, T-LOK, LATEX-FREE</t>
  </si>
  <si>
    <t>BONE MARROW TRAY, STD, 11 GAX4 IN, 15 GAX2.688 IN, W/ BX ASPIR NDL, STRL, T-LOK, LF</t>
  </si>
  <si>
    <t>BONE MARROW TRAY, STD, 11 GAX4 IN, 15 GAX2.688 IN, T-LOK, LF</t>
  </si>
  <si>
    <t>https://www.argonmedical.com/wp-content/uploads/2022/09/tlok-brochure.pdf, https://accessgudid.nlm.nih.gov/devices/00886333007790</t>
  </si>
  <si>
    <t>BMT1104SATL</t>
  </si>
  <si>
    <t>ARGON_BMT1104SATL</t>
  </si>
  <si>
    <t>T-Lok Bone Marrow Biopsy Tray With Safety Needles And 11GA X 410CM T-Lok Needle</t>
  </si>
  <si>
    <t>PRODIGO1073318</t>
  </si>
  <si>
    <t>"Bone Marrow Biopsy Tray with Safety Needles and 11ga x 4""(10cm) T-LokGäó Needle"</t>
  </si>
  <si>
    <t>Bone Marrow Biopsy Tray</t>
  </si>
  <si>
    <t>T-lok Bone Marrow Tray 11 Gax4 In Safety With Biopsy Needle Sterile Latex</t>
  </si>
  <si>
    <t>BONE MARROW TRAY, SAFETY, 11 GAX4 IN, WITH BIOPSY NEEDLE, STERILE, T-LOK, LATEX</t>
  </si>
  <si>
    <t>BONE MARROW TRAY, SAFETY, 11 GAX4 IN, W/ BX NDL, STRL, T-LOK, LTX</t>
  </si>
  <si>
    <t>https://www.scribd.com/document/413558186/ARGON-Compressed, https://accessgudid.nlm.nih.gov/devices/00886333221363</t>
  </si>
  <si>
    <t>BMT1104SBTL</t>
  </si>
  <si>
    <t>ARGON_BMT1104SBTL</t>
  </si>
  <si>
    <t>T-Lok Bone Marrow Biopsy Tray With Safety Needles And 11GA X 410CM T-Lok Needle And 15GA Aspiration Needle</t>
  </si>
  <si>
    <t>PRODIGO1073319</t>
  </si>
  <si>
    <t>"Bone Marrow Biopsy Tray with Safety Needles and 11ga x 4""(10cm) T-LokGäó Needle and 15ga Aspiration Needle"</t>
  </si>
  <si>
    <t>T-lok Bone Marrow Tray 11 Gax4 In 15 Gax2.688 In Safety With Biopsy Aspiration Needle Sterile Latex</t>
  </si>
  <si>
    <t>BONE MARROW TRAY, SAFETY, 11 GAX4 IN, 15 GAX2.688 IN, WITH BIOPSY ASPIRATION NEEDLE, STERILE, T-LOK, LATEX</t>
  </si>
  <si>
    <t>BONE MARROW TRAY, SAFETY, 11 GAX4 IN, 15 GAX2.688 IN, W/ BX ASPIR NDL, STRL, T-LOK, LTX</t>
  </si>
  <si>
    <t>BONE MARROW TRAY, SAFETY, 11 GAX4 IN, 15 GAX2.688 IN, NDL, T-LOK</t>
  </si>
  <si>
    <t>https://www.scribd.com/document/413558186/ARGON-Compressed, https://accessgudid.nlm.nih.gov/devices/00886333221370</t>
  </si>
  <si>
    <t>BMT1104STL</t>
  </si>
  <si>
    <t>ARGON_BMT1104STL</t>
  </si>
  <si>
    <t>T-Lok Bone Marrow Biopsy Tray 11GA X 4 Safety Needle</t>
  </si>
  <si>
    <t>PRODIGO1073320</t>
  </si>
  <si>
    <t>T-LokGäó Bone Marrow Tray w/ Safety Needle</t>
  </si>
  <si>
    <t>T-lok Bone Marrow Tray 11 Gax4 In Safety With Biopsy Needle Sterile Latex-free</t>
  </si>
  <si>
    <t>BONE MARROW TRAY, SAFETY, 11 GAX4 IN, WITH BIOPSY NEEDLE, STERILE, T-LOK, LATEX-FREE</t>
  </si>
  <si>
    <t>BONE MARROW TRAY, SAFETY, 11 GAX4 IN, W/ BX NDL, STRL, T-LOK, LF</t>
  </si>
  <si>
    <t>https://www.argonmedical.com/wp-content/uploads/2022/09/tlok-brochure.pdf, https://accessgudid.nlm.nih.gov/devices/00886333007868</t>
  </si>
  <si>
    <t>BMT1501</t>
  </si>
  <si>
    <t>ARGON_BMT1501</t>
  </si>
  <si>
    <t>PRODIGO1073321</t>
  </si>
  <si>
    <t>T-lok Bone Marrow Tray Standard 15 Gax2.688 In With Aspiration Needle Sterile Latex-free</t>
  </si>
  <si>
    <t>BONE MARROW TRAY, STANDARD, 15 GAX2.688 IN, WITH ASPIRATION NEEDLE, STERILE, T-LOK, LATEX-FREE</t>
  </si>
  <si>
    <t>BONE MARROW TRAY, STD, 15 GAX2.688 IN, W/ ASPIR NDL, STRL, T-LOK, LF</t>
  </si>
  <si>
    <t>BONE MARROW TRAY, STD, 15 GAX2.688 IN, W/ ASPIR NDL, STRL, T-LOK</t>
  </si>
  <si>
    <t>WITH ASPIRATION NEEDLE</t>
  </si>
  <si>
    <t>https://www.argonmedical.com/wp-content/uploads/2022/09/tlok-brochure.pdf, https://accessgudid.nlm.nih.gov/devices/00886333007752</t>
  </si>
  <si>
    <t>BMT1601</t>
  </si>
  <si>
    <t>ARGON_BMT1601</t>
  </si>
  <si>
    <t>PRODIGO1073322</t>
  </si>
  <si>
    <t>T-lok Bone Marrow Tray Standard 16 Gax2.688 In With Aspiration Needle Sterile Latex-free</t>
  </si>
  <si>
    <t>BONE MARROW TRAY, STANDARD, 16 GAX2.688 IN, WITH ASPIRATION NEEDLE, STERILE, T-LOK, LATEX-FREE</t>
  </si>
  <si>
    <t>BONE MARROW TRAY, STD, 16 GAX2.688 IN, W/ ASPIR NDL, STRL, T-LOK, LF</t>
  </si>
  <si>
    <t>BONE MARROW TRAY, STD, 16 GAX2.688 IN, W/ ASPIR NDL, STRL, T-LOK</t>
  </si>
  <si>
    <t>https://www.argonmedical.com/wp-content/uploads/2022/09/tlok-brochure.pdf, https://accessgudid.nlm.nih.gov/devices/00886333007745</t>
  </si>
  <si>
    <t>CFN2215</t>
  </si>
  <si>
    <t>CFN-2215</t>
  </si>
  <si>
    <t>ARGON_CFN2215</t>
  </si>
  <si>
    <t>Chiba Biopsy Needle 22GA X 15CM</t>
  </si>
  <si>
    <t>PRODIGO1073323</t>
  </si>
  <si>
    <t>China Biopsy Needle 22g x 15cm</t>
  </si>
  <si>
    <t>China Biopsy Needle</t>
  </si>
  <si>
    <t>Needle 22 Gax15 Cm Chiba Sterile Latex</t>
  </si>
  <si>
    <t>NEEDLE, BIOPSY, CHIBA, 22 GAX15 CM, STERILE, LATEX</t>
  </si>
  <si>
    <t>NEEDLE, BX, CHIBA, 22 GAX15 CM, STRL, LTX</t>
  </si>
  <si>
    <t>CHIBA</t>
  </si>
  <si>
    <t>22 GAX15 CM</t>
  </si>
  <si>
    <t>https://accessgudid.nlm.nih.gov/devices/00886333220236</t>
  </si>
  <si>
    <t>CFN2220</t>
  </si>
  <si>
    <t>CFN-2220</t>
  </si>
  <si>
    <t>ARGON_CFN2220</t>
  </si>
  <si>
    <t>Chiba Biopsy Needle 22GA X 20CM</t>
  </si>
  <si>
    <t>PRODIGO1073324</t>
  </si>
  <si>
    <t>Chiba Biopsy Needle 22g x 20cm</t>
  </si>
  <si>
    <t>Chiba Biopsy Needle</t>
  </si>
  <si>
    <t>Needle 22 Gax20 Cm Chiba Sterile Latex</t>
  </si>
  <si>
    <t>NEEDLE, BIOPSY, CHIBA, 22 GAX20 CM, STERILE, LATEX</t>
  </si>
  <si>
    <t>NEEDLE, BX, CHIBA, 22 GAX20 CM, STRL, LTX</t>
  </si>
  <si>
    <t>22 GAX20 CM</t>
  </si>
  <si>
    <t>https://accessgudid.nlm.nih.gov/devices/00886333220243</t>
  </si>
  <si>
    <t>DBAG600H</t>
  </si>
  <si>
    <t>ARGON_DBAG600H</t>
  </si>
  <si>
    <t>Drainage Bag 600ML</t>
  </si>
  <si>
    <t>PRODIGO1073326</t>
  </si>
  <si>
    <t>Drainage Bag 600ml</t>
  </si>
  <si>
    <t>Drainage Bag</t>
  </si>
  <si>
    <t>42142704  Urinary drainage bags or meters</t>
  </si>
  <si>
    <t>Bag 600 Ml Sterile Latex</t>
  </si>
  <si>
    <t>BAG, DRAINAGE, 600 ML, STERILE, LATEX</t>
  </si>
  <si>
    <t>BAG, DRAINAGE, 600 ML, STRL, LTX</t>
  </si>
  <si>
    <t>600 ML</t>
  </si>
  <si>
    <t>https://accessgudid.nlm.nih.gov/devices/00886333001439</t>
  </si>
  <si>
    <t>DBMNI1504</t>
  </si>
  <si>
    <t>ARGON_DBMNI1504</t>
  </si>
  <si>
    <t>Bone Marrow Aspiration Needle 15GA X 4 Max</t>
  </si>
  <si>
    <t>PRODIGO1073328</t>
  </si>
  <si>
    <t>Bone Marrow Aspiration Needle 15ga x 4in MAX</t>
  </si>
  <si>
    <t>Bone Marrow Aspiration Needle</t>
  </si>
  <si>
    <t>Needle 15 Gax4 In Bone Marrow Aspiration Luer Lock Connector Max Sterile Latex</t>
  </si>
  <si>
    <t>NEEDLE, BIOPSY, ASPIRATION, 15 GAX4 IN, BONE MARROW, LUER LOCK CONNECTOR, MAX, STERILE, LATEX</t>
  </si>
  <si>
    <t>NEEDLE, BX, ASPIR, 15 GAX4 IN, BNE MAR, LUER LCK CONN, MAX, STRL, LTX</t>
  </si>
  <si>
    <t>NEEDLE, BX, ASPIR, 15 GAX4 IN, BNE MAR, LUER LCK CONN, MAX, STRL</t>
  </si>
  <si>
    <t>ASPIRATION</t>
  </si>
  <si>
    <t>15 GAX4 IN</t>
  </si>
  <si>
    <t>BONE MARROW</t>
  </si>
  <si>
    <t>LUER LOCK CONNECTOR, MAX</t>
  </si>
  <si>
    <t>https://res.onemed.com/SE/Produktblad/1115842.pdf, https://accessgudid.nlm.nih.gov/devices/00886333001453</t>
  </si>
  <si>
    <t>DBMNI1601</t>
  </si>
  <si>
    <t>ARGON_DBMNI1601</t>
  </si>
  <si>
    <t>Bone Marrow Aspiration Needle 16GA X 2.688 Max</t>
  </si>
  <si>
    <t>PRODIGO1073329</t>
  </si>
  <si>
    <t>Bone Marrow Aspiration Needle 16ga x 2.688in Max</t>
  </si>
  <si>
    <t>Needle 16 Gax2.688 In Bone Marrow Luer Lock Connector Max Sterile Latex</t>
  </si>
  <si>
    <t>NEEDLE, BIOPSY, 16 GAX2.688 IN, BONE MARROW, LUER LOCK CONNECTOR, MAX, STERILE, LATEX</t>
  </si>
  <si>
    <t>NEEDLE, BX, 16 GAX2.688 IN, BNE MAR, LUER LCK CONN, MAX, STRL, LTX</t>
  </si>
  <si>
    <t>https://res.onemed.com/SE/Produktblad/1115842.pdf, https://accessgudid.nlm.nih.gov/devices/00886333001446</t>
  </si>
  <si>
    <t>DBMNJ0804TL</t>
  </si>
  <si>
    <t>ARGON_DBMNJ0804TL</t>
  </si>
  <si>
    <t>T-Lok Bone Marrow Biopsy Needle 8GA X 4</t>
  </si>
  <si>
    <t>PRODIGO1073330</t>
  </si>
  <si>
    <t>T-LokGäó Bone Marrow Biopsy Needle 8ga x 4in</t>
  </si>
  <si>
    <t>T-LokGäó Bone Marrow Biopsy Needle</t>
  </si>
  <si>
    <t>T-lok Needle 8 Gax4 In Bone Marrow Double Diamond Stylet With Extraction Cannula Sterile Latex</t>
  </si>
  <si>
    <t>NEEDLE, BIOPSY, 8 GAX4 IN, BONE MARROW, DOUBLE DIAMOND STYLET, WITH EXTRACTION CANNULA, STERILE, T-LOK, LATEX</t>
  </si>
  <si>
    <t>NEEDLE, BX, 8 GAX4 IN, BNE MAR, DBL DIAMOND STYL, W/ EXTRACTION CANN, STRL, T-LOK, LTX</t>
  </si>
  <si>
    <t>NEEDLE, BX, 8 GAX4 IN, BNE MAR, DBL DIAMOND, EXTRACTION, T-LOK</t>
  </si>
  <si>
    <t>DOUBLE DIAMOND STYLET, WITH EXTRACTION CANNULA</t>
  </si>
  <si>
    <t>https://res.onemed.com/SE/Produktblad/1115842.pdf, https://accessgudid.nlm.nih.gov/devices/00886333001514</t>
  </si>
  <si>
    <t>DBMNJ0806TL</t>
  </si>
  <si>
    <t>ARGON_DBMNJ0806TL</t>
  </si>
  <si>
    <t>T-Lok Bone Marrow Biopsy Needle 8GA X 6</t>
  </si>
  <si>
    <t>PRODIGO1073331</t>
  </si>
  <si>
    <t>T-LokGäó Bone Marrow Biopsy Needle 8ga x 6in</t>
  </si>
  <si>
    <t>T-lok Needle 8 Gax6 In Bone Marrow Double Diamond Stylet With Extraction Cannula Sterile Latex</t>
  </si>
  <si>
    <t>NEEDLE, BIOPSY, 8 GAX6 IN, BONE MARROW, DOUBLE DIAMOND STYLET, WITH EXTRACTION CANNULA, STERILE, T-LOK, LATEX</t>
  </si>
  <si>
    <t>NEEDLE, BX, 8 GAX6 IN, BNE MAR, DBL DIAMOND STYL, W/ EXTRACTION CANN, STRL, T-LOK, LTX</t>
  </si>
  <si>
    <t>NEEDLE, BX, 8 GAX6 IN, BNE MAR, DBL DIAMOND, EXTRACTION, T-LOK</t>
  </si>
  <si>
    <t>8 GAX6 IN</t>
  </si>
  <si>
    <t>https://res.onemed.com/SE/Produktblad/1115842.pdf, https://accessgudid.nlm.nih.gov/devices/00886333001569</t>
  </si>
  <si>
    <t>DBMNJ1104</t>
  </si>
  <si>
    <t>ARGON_DBMNJ1104</t>
  </si>
  <si>
    <t>Bone Marrow Biopsy Needle 11GA X 4</t>
  </si>
  <si>
    <t>PRODIGO1073332</t>
  </si>
  <si>
    <t>Bone Marrow Biopsy Needle 11ga x 4in</t>
  </si>
  <si>
    <t>Bone Marrow Biopsy Needle</t>
  </si>
  <si>
    <t>Needle 11 Gax4 In Bone Marrow Sterile Latex</t>
  </si>
  <si>
    <t>NEEDLE, BIOPSY, 11 GAX4 IN, BONE MARROW, STERILE, LATEX</t>
  </si>
  <si>
    <t>NEEDLE, BX, 11 GAX4 IN, BNE MAR, STRL, LTX</t>
  </si>
  <si>
    <t>https://accessgudid.nlm.nih.gov/devices/00886333001484</t>
  </si>
  <si>
    <t>DBMNJ1106TL</t>
  </si>
  <si>
    <t>ARGON_DBMNJ1106TL</t>
  </si>
  <si>
    <t>T-Lok Bone Marrow Biopsy Needle 11GA X 6</t>
  </si>
  <si>
    <t>PRODIGO1073333</t>
  </si>
  <si>
    <t>T-LokGäó Bone Marrow Biopsy Needle 11ga x 6in</t>
  </si>
  <si>
    <t>T-lok Needle 11 Gax6 In Bone Marrow Double Diamond Stylet With Extraction Cannula Sterile Latex</t>
  </si>
  <si>
    <t>NEEDLE, BIOPSY, 11 GAX6 IN, BONE MARROW, DOUBLE DIAMOND STYLET, WITH EXTRACTION CANNULA, STERILE, T-LOK, LATEX</t>
  </si>
  <si>
    <t>NEEDLE, BX, 11 GAX6 IN, BNE MAR, DBL DIAMOND STYL, W/ EXTRACTION CANN, STRL, T-LOK, LTX</t>
  </si>
  <si>
    <t>NEEDLE, BX, 11 GAX6 IN, BNE MAR, DBL DIAMOND STYL, CANN, T-LOK</t>
  </si>
  <si>
    <t>11 GAX6 IN</t>
  </si>
  <si>
    <t>https://res.onemed.com/SE/Produktblad/1115842.pdf, https://accessgudid.nlm.nih.gov/devices/00886333001538</t>
  </si>
  <si>
    <t>DBMNJ13025</t>
  </si>
  <si>
    <t>ARGON_DBMNJ13025</t>
  </si>
  <si>
    <t>Bone Marrow Biopsy Needle 13GA X 2.5</t>
  </si>
  <si>
    <t>PRODIGO1073334</t>
  </si>
  <si>
    <t>Bone Marrow Biopsy Needle 13ga x 2-1/2in</t>
  </si>
  <si>
    <t>T-lok Needle 13 Gax2.5 In Bone Marrow Double Diamond Stylet Without Extraction Cannula Sterile Latex</t>
  </si>
  <si>
    <t>NEEDLE, BIOPSY, 13 GAX2.5 IN, BONE MARROW, DOUBLE DIAMOND STYLET, WITHOUT EXTRACTION CANNULA, STERILE, T-LOK, LATEX</t>
  </si>
  <si>
    <t>NEEDLE, BX, 13 GAX2.5 IN, BNE MAR, DBL DIAMOND STYL, W/O EXTRACTION CANN, STRL, T-LOK, LTX</t>
  </si>
  <si>
    <t>NEEDLE, BX, 13 GAX2.5 IN, BNE MAR, DBL DIAMOND STYL, T-LOK</t>
  </si>
  <si>
    <t>13 GAX2.5 IN</t>
  </si>
  <si>
    <t>DOUBLE DIAMOND STYLET, WITHOUT EXTRACTION CANNULA</t>
  </si>
  <si>
    <t>https://res.onemed.com/SE/Produktblad/1115842.pdf, https://accessgudid.nlm.nih.gov/devices/00886333001491</t>
  </si>
  <si>
    <t>DBMNJ1304</t>
  </si>
  <si>
    <t>ARGON_DBMNJ1304</t>
  </si>
  <si>
    <t>Bone Marrow Biopsy Needle 13GA X 4</t>
  </si>
  <si>
    <t>PRODIGO1073335</t>
  </si>
  <si>
    <t>Bone Marrow Biopsy Needle 13ga x 4in</t>
  </si>
  <si>
    <t>T-lok Needle 13 Gax4 In Bone Marrow Double Diamond Stylet Without Extraction Cannula Sterile Latex</t>
  </si>
  <si>
    <t>NEEDLE, BIOPSY, 13 GAX4 IN, BONE MARROW, DOUBLE DIAMOND STYLET, WITHOUT EXTRACTION CANNULA, STERILE, T-LOK, LATEX</t>
  </si>
  <si>
    <t>NEEDLE, BX, 13 GAX4 IN, BNE MAR, DBL DIAMOND STYL, W/O EXTRACTION CANN, STRL, T-LOK, LTX</t>
  </si>
  <si>
    <t>NEEDLE, BX, 13 GAX4 IN, BNE MAR, DBL DIAMOND STYL, T-LOK</t>
  </si>
  <si>
    <t>https://res.onemed.com/SE/Produktblad/1115842.pdf, https://accessgudid.nlm.nih.gov/devices/00886333001507</t>
  </si>
  <si>
    <t>DGK002SX</t>
  </si>
  <si>
    <t>ARGON_DGK002SX</t>
  </si>
  <si>
    <t>Galactography Kit 30GA Straight Cannula</t>
  </si>
  <si>
    <t>PRODIGO1073336</t>
  </si>
  <si>
    <t>Galactography Kit 30ga with Straight Cannula</t>
  </si>
  <si>
    <t>Galactography Kit</t>
  </si>
  <si>
    <t>Galactography Kit 30 Ga With Straight Cannula Sterile Latex</t>
  </si>
  <si>
    <t>GALACTOGRAPHY KIT, 30 GA, WITH STRAIGHT CANNULA, STERILE, LATEX</t>
  </si>
  <si>
    <t>GALACTOGRAPHY KIT, 30 GA, W/ STR CANN, STRL, LTX</t>
  </si>
  <si>
    <t>GALACTOGRAPHY KIT</t>
  </si>
  <si>
    <t>30 GA</t>
  </si>
  <si>
    <t>WITH STRAIGHT CANNULA</t>
  </si>
  <si>
    <t>https://res.onemed.com/SE/Produktblad/1115842.pdf, https://accessgudid.nlm.nih.gov/devices/00886333001576</t>
  </si>
  <si>
    <t>E387001</t>
  </si>
  <si>
    <t>ARGON_E387001</t>
  </si>
  <si>
    <t>Guidewire Torque Handle For Use With .021 - .038 Guidewires</t>
  </si>
  <si>
    <t>PRODIGO1073338</t>
  </si>
  <si>
    <t>"Guidewire Torque Handle for use with .021"" - .038"" Hydrophilic Guidewires"</t>
  </si>
  <si>
    <t>Guidewire Torque Handle</t>
  </si>
  <si>
    <t>42291901  Surgical instrument holders or positioners</t>
  </si>
  <si>
    <t>Handle 0.021-0.038 In For Hydrophilic Guidewire Sterile Latex</t>
  </si>
  <si>
    <t>HANDLE, INSTRUMENT, 0.021-0.038 IN, FOR HYDROPHILIC GUIDEWIRE, STERILE, LATEX</t>
  </si>
  <si>
    <t>HANDLE, INSTRUMENT, 0.021-0.038 IN, FOR HYDRPHLC GUIDEWIRE, STRL, LTX</t>
  </si>
  <si>
    <t>HANDLE, INSTRUMENT, 0.021-0.038 IN, FOR HYDRPHLC GUIDEWIRE</t>
  </si>
  <si>
    <t>HANDLE</t>
  </si>
  <si>
    <t>0.021-0.038 IN</t>
  </si>
  <si>
    <t>FOR HYDROPHILIC GUIDEWIRE</t>
  </si>
  <si>
    <t>https://accessgudid.nlm.nih.gov/devices/00886333222100</t>
  </si>
  <si>
    <t>FFN1815</t>
  </si>
  <si>
    <t>FFN-1815</t>
  </si>
  <si>
    <t>ARGON_FFN1815</t>
  </si>
  <si>
    <t>Franseen Needle 18GA X 15CM</t>
  </si>
  <si>
    <t>PRODIGO1073339</t>
  </si>
  <si>
    <t>Franseen Needle 18g x 15cm</t>
  </si>
  <si>
    <t>Franseen Needle</t>
  </si>
  <si>
    <t>Needle 18 Gax15 Cm Franseen Sterile Latex</t>
  </si>
  <si>
    <t>NEEDLE, BIOPSY, FRANSEEN, 18 GAX15 CM, STERILE, LATEX</t>
  </si>
  <si>
    <t>NEEDLE, BX, FRNSN, 18 GAX15 CM, STRL, LTX</t>
  </si>
  <si>
    <t>FRANSEEN</t>
  </si>
  <si>
    <t>18 GAX15 CM</t>
  </si>
  <si>
    <t>https://accessgudid.nlm.nih.gov/devices/00886333220250</t>
  </si>
  <si>
    <t>FFN2209</t>
  </si>
  <si>
    <t>FFN-2209</t>
  </si>
  <si>
    <t>ARGON_FFN2209</t>
  </si>
  <si>
    <t>Franseen Needle 22GA X 9CM</t>
  </si>
  <si>
    <t>PRODIGO1073340</t>
  </si>
  <si>
    <t>Franseen Needle 22g x 9cm</t>
  </si>
  <si>
    <t>Needle 22 Gax9 Cm Franseen Sterile Latex</t>
  </si>
  <si>
    <t>NEEDLE, BIOPSY, FRANSEEN, 22 GAX9 CM, STERILE, LATEX</t>
  </si>
  <si>
    <t>NEEDLE, BX, FRNSN, 22 GAX9 CM, STRL, LTX</t>
  </si>
  <si>
    <t>22 GAX9 CM</t>
  </si>
  <si>
    <t>https://accessgudid.nlm.nih.gov/devices/00886333220274</t>
  </si>
  <si>
    <t>FFN2215</t>
  </si>
  <si>
    <t>FFN-2215</t>
  </si>
  <si>
    <t>ARGON_FFN2215</t>
  </si>
  <si>
    <t>Franseen Needle 22GA X 15CM</t>
  </si>
  <si>
    <t>PRODIGO1073341</t>
  </si>
  <si>
    <t>Franseen Needle 22g x 15cm</t>
  </si>
  <si>
    <t>Needle 22 Gax15 Cm Franseen Sterile Latex</t>
  </si>
  <si>
    <t>NEEDLE, BIOPSY, FRANSEEN, 22 GAX15 CM, STERILE, LATEX</t>
  </si>
  <si>
    <t>NEEDLE, BX, FRNSN, 22 GAX15 CM, STRL, LTX</t>
  </si>
  <si>
    <t>https://accessgudid.nlm.nih.gov/devices/00886333220281</t>
  </si>
  <si>
    <t>FFN2220</t>
  </si>
  <si>
    <t>FFN-2220</t>
  </si>
  <si>
    <t>ARGON_FFN2220</t>
  </si>
  <si>
    <t>Franseen Needle 22GA X 20CM</t>
  </si>
  <si>
    <t>PRODIGO1073342</t>
  </si>
  <si>
    <t>Franseen Needle 22g x 20cm</t>
  </si>
  <si>
    <t>Needle 22 Gax20 Cm Franseen Sterile Latex</t>
  </si>
  <si>
    <t>NEEDLE, BIOPSY, FRANSEEN, 22 GAX20 CM, STERILE, LATEX</t>
  </si>
  <si>
    <t>NEEDLE, BX, FRNSN, 22 GAX20 CM, STRL, LTX</t>
  </si>
  <si>
    <t>https://accessgudid.nlm.nih.gov/devices/00886333220298</t>
  </si>
  <si>
    <t>GUTS1000</t>
  </si>
  <si>
    <t>ARGON_GUTS1000</t>
  </si>
  <si>
    <t>Soft Tissue/General Biopsy Tray</t>
  </si>
  <si>
    <t>PRODIGO1073343</t>
  </si>
  <si>
    <t>General Biopsy Tray</t>
  </si>
  <si>
    <t>42142518  Biopsy aspirator products</t>
  </si>
  <si>
    <t>Biopsy Tray Standard Soft Tissue General Sterile Latex-free</t>
  </si>
  <si>
    <t>BIOPSY TRAY, GENERAL, STANDARD, SOFT TISSUE, STERILE, LATEX-FREE</t>
  </si>
  <si>
    <t>BIOPSY TRAY, GEN, STD, SFT TISS, STRL, LF</t>
  </si>
  <si>
    <t>GENERAL</t>
  </si>
  <si>
    <t>SOFT TISSUE</t>
  </si>
  <si>
    <t>https://www.scribd.com/document/413558186/ARGON-Compressed, https://accessgudid.nlm.nih.gov/devices/00886333001590</t>
  </si>
  <si>
    <t>GWI1802WW</t>
  </si>
  <si>
    <t>ARGON_GWI1802WW</t>
  </si>
  <si>
    <t>Guidewire Introducer Needle W/ Clear Window Wall Hub - 18GA X 7CM</t>
  </si>
  <si>
    <t>PRODIGO1073345</t>
  </si>
  <si>
    <t>Guidewire Introducer Needle w/ Window Wall Hub 18ga x 7cm</t>
  </si>
  <si>
    <t>Guidewire Introducer Needle</t>
  </si>
  <si>
    <t>Needle 18 Gax7 Cm Guidewire With Clear Window Wall Hub Sterile Latex</t>
  </si>
  <si>
    <t>NEEDLE, INTRODUCER, 18 GAX7 CM, GUIDEWIRE, WITH CLEAR WINDOW WALL HUB, STERILE, LATEX</t>
  </si>
  <si>
    <t>NEEDLE, INTRO, 18 GAX7 CM, GUIDEWIRE, W/ CLR WINDOW WALL HUB, STRL, LTX</t>
  </si>
  <si>
    <t>NEEDLE, INTRO, 18 GAX7 CM, GUIDEWIRE, W/ CLR WINDOW WALL HUB</t>
  </si>
  <si>
    <t>GUIDEWIRE, WITH CLEAR WINDOW WALL HUB</t>
  </si>
  <si>
    <t>https://res.onemed.com/SE/Produktblad/1115842.pdf, https://accessgudid.nlm.nih.gov/devices/00886333001637</t>
  </si>
  <si>
    <t>GWI1902WW</t>
  </si>
  <si>
    <t>ARGON_GWI1902WW</t>
  </si>
  <si>
    <t>Guidewire Introducer Needle W/ Clear Window Wall Hub - 19GA X 7CM</t>
  </si>
  <si>
    <t>PRODIGO1073346</t>
  </si>
  <si>
    <t>Guidewire Introducer Needle w/ Window Wall Hub 19ga x 7cm</t>
  </si>
  <si>
    <t>Needle 19 Gax7 Cm Guidewire With Clear Window Wall Hub Sterile Latex</t>
  </si>
  <si>
    <t>NEEDLE, INTRODUCER, 19 GAX7 CM, GUIDEWIRE, WITH CLEAR WINDOW WALL HUB, STERILE, LATEX</t>
  </si>
  <si>
    <t>NEEDLE, INTRO, 19 GAX7 CM, GUIDEWIRE, W/ CLR WINDOW WALL HUB, STRL, LTX</t>
  </si>
  <si>
    <t>NEEDLE, INTRO, 19 GAX7 CM, GUIDEWIRE, W/ CLR WINDOW WALL HUB</t>
  </si>
  <si>
    <t>https://res.onemed.com/SE/Produktblad/1115842.pdf, https://accessgudid.nlm.nih.gov/devices/00886333001620</t>
  </si>
  <si>
    <t>ION18015</t>
  </si>
  <si>
    <t>ARGON_ION18015</t>
  </si>
  <si>
    <t>Pediatric Bone Marrow Access Needle 18GA X 3.58CM 1/4</t>
  </si>
  <si>
    <t>PRODIGO1073347</t>
  </si>
  <si>
    <t>Pediatric Bone Marrow Needle 18ga x 3.58cm</t>
  </si>
  <si>
    <t>Pediatric Bone Marrow Needle</t>
  </si>
  <si>
    <t>Needle Pediatric 18 Gax3.58 Cm Bone Marrow Aspiration Access Regular Wall Trocar Point Sterile Latex</t>
  </si>
  <si>
    <t>NEEDLE, BIOPSY, ASPIRATION, PEDIATRIC, 18 GAX3.58 CM, BONE MARROW, ACCESS, REGULAR WALL, TROCAR POINT, STERILE, LATEX</t>
  </si>
  <si>
    <t>NEEDLE, BX, ASPIR, PEDIATRIC, 18 GAX3.58 CM, BNE MAR, ACCS, RW, TRCR PT, STRL, LTX</t>
  </si>
  <si>
    <t>NEEDLE, BX, ASPIR, PEDIATRIC, 18 GAX3.58 CM, BNE MAR, ACCS, RW, TRCR</t>
  </si>
  <si>
    <t>18 GAX3.58 CM</t>
  </si>
  <si>
    <t>ACCESS, REGULAR WALL, TROCAR POINT</t>
  </si>
  <si>
    <t>https://res.onemed.com/SE/Produktblad/1115842.pdf, https://accessgudid.nlm.nih.gov/devices/00886333001644</t>
  </si>
  <si>
    <t>ISN1915</t>
  </si>
  <si>
    <t>ARGON_ISN1915</t>
  </si>
  <si>
    <t>Introducer Sheath/Needle With 5FR Sheath Accepts An .038 Guidewire 19GA X 15CM</t>
  </si>
  <si>
    <t>PRODIGO1073348</t>
  </si>
  <si>
    <t>Introducer Sheath/Needle 19ga x 15cm</t>
  </si>
  <si>
    <t>Introducer Sheath/Needle</t>
  </si>
  <si>
    <t>Needle 0.038 In 19 Gax15 Cm 5 Fr Radiopaque Sheath Guidewire Trocar Tip Sterile Latex</t>
  </si>
  <si>
    <t>NEEDLE, INTRODUCER, 0.038 IN, 19 GAX15 CM, 5 FR, RADIOPAQUE SHEATH, GUIDEWIRE, TROCAR TIP, STERILE, LATEX</t>
  </si>
  <si>
    <t>NEEDLE, INTRO, 0.038 IN, 19 GAX15 CM, 5 FR, RADIOPAQUE SHTH, GUIDEWIRE, TROCAR TIP, STRL, LTX</t>
  </si>
  <si>
    <t>NEEDLE, INTRO, 0.038 IN, 19 GAX15 CM, 5 FR, RADIOPAQUE, TROCAR TIP</t>
  </si>
  <si>
    <t>19 GAX15 CM</t>
  </si>
  <si>
    <t>RADIOPAQUE SHEATH, GUIDEWIRE, TROCAR TIP</t>
  </si>
  <si>
    <t>https://res.onemed.com/SE/Produktblad/1115842.pdf, https://accessgudid.nlm.nih.gov/devices/00886333224388</t>
  </si>
  <si>
    <t>LNGC14GX</t>
  </si>
  <si>
    <t>ARGON_LNGC14GX</t>
  </si>
  <si>
    <t>Needle Guide For Lorad Stereo Loc For 14GA Closed Type</t>
  </si>
  <si>
    <t>PRODIGO1073350</t>
  </si>
  <si>
    <t>Needle Guide for Lorad Stereo Loc for 14ga</t>
  </si>
  <si>
    <t>Needle Guide</t>
  </si>
  <si>
    <t>42294303  Minimally invasive breast biopsy needle guides</t>
  </si>
  <si>
    <t>Guide 14 Ga Closed Type For Lorad Stereo Loc Sterile Latex</t>
  </si>
  <si>
    <t>GUIDE, NEEDLE, CLOSED TYPE, 14 GA, FOR LORAD STEREO LOC, STERILE, LATEX</t>
  </si>
  <si>
    <t>GUIDE, NDL, CLOSED TYP, 14 GA, FOR LORAD STEREO LOC, STRL, LTX</t>
  </si>
  <si>
    <t>GUIDE</t>
  </si>
  <si>
    <t>CLOSED TYPE</t>
  </si>
  <si>
    <t>14 GA</t>
  </si>
  <si>
    <t>FOR LORAD STEREO LOC</t>
  </si>
  <si>
    <t>https://res.onemed.com/SE/Produktblad/1115842.pdf, https://accessgudid.nlm.nih.gov/devices/00886333001705</t>
  </si>
  <si>
    <t>LNGC2022YX</t>
  </si>
  <si>
    <t>ARGON_LNGC2022YX</t>
  </si>
  <si>
    <t>Needle Guide For Lorad Stereo Loc For 20GA-22GA Closed Type</t>
  </si>
  <si>
    <t>PRODIGO1073351</t>
  </si>
  <si>
    <t>Needle Guide for Lorad Stereo Loc for 20ga-22ga</t>
  </si>
  <si>
    <t>Guide 20-22 Ga Closed Type For Lorad Stereo Loc Sterile Latex</t>
  </si>
  <si>
    <t>GUIDE, NEEDLE, CLOSED TYPE, 20-22 GA, FOR LORAD STEREO LOC, STERILE, LATEX</t>
  </si>
  <si>
    <t>GUIDE, NDL, CLOSED TYP, 20-22 GA, FOR LORAD STEREO LOC, STRL, LTX</t>
  </si>
  <si>
    <t>20-22 GA</t>
  </si>
  <si>
    <t>https://res.onemed.com/SE/Produktblad/1115842.pdf, https://accessgudid.nlm.nih.gov/devices/00886333001675</t>
  </si>
  <si>
    <t>LNGO2022YX</t>
  </si>
  <si>
    <t>ARGON_LNGO2022YX</t>
  </si>
  <si>
    <t>Needle Guide For Lorad Stereo Loc For 20GA-22GA Open Type</t>
  </si>
  <si>
    <t>PRODIGO1073353</t>
  </si>
  <si>
    <t>Guide 20-22 Ga Open Type For Lorad Stereo Loc Sterile Latex</t>
  </si>
  <si>
    <t>GUIDE, NEEDLE, OPEN TYPE, 20-22 GA, FOR LORAD STEREO LOC, STERILE, LATEX</t>
  </si>
  <si>
    <t>GUIDE, NDL, OPN TYP, 20-22 GA, FOR LORAD STEREO LOC, STRL, LTX</t>
  </si>
  <si>
    <t>OPEN TYPE</t>
  </si>
  <si>
    <t>https://res.onemed.com/SE/Produktblad/1115842.pdf, https://accessgudid.nlm.nih.gov/devices/00886333001712</t>
  </si>
  <si>
    <t>CHJ</t>
  </si>
  <si>
    <t>MCN1803US</t>
  </si>
  <si>
    <t>ARGON_MCN1803US</t>
  </si>
  <si>
    <t>Chiba Biopsy Needle 18GA X 9CM With Needle Stop &amp; EchoGAenic Tip</t>
  </si>
  <si>
    <t>PRODIGO1073354</t>
  </si>
  <si>
    <t>Chiba Biopsy Needle with Echogenic Tip 18ga x 9cm</t>
  </si>
  <si>
    <t>Chiba Biopsy Needle with Echogenic Tip</t>
  </si>
  <si>
    <t>Chiba Biopsy Needles 18G x 9 cm with echogenic tip</t>
  </si>
  <si>
    <t>NEEDLE, BIOPSY, CHIBA, 18 GAX9 CM, WITH STOP, ECHOGENIC TIP, STERILE, LATEX</t>
  </si>
  <si>
    <t>NEEDLE, BX, CHIBA, 18 GAX9 CM, W/ STP, ECHOGENIC TIP, STRL, LTX</t>
  </si>
  <si>
    <t>18 GAX9 CM</t>
  </si>
  <si>
    <t>WITH STOP, ECHOGENIC TIP</t>
  </si>
  <si>
    <t>https://res.onemed.com/SE/Produktblad/1115842.pdf, https://accessgudid.nlm.nih.gov/devices/00886333001897</t>
  </si>
  <si>
    <t>MCN1806</t>
  </si>
  <si>
    <t>ARGON_MCN1806</t>
  </si>
  <si>
    <t>Chiba Biopsy Needle 18GA X 15CM</t>
  </si>
  <si>
    <t>PRODIGO1073355</t>
  </si>
  <si>
    <t>Chiba Biopsy Needle 18ga x 15cm</t>
  </si>
  <si>
    <t>Chiba Biopsy Needles 18G x 15 cm</t>
  </si>
  <si>
    <t>NEEDLE, BIOPSY, CHIBA, 18 GAX15 CM, STERILE, LATEX</t>
  </si>
  <si>
    <t>NEEDLE, BX, CHIBA, 18 GAX15 CM, STRL, LTX</t>
  </si>
  <si>
    <t>https://res.onemed.com/SE/Produktblad/1115842.pdf, https://accessgudid.nlm.nih.gov/devices/00886333001774</t>
  </si>
  <si>
    <t>MCN1806US</t>
  </si>
  <si>
    <t>ARGON_MCN1806US</t>
  </si>
  <si>
    <t>Chiba Biopsy Needle 18GA X 15CM With Needle Stop &amp; Echogenic Tip</t>
  </si>
  <si>
    <t>PRODIGO1073356</t>
  </si>
  <si>
    <t>Chiba Biopsy Needle with Echogenic Tip 18ga x 15cm</t>
  </si>
  <si>
    <t>Chiba Biopsy Needles 18G x 15 cm with echogenic tip</t>
  </si>
  <si>
    <t>NEEDLE, BIOPSY, CHIBA, 18 GAX15 CM, WITH STOP, ECHOGENIC TIP, STERILE, LATEX</t>
  </si>
  <si>
    <t>NEEDLE, BX, CHIBA, 18 GAX15 CM, W/ STP, ECHOGENIC TIP, STRL, LTX</t>
  </si>
  <si>
    <t>https://res.onemed.com/SE/Produktblad/1115842.pdf, https://accessgudid.nlm.nih.gov/devices/00886333001835</t>
  </si>
  <si>
    <t>MCN1808</t>
  </si>
  <si>
    <t>ARGON_MCN1808</t>
  </si>
  <si>
    <t>Chiba Biopsy Needle 18GA X 20CM</t>
  </si>
  <si>
    <t>PRODIGO1073357</t>
  </si>
  <si>
    <t>Chiba Biopsy Needle 18ga x 20cm</t>
  </si>
  <si>
    <t>Chiba Biopsy Needles 18G x 20 cm</t>
  </si>
  <si>
    <t>NEEDLE, BIOPSY, CHIBA, 18 GAX20 CM, STERILE, LATEX</t>
  </si>
  <si>
    <t>NEEDLE, BX, CHIBA, 18 GAX20 CM, STRL, LTX</t>
  </si>
  <si>
    <t>https://res.onemed.com/SE/Produktblad/1115842.pdf, https://accessgudid.nlm.nih.gov/devices/00886333001781</t>
  </si>
  <si>
    <t>MCN1808US</t>
  </si>
  <si>
    <t>ARGON_MCN1808US</t>
  </si>
  <si>
    <t>Chiba Biopsy Needle 18GA X 20CM With Needle Stop &amp; Echogenic Tip</t>
  </si>
  <si>
    <t>PRODIGO1073358</t>
  </si>
  <si>
    <t>Chiba Biopsy Needle with Echogenic Tip 18ga x 20cm</t>
  </si>
  <si>
    <t>Chiba Biopsy Needles 18G x 20 cm with echogenic tip</t>
  </si>
  <si>
    <t>NEEDLE, BIOPSY, CHIBA, 18 GAX20 CM, WITH STOP, ECHOGENIC TIP, STERILE, LATEX</t>
  </si>
  <si>
    <t>NEEDLE, BX, CHIBA, 18 GAX20 CM, W/ STP, ECHOGENIC TIP, STRL, LTX</t>
  </si>
  <si>
    <t>https://res.onemed.com/SE/Produktblad/1115842.pdf, https://accessgudid.nlm.nih.gov/devices/00886333001866</t>
  </si>
  <si>
    <t>MCN2003US</t>
  </si>
  <si>
    <t>ARGON_MCN2003US</t>
  </si>
  <si>
    <t>Chiba Biopsy Needle 20GA X 9CM With Needle Stop &amp; EchoGAenic Tip</t>
  </si>
  <si>
    <t>PRODIGO1073359</t>
  </si>
  <si>
    <t>Chiba Biopsy Needle with Echogenic Tip 20ga x 9cm</t>
  </si>
  <si>
    <t>Chiba Biopsy Needles 20G x 9 cm with echogenic tip</t>
  </si>
  <si>
    <t>NEEDLE, BIOPSY, CHIBA, 20 GAX9 CM, WITH STOP, ECHOGENIC TIP, STERILE, LATEX</t>
  </si>
  <si>
    <t>NEEDLE, BX, CHIBA, 20 GAX9 CM, W/ STP, ECHOGENIC TIP, STRL, LTX</t>
  </si>
  <si>
    <t>20 GAX9 CM</t>
  </si>
  <si>
    <t>https://res.onemed.com/SE/Produktblad/1115842.pdf, https://accessgudid.nlm.nih.gov/devices/00886333001903</t>
  </si>
  <si>
    <t>MCN2006</t>
  </si>
  <si>
    <t>ARGON_MCN2006</t>
  </si>
  <si>
    <t>Chiba Biopsy Needle 20GA X 15CM</t>
  </si>
  <si>
    <t>PRODIGO1073360</t>
  </si>
  <si>
    <t>Chiba Biopsy Needle 20ga x 15cm</t>
  </si>
  <si>
    <t>Chiba Biopsy Needles 20G x 15 cm</t>
  </si>
  <si>
    <t>NEEDLE, BIOPSY, CHIBA, 20 GAX15 CM, STERILE, LATEX</t>
  </si>
  <si>
    <t>NEEDLE, BX, CHIBA, 20 GAX15 CM, STRL, LTX</t>
  </si>
  <si>
    <t>https://res.onemed.com/SE/Produktblad/1115842.pdf, https://accessgudid.nlm.nih.gov/devices/00886333001750</t>
  </si>
  <si>
    <t>MCN2006US</t>
  </si>
  <si>
    <t>ARGON_MCN2006US</t>
  </si>
  <si>
    <t>Chiba Biopsy Needle 20GA X 15CM With Needle Stop &amp; Echogenic Tip</t>
  </si>
  <si>
    <t>PRODIGO1073361</t>
  </si>
  <si>
    <t>Chiba Biopsy Needle with Echogenic Tip 20ga x 15cm</t>
  </si>
  <si>
    <t>Chiba Biopsy Needles 20G x 15 cm with echogenic tip</t>
  </si>
  <si>
    <t>NEEDLE, BIOPSY, CHIBA, 20 GAX15 CM, WITH STOP, ECHOGENIC TIP, STERILE, LATEX</t>
  </si>
  <si>
    <t>NEEDLE, BX, CHIBA, 20 GAX15 CM, W/ STP, ECHOGENIC TIP, STRL, LTX</t>
  </si>
  <si>
    <t>https://res.onemed.com/SE/Produktblad/1115842.pdf, https://accessgudid.nlm.nih.gov/devices/00886333001828</t>
  </si>
  <si>
    <t>MCN2008</t>
  </si>
  <si>
    <t>ARGON_MCN2008</t>
  </si>
  <si>
    <t>Chiba Biopsy Needle 20GA X 20CM</t>
  </si>
  <si>
    <t>PRODIGO1073362</t>
  </si>
  <si>
    <t>Chiba Biopsy Needle 20ga x 20cm</t>
  </si>
  <si>
    <t>Chiba Biopsy Needles 20G x 20 cm</t>
  </si>
  <si>
    <t>NEEDLE, BIOPSY, CHIBA, 20 GAX20 CM, STERILE, LATEX</t>
  </si>
  <si>
    <t>NEEDLE, BX, CHIBA, 20 GAX20 CM, STRL, LTX</t>
  </si>
  <si>
    <t>https://res.onemed.com/SE/Produktblad/1115842.pdf, https://accessgudid.nlm.nih.gov/devices/00886333001804</t>
  </si>
  <si>
    <t>MCN2008US</t>
  </si>
  <si>
    <t>ARGON_MCN2008US</t>
  </si>
  <si>
    <t>Chiba Biopsy Needle 20GA X 20CM With Needle Stop &amp; Echogenic Tip</t>
  </si>
  <si>
    <t>PRODIGO1073363</t>
  </si>
  <si>
    <t>Chiba Biopsy Needle with Echogenic Tip 20ga x 20cm</t>
  </si>
  <si>
    <t>Chiba Biopsy Needles 20G x 20 cm with echogenic tip</t>
  </si>
  <si>
    <t>NEEDLE, BIOPSY, CHIBA, 20 GAX20 CM, WITH STOP, ECHOGENIC TIP, STERILE, LATEX</t>
  </si>
  <si>
    <t>NEEDLE, BX, CHIBA, 20 GAX20 CM, W/ STP, ECHOGENIC TIP, STRL, LTX</t>
  </si>
  <si>
    <t>https://res.onemed.com/SE/Produktblad/1115842.pdf, https://accessgudid.nlm.nih.gov/devices/00886333001842</t>
  </si>
  <si>
    <t>MCN2203</t>
  </si>
  <si>
    <t>ARGON_MCN2203</t>
  </si>
  <si>
    <t>Chiba Biopsy Needle 22GA X 9CM</t>
  </si>
  <si>
    <t>PRODIGO1073364</t>
  </si>
  <si>
    <t>Chiba Biopsy Needle 22ga x 9cm</t>
  </si>
  <si>
    <t>Chiba Biopsy Needles 22G x 9 cm</t>
  </si>
  <si>
    <t>NEEDLE, BIOPSY, CHIBA, 22 GAX9 CM, STERILE, LATEX</t>
  </si>
  <si>
    <t>NEEDLE, BX, CHIBA, 22 GAX9 CM, STRL, LTX</t>
  </si>
  <si>
    <t>https://res.onemed.com/SE/Produktblad/1115842.pdf, https://accessgudid.nlm.nih.gov/devices/00886333001811</t>
  </si>
  <si>
    <t>MCN2203US</t>
  </si>
  <si>
    <t>ARGON_MCN2203US</t>
  </si>
  <si>
    <t>Chiba Biopsy Needle 22GA X 9CM With Needle Stop &amp; Echogenic Tip</t>
  </si>
  <si>
    <t>PRODIGO1073365</t>
  </si>
  <si>
    <t>Chiba Biopsy Needle with Echogenic Tip 22ga x 9cm</t>
  </si>
  <si>
    <t xml:space="preserve">Chiba Biopsy Needles 22G x 9 cm with echogenic tip </t>
  </si>
  <si>
    <t>NEEDLE, BIOPSY, CHIBA, 22 GAX9 CM, WITH STOP, ECHOGENIC TIP, STERILE, LATEX</t>
  </si>
  <si>
    <t>NEEDLE, BX, CHIBA, 22 GAX9 CM, W/ STP, ECHOGENIC TIP, STRL, LTX</t>
  </si>
  <si>
    <t>https://res.onemed.com/SE/Produktblad/1115842.pdf, https://accessgudid.nlm.nih.gov/devices/00886333001859</t>
  </si>
  <si>
    <t>MCN2206</t>
  </si>
  <si>
    <t>ARGON_MCN2206</t>
  </si>
  <si>
    <t>PRODIGO1073366</t>
  </si>
  <si>
    <t>Chiba Biopsy Needle 22ga x 15cm</t>
  </si>
  <si>
    <t xml:space="preserve">Chiba Biopsy Needles 22G x 15 cm </t>
  </si>
  <si>
    <t>https://res.onemed.com/SE/Produktblad/1115842.pdf, https://accessgudid.nlm.nih.gov/devices/00886333001729</t>
  </si>
  <si>
    <t>MCN2206US</t>
  </si>
  <si>
    <t>ARGON_MCN2206US</t>
  </si>
  <si>
    <t>Chiba Biopsy Needle 22GA X 15CM With Needle Stop &amp; Echogenic Tip</t>
  </si>
  <si>
    <t>PRODIGO1073367</t>
  </si>
  <si>
    <t>Chiba Biopsy Needle with Echogenic Tip 22ga x 15cm</t>
  </si>
  <si>
    <t>Chiba Biopsy Needles 22G x 15 cm with echogenic tip</t>
  </si>
  <si>
    <t>NEEDLE, BIOPSY, CHIBA, 22 GAX15 CM, WITH STOP, ECHOGENIC TIP, STERILE, LATEX</t>
  </si>
  <si>
    <t>NEEDLE, BX, CHIBA, 22 GAX15 CM, W/ STP, ECHOGENIC TIP, STRL, LTX</t>
  </si>
  <si>
    <t>https://res.onemed.com/SE/Produktblad/1115842.pdf, https://accessgudid.nlm.nih.gov/devices/00886333001880</t>
  </si>
  <si>
    <t>MCN2208</t>
  </si>
  <si>
    <t>ARGON_MCN2208</t>
  </si>
  <si>
    <t>PRODIGO1073368</t>
  </si>
  <si>
    <t>Chiba Biopsy Needle 22ga x 20cm</t>
  </si>
  <si>
    <t>Chiba Biopsy Needles 22G x 20 cm</t>
  </si>
  <si>
    <t>https://res.onemed.com/SE/Produktblad/1115842.pdf, https://accessgudid.nlm.nih.gov/devices/00886333001743</t>
  </si>
  <si>
    <t>MCN2208US</t>
  </si>
  <si>
    <t>ARGON_MCN2208US</t>
  </si>
  <si>
    <t>Chiba Biopsy Needle 22GA X 20CM With Needle Stop &amp; Echogenic Tip</t>
  </si>
  <si>
    <t>PRODIGO1073369</t>
  </si>
  <si>
    <t>Chiba Biopsy Needle with Echogenic Tip 22ga x 20cm</t>
  </si>
  <si>
    <t>Chiba Biopsy Needles 22G x 20 cm with echogenic tip</t>
  </si>
  <si>
    <t>NEEDLE, BIOPSY, CHIBA, 22 GAX20 CM, WITH STOP, ECHOGENIC TIP, STERILE, LATEX</t>
  </si>
  <si>
    <t>NEEDLE, BX, CHIBA, 22 GAX20 CM, W/ STP, ECHOGENIC TIP, STRL, LTX</t>
  </si>
  <si>
    <t>https://res.onemed.com/SE/Produktblad/1115842.pdf, https://accessgudid.nlm.nih.gov/devices/00886333001873</t>
  </si>
  <si>
    <t>MCXB1610BP</t>
  </si>
  <si>
    <t>ARGON_MCXB1610BP</t>
  </si>
  <si>
    <t>Co-Axial Cannula Bundle 15GA X 6.8CM Sharp Stylet Blunt Stylet For Use With The Biopince Ultra</t>
  </si>
  <si>
    <t>PRODIGO1073372</t>
  </si>
  <si>
    <t>Co-Axial Cannula Bundle 15ga x 6.8cm</t>
  </si>
  <si>
    <t>Co-Axial Cannula Bundle</t>
  </si>
  <si>
    <t>NEEDLE, BIOPSY, COAXIAL, 15 GAX6.8 CM, CANNULA, BUNDLE, SHARP STYLET, BLUNT STYLET, FOR USE WITH THE BIOPINCE ULTRA, STERILE, LATEX</t>
  </si>
  <si>
    <t>NEEDLE, BX, COAX, 15 GAX6.8 CM, CANN, BNDL, SHRP STYL, BLNT STYL, FOR USE W/ THE BIOPINCE ULTRA, STRL, LTX</t>
  </si>
  <si>
    <t>NEEDLE, BX, COAX, 15 GAX6.8 CM, CANN, BNDL, SHRP STYL, STRL, LTX</t>
  </si>
  <si>
    <t>15 GAX6.8 CM</t>
  </si>
  <si>
    <t>CANNULA, BUNDLE, SHARP STYLET, BLUNT STYLET, FOR USE WITH THE BIOPINCE ULTRA</t>
  </si>
  <si>
    <t>https://accessgudid.nlm.nih.gov/devices/00886333225859</t>
  </si>
  <si>
    <t>MCXB1610BPU</t>
  </si>
  <si>
    <t>ARGON_MCXB1610BPU</t>
  </si>
  <si>
    <t>Co-Axial Cannula Bundle 14GA X 6.8CM Sharp Stylet Blunt Stylet For Use With The Biopince Ultra</t>
  </si>
  <si>
    <t>PRODIGO1073373</t>
  </si>
  <si>
    <t>Co-Axial Cannula Bundle 14ga x 6.8cm</t>
  </si>
  <si>
    <t>NEEDLE, BIOPSY, COAXIAL, 14 GAX6.8 CM, CANNULA, BUNDLE, SHARP STYLET, BLUNT STYLET, FOR USE WITH THE BIOPINCE ULTRA, STERILE, LATEX</t>
  </si>
  <si>
    <t>NEEDLE, BX, COAX, 14 GAX6.8 CM, CANN, BNDL, SHRP STYL, BLNT STYL, FOR USE W/ THE BIOPINCE ULTRA, STRL, LTX</t>
  </si>
  <si>
    <t>NEEDLE, BX, COAX, 14 GAX6.8 CM, CANN, BNDL, SHRP STYL, STRL, LTX</t>
  </si>
  <si>
    <t>https://accessgudid.nlm.nih.gov/devices/00886333225903</t>
  </si>
  <si>
    <t>MCXB1615BP</t>
  </si>
  <si>
    <t>ARGON_MCXB1615BP</t>
  </si>
  <si>
    <t>Co-Axial Cannula Bundle 15GA X 11.8CM Sharp Stylet Blunt Stylet For Use With The Biopince Ultra</t>
  </si>
  <si>
    <t>PRODIGO1073374</t>
  </si>
  <si>
    <t>Co-Axial Cannula Bundle 15ga x 11.8cm</t>
  </si>
  <si>
    <t>NEEDLE, BIOPSY, COAXIAL, 15 GAX11.8 CM, CANNULA, BUNDLE, SHARP STYLET, BLUNT STYLET, FOR USE WITH THE BIOPINCE ULTRA, STERILE, LATEX</t>
  </si>
  <si>
    <t>NEEDLE, BX, COAX, 15 GAX11.8 CM, CANN, BNDL, SHRP STYL, BLNT STYL, FOR USE W/ THE BIOPINCE ULTRA, STRL, LTX</t>
  </si>
  <si>
    <t>NEEDLE, BX, COAX, 15 GAX11.8 CM, CANN, BNDL, SHRP STYL, STRL, LTX</t>
  </si>
  <si>
    <t>15 GAX11.8 CM</t>
  </si>
  <si>
    <t>https://accessgudid.nlm.nih.gov/devices/00886333225866</t>
  </si>
  <si>
    <t>MCXB1615BPU</t>
  </si>
  <si>
    <t>ARGON_MCXB1615BPU</t>
  </si>
  <si>
    <t>Co-Axial Cannula Bundle 14GA X 11.8CM Sharp Stylet Blunt Stylet For Use With The Biopince Ultra</t>
  </si>
  <si>
    <t>PRODIGO1073375</t>
  </si>
  <si>
    <t>Co-Axial Cannula Bundle 14ga x 11.8cm</t>
  </si>
  <si>
    <t>NEEDLE, BIOPSY, COAXIAL, 14 GAX11.8 CM, CANNULA, BUNDLE, SHARP STYLET, BLUNT STYLET, FOR USE WITH THE BIOPINCE ULTRA, STERILE, LATEX</t>
  </si>
  <si>
    <t>NEEDLE, BX, COAX, 14 GAX11.8 CM, CANN, BNDL, SHRP STYL, BLNT STYL, FOR USE W/ THE BIOPINCE ULTRA, STRL, LTX</t>
  </si>
  <si>
    <t>NEEDLE, BX, COAX, 14 GAX11.8 CM, CANN, BNDL, SHRP STYL, STRL, LTX</t>
  </si>
  <si>
    <t>https://accessgudid.nlm.nih.gov/devices/00886333225910</t>
  </si>
  <si>
    <t>MCXB1810BP</t>
  </si>
  <si>
    <t>ARGON_MCXB1810BP</t>
  </si>
  <si>
    <t>Co-Axial Cannula Bundle 17GA X 6.8CM Sharp Stylet Blunt Stylet For Use With The Biopince Ultra</t>
  </si>
  <si>
    <t>PRODIGO1073376</t>
  </si>
  <si>
    <t>Co-Axial Cannula Bundle 17ga x 6.8cm</t>
  </si>
  <si>
    <t>NEEDLE, BIOPSY, COAXIAL, 17 GAX6.8 CM, CANNULA, BUNDLE, SHARP STYLET, BLUNT STYLET, FOR USE WITH THE BIOPINCE ULTRA, STERILE, LATEX</t>
  </si>
  <si>
    <t>NEEDLE, BX, COAX, 17 GAX6.8 CM, CANN, BNDL, SHRP STYL, BLNT STYL, FOR USE W/ THE BIOPINCE ULTRA, STRL, LTX</t>
  </si>
  <si>
    <t>NEEDLE, BX, COAX, 17 GAX6.8 CM, CANN, BNDL, SHRP STYL, STRL, LTX</t>
  </si>
  <si>
    <t>17 GAX6.8 CM</t>
  </si>
  <si>
    <t>https://accessgudid.nlm.nih.gov/devices/00886333225873</t>
  </si>
  <si>
    <t>MCXB1810BPU</t>
  </si>
  <si>
    <t>ARGON_MCXB1810BPU</t>
  </si>
  <si>
    <t>Co-Axial Cannula Bundle 16GA X 6.8CM Sharp Stylet Blunt Stylet For Use With The Biopince Ultra</t>
  </si>
  <si>
    <t>PRODIGO1073377</t>
  </si>
  <si>
    <t>Co-Axial Cannula Bundle 16ga x 6.8cm</t>
  </si>
  <si>
    <t>NEEDLE, BIOPSY, COAXIAL, 16 GAX6.8 CM, CANNULA, BUNDLE, SHARP STYLET, BLUNT STYLET, FOR USE WITH THE BIOPINCE ULTRA, STERILE, LATEX</t>
  </si>
  <si>
    <t>NEEDLE, BX, COAX, 16 GAX6.8 CM, CANN, BNDL, SHRP STYL, BLNT STYL, FOR USE W/ THE BIOPINCE ULTRA, STRL, LTX</t>
  </si>
  <si>
    <t>NEEDLE, BX, COAX, 16 GAX6.8 CM, CANN, BNDL, SHRP STYL, STRL, LTX</t>
  </si>
  <si>
    <t>https://accessgudid.nlm.nih.gov/devices/00886333225927</t>
  </si>
  <si>
    <t>MCXB1815BP</t>
  </si>
  <si>
    <t>ARGON_MCXB1815BP</t>
  </si>
  <si>
    <t>Co-Axial Cannula Bundle 17GA X 11.8CM Sharp Stylet Blunt Stylet For Use With The Biopince Ultra</t>
  </si>
  <si>
    <t>PRODIGO1073378</t>
  </si>
  <si>
    <t>Co-Axial Cannula Bundle 17ga x 11.8cm</t>
  </si>
  <si>
    <t>NEEDLE, BIOPSY, COAXIAL, 17 GAX11.8 CM, CANNULA, BUNDLE, SHARP STYLET, BLUNT STYLET, FOR USE WITH THE BIOPINCE ULTRA, STERILE, LATEX</t>
  </si>
  <si>
    <t>NEEDLE, BX, COAX, 17 GAX11.8 CM, CANN, BNDL, SHRP STYL, BLNT STYL, FOR USE W/ THE BIOPINCE ULTRA, STRL, LTX</t>
  </si>
  <si>
    <t>NEEDLE, BX, COAX, 17 GAX11.8 CM, CANN, BNDL, SHRP STYL, STRL, LTX</t>
  </si>
  <si>
    <t>17 GAX11.8 CM</t>
  </si>
  <si>
    <t>https://accessgudid.nlm.nih.gov/devices/00886333225880</t>
  </si>
  <si>
    <t>MCXB1815BPU</t>
  </si>
  <si>
    <t>ARGON_MCXB1815BPU</t>
  </si>
  <si>
    <t>Co-Axial Cannula Bundle 16GA X 11.8CM Sharp Stylet Blunt Stylet For Use With The Biopince Ultra</t>
  </si>
  <si>
    <t>PRODIGO1073379</t>
  </si>
  <si>
    <t>Co-Axial Cannula Bundle 16ga x 11.8cm</t>
  </si>
  <si>
    <t>NEEDLE, BIOPSY, COAXIAL, 16 GAX11.8 CM, CANNULA, BUNDLE, SHARP STYLET, BLUNT STYLET, FOR USE WITH THE BIOPINCE ULTRA, STERILE, LATEX</t>
  </si>
  <si>
    <t>NEEDLE, BX, COAX, 16 GAX11.8 CM, CANN, BNDL, SHRP STYL, BLNT STYL, FOR USE W/ THE BIOPINCE ULTRA, STRL, LTX</t>
  </si>
  <si>
    <t>NEEDLE, BX, COAX, 16 GAX11.8 CM, CANN, BNDL, SHRP STYL, STRL, LTX</t>
  </si>
  <si>
    <t>https://accessgudid.nlm.nih.gov/devices/00886333225934</t>
  </si>
  <si>
    <t>MCXB1820BP</t>
  </si>
  <si>
    <t>ARGON_MCXB1820BP</t>
  </si>
  <si>
    <t>Co-Axial Cannula Bundle 17GA X 16.8CM Sharp Stylet Blunt Stylet For Use With The Biopince Ultra</t>
  </si>
  <si>
    <t>PRODIGO1073380</t>
  </si>
  <si>
    <t>Co-Axial Cannula Bundle 17ga x 16.8cm</t>
  </si>
  <si>
    <t>NEEDLE, BIOPSY, COAXIAL, 17 GAX16.8 CM, CANNULA, BUNDLE, SHARP STYLET, BLUNT STYLET, FOR USE WITH THE BIOPINCE ULTRA, STERILE, LATEX</t>
  </si>
  <si>
    <t>NEEDLE, BX, COAX, 17 GAX16.8 CM, CANN, BNDL, SHRP STYL, BLNT STYL, FOR USE W/ THE BIOPINCE ULTRA, STRL, LTX</t>
  </si>
  <si>
    <t>NEEDLE, BX, COAX, 17 GAX16.8 CM, CANN, BNDL, SHRP STYL, STRL, LTX</t>
  </si>
  <si>
    <t>17 GAX16.8 CM</t>
  </si>
  <si>
    <t>https://accessgudid.nlm.nih.gov/devices/00886333225897</t>
  </si>
  <si>
    <t>MCXB1820BPU</t>
  </si>
  <si>
    <t>ARGON_MCXB1820BPU</t>
  </si>
  <si>
    <t>Co-Axial Cannula Bundle 16GA X 16.8CM Sharp Stylet Blunt Stylet For Use With The Biopince Ultra</t>
  </si>
  <si>
    <t>PRODIGO1073381</t>
  </si>
  <si>
    <t>Co-Axial Cannula Bundle 16ga x 16.8cm</t>
  </si>
  <si>
    <t>NEEDLE, BIOPSY, COAXIAL, 16 GAX16.8 CM, CANNULA, BUNDLE, SHARP STYLET, BLUNT STYLET, FOR USE WITH THE BIOPINCE ULTRA, STERILE, LATEX</t>
  </si>
  <si>
    <t>NEEDLE, BX, COAX, 16 GAX16.8 CM, CANN, BNDL, SHRP STYL, BLNT STYL, FOR USE W/ THE BIOPINCE ULTRA, STRL, LTX</t>
  </si>
  <si>
    <t>NEEDLE, BX, COAX, 16 GAX16.8 CM, CANN, BNDL, SHRP STYL, STRL, LTX</t>
  </si>
  <si>
    <t>16 GAX16.8 CM</t>
  </si>
  <si>
    <t>https://accessgudid.nlm.nih.gov/devices/00886333225941</t>
  </si>
  <si>
    <t>MCXS1408SX</t>
  </si>
  <si>
    <t>ARGON_MCXS1408SX</t>
  </si>
  <si>
    <t>Co-Axial Introducer Needle 13GA X 3.5CM</t>
  </si>
  <si>
    <t>PRODIGO1073382</t>
  </si>
  <si>
    <t>Co-Axial Introducer Needle 13ga x 3.5cm</t>
  </si>
  <si>
    <t>Co-Axial Introducer Needle</t>
  </si>
  <si>
    <t>NEEDLE, INTRODUCER, COAXIAL, 13 GAX3.5 CM, STERILE, LATEX</t>
  </si>
  <si>
    <t>NEEDLE, INTRO, COAX, 13 GAX3.5 CM, STRL, LTX</t>
  </si>
  <si>
    <t>13 GAX3.5 CM</t>
  </si>
  <si>
    <t>https://accessgudid.nlm.nih.gov/devices/00886333002375</t>
  </si>
  <si>
    <t>Classified to nearest commodity Level</t>
  </si>
  <si>
    <t>MCXS1409LX</t>
  </si>
  <si>
    <t>ARGON_MCXS1409LX</t>
  </si>
  <si>
    <t>Co-Axial Introducer Needle 13GA X 3.9CM</t>
  </si>
  <si>
    <t>PRODIGO1073383</t>
  </si>
  <si>
    <t>Co-Axial Introducer Needle 13ga x 3.9cm</t>
  </si>
  <si>
    <t>NEEDLE, INTRODUCER, COAXIAL, 13 GAX3.9 CM, STERILE, LATEX</t>
  </si>
  <si>
    <t>NEEDLE, INTRO, COAX, 13 GAX3.9 CM, STRL, LTX</t>
  </si>
  <si>
    <t>https://accessgudid.nlm.nih.gov/devices/00886333002368</t>
  </si>
  <si>
    <t>MCXS1410AX</t>
  </si>
  <si>
    <t>ARGON_MCXS1410AX</t>
  </si>
  <si>
    <t>Co-Axial Introducer Needle 13GA X 4.6CM For Use With The Promag ACN And Osty Core Bone Biopsy Instruments</t>
  </si>
  <si>
    <t>PRODIGO1073384</t>
  </si>
  <si>
    <t>Co-Axial Introducer Needle 13ga x 4.6cm</t>
  </si>
  <si>
    <t>NEEDLE, INTRODUCER, COAXIAL, 13 GAX4.6 CM, FOR USE WITH THE PROMAG ACN, OSTY-CORE BONE BIOPSY INSTRUMENT, STERILE, LATEX</t>
  </si>
  <si>
    <t>NEEDLE, INTRO, COAX, 13 GAX4.6 CM, FOR USE W/ THE PROMAG ACN, OSTY-CORE BNE BX INSTRUMENT, STRL, LTX</t>
  </si>
  <si>
    <t>NEEDLE, INTRO, COAX, 13 GAX4.6 CM, FOR USE W/ THE PROMAG ACN</t>
  </si>
  <si>
    <t>13 GAX4.6 CM</t>
  </si>
  <si>
    <t>FOR USE WITH THE PROMAG ACN, OSTY-CORE BONE BIOPSY INSTRUMENT</t>
  </si>
  <si>
    <t>https://accessgudid.nlm.nih.gov/devices/00886333002351</t>
  </si>
  <si>
    <t>MCXS1410BP</t>
  </si>
  <si>
    <t>ARGON_MCXS1410BP</t>
  </si>
  <si>
    <t>Co-Axial Introducer Needle 13GA X   6.8CM For Use With The Biopince Ultra</t>
  </si>
  <si>
    <t>PRODIGO1073385</t>
  </si>
  <si>
    <t>Co-Axial Introducer Needle 13ga x 6.8cm</t>
  </si>
  <si>
    <t>NEEDLE, INTRODUCER, COAXIAL, 13 GAX6.8 CM, FOR USE WITH THE BIOPINCE ULTRA, STERILE, LATEX</t>
  </si>
  <si>
    <t>NEEDLE, INTRO, COAX, 13 GAX6.8 CM, FOR USE W/ THE BIOPINCE ULTRA, STRL, LTX</t>
  </si>
  <si>
    <t>NEEDLE, INTRO, COAX, 13 GAX6.8 CM, FOR USE W/ THE BIOPINCE ULTRA</t>
  </si>
  <si>
    <t>13 GAX6.8 CM</t>
  </si>
  <si>
    <t>FOR USE WITH THE BIOPINCE ULTRA</t>
  </si>
  <si>
    <t>https://accessgudid.nlm.nih.gov/devices/00886333002344</t>
  </si>
  <si>
    <t>MCXS1410MX</t>
  </si>
  <si>
    <t>ARGON_MCXS1410MX</t>
  </si>
  <si>
    <t>Co-Axial Introducer Needle 13GA X 4.3CM For Use With Ultracore</t>
  </si>
  <si>
    <t>PRODIGO1073386</t>
  </si>
  <si>
    <t>Co-Axial Introducer Needle 13ga x 4.3cm</t>
  </si>
  <si>
    <t>NEEDLE, INTRODUCER, COAXIAL, 13 GAX4.3 CM, FOR USE WITH ULTRACORE, STERILE, LATEX</t>
  </si>
  <si>
    <t>NEEDLE, INTRO, COAX, 13 GAX4.3 CM, FOR USE W/ ULTRACORE, STRL, LTX</t>
  </si>
  <si>
    <t>13 GAX4.3 CM</t>
  </si>
  <si>
    <t>FOR USE WITH ULTRACORE</t>
  </si>
  <si>
    <t>https://accessgudid.nlm.nih.gov/devices/00886333002337</t>
  </si>
  <si>
    <t>MCXS1410TX</t>
  </si>
  <si>
    <t>ARGON_MCXS1410TX</t>
  </si>
  <si>
    <t>Co-Axial Introducer Needle 13GA X 5.1CM For Tru-Core</t>
  </si>
  <si>
    <t>PRODIGO1073387</t>
  </si>
  <si>
    <t>Co-Axial Introducer Needle 13ga x 5.1cm</t>
  </si>
  <si>
    <t>NEEDLE, INTRODUCER, COAXIAL, 13 GAX5.1 CM, FOR TRU-CORE, STERILE, LATEX</t>
  </si>
  <si>
    <t>NEEDLE, INTRO, COAX, 13 GAX5.1 CM, FOR TRU-CORE, STRL, LTX</t>
  </si>
  <si>
    <t>13 GAX5.1 CM</t>
  </si>
  <si>
    <t>FOR TRU-CORE</t>
  </si>
  <si>
    <t>https://accessgudid.nlm.nih.gov/devices/00886333002320</t>
  </si>
  <si>
    <t>MCXS1412SX</t>
  </si>
  <si>
    <t>ARGON_MCXS1412SX</t>
  </si>
  <si>
    <t>Co-Axial Introducer Needle 13GA X 7.5CM</t>
  </si>
  <si>
    <t>PRODIGO1073388</t>
  </si>
  <si>
    <t>Co-Axial Introducer Needle 13ga x 7.5cm</t>
  </si>
  <si>
    <t>NEEDLE, INTRODUCER, COAXIAL, 13 GAX7.5 CM, STERILE, LATEX</t>
  </si>
  <si>
    <t>NEEDLE, INTRO, COAX, 13 GAX7.5 CM, STRL, LTX</t>
  </si>
  <si>
    <t>13 GAX7.5 CM</t>
  </si>
  <si>
    <t>https://accessgudid.nlm.nih.gov/devices/00886333002313</t>
  </si>
  <si>
    <t>MCXS1415BP</t>
  </si>
  <si>
    <t>ARGON_MCXS1415BP</t>
  </si>
  <si>
    <t>Co-Axial Introducer Needle 13GA X 11.8CM For Use With The Biopince Ultra</t>
  </si>
  <si>
    <t>PRODIGO1073389</t>
  </si>
  <si>
    <t>Co-Axial Introducer Needle 13ga x 11.8cm</t>
  </si>
  <si>
    <t>NEEDLE, INTRODUCER, COAXIAL, 13 GAX11.8 CM, FOR USE WITH THE BIOPINCE ULTRA, STERILE, LATEX</t>
  </si>
  <si>
    <t>NEEDLE, INTRO, COAX, 13 GAX11.8 CM, FOR USE W/ THE BIOPINCE ULTRA, STRL, LTX</t>
  </si>
  <si>
    <t>NEEDLE, INTRO, COAX, 13 GAX11.8 CM, FOR USE W/ THE BIOPINCE, STRL</t>
  </si>
  <si>
    <t>13 GAX11.8 CM</t>
  </si>
  <si>
    <t>https://accessgudid.nlm.nih.gov/devices/00886333002306</t>
  </si>
  <si>
    <t>MCXS1415LX</t>
  </si>
  <si>
    <t>ARGON_MCXS1415LX</t>
  </si>
  <si>
    <t>Co-Axial Introducer Needle 13GA X 9.9CM</t>
  </si>
  <si>
    <t>PRODIGO1073390</t>
  </si>
  <si>
    <t>Co-Axial Introducer Needle 13ga x 9.9cm</t>
  </si>
  <si>
    <t>Optional Co-axial Introducer Needles 13G x 9.9 cm co-axial to 701114150</t>
  </si>
  <si>
    <t>NEEDLE, INTRODUCER, COAXIAL, 13 GAX9.9 CM, STERILE, LATEX</t>
  </si>
  <si>
    <t>NEEDLE, INTRO, COAX, 13 GAX9.9 CM, STRL, LTX</t>
  </si>
  <si>
    <t>https://www.mediform.cz/data/produktovy-list/01-07%20Super-Core_Semiautomatic%20Biopsy%20Instrument.pdf, https://accessgudid.nlm.nih.gov/devices/00886333002191</t>
  </si>
  <si>
    <t>MCXS1416AX</t>
  </si>
  <si>
    <t>ARGON_MCXS1416AX</t>
  </si>
  <si>
    <t>Co-Axial Introducer Needle 13GA X 10.6CM For Use With The Promag ACN And Osty Core Bone Biopsy Instruments</t>
  </si>
  <si>
    <t>PRODIGO1073391</t>
  </si>
  <si>
    <t>Co-Axial Introducer Needle 13ga x 10.6cm</t>
  </si>
  <si>
    <t>Co-axial Introducer Needles 13G x 10.6 cm co-axial to 765014160</t>
  </si>
  <si>
    <t>NEEDLE, INTRODUCER, COAXIAL, 13 GAX10.6 CM, FOR USE WITH THE PROMAG ACN, OSTY-CORE BONE BIOPSY INSTRUMENT, STERILE, LATEX</t>
  </si>
  <si>
    <t>NEEDLE, INTRO, COAX, 13 GAX10.6 CM, FOR USE W/ THE PROMAG ACN, OSTY-CORE BNE BX INSTRUMENT, STRL, LTX</t>
  </si>
  <si>
    <t>NEEDLE, INTRO, COAX, 13 GAX10.6 CM, FOR USE W/ THE PROMAG ACN</t>
  </si>
  <si>
    <t>13 GAX10.6 CM</t>
  </si>
  <si>
    <t>https://ferprosa.com/app/uploads/2017/09/pistolas-juntas.pdf, https://accessgudid.nlm.nih.gov/devices/00886333002283</t>
  </si>
  <si>
    <t>MCXS1416MX</t>
  </si>
  <si>
    <t>ARGON_MCXS1416MX</t>
  </si>
  <si>
    <t>Co-Axial Introducer Needle 13GA X 10.3CM For Use With Ultracore</t>
  </si>
  <si>
    <t>PRODIGO1073392</t>
  </si>
  <si>
    <t>Co-Axial Introducer Needle 13ga x 10.3cm</t>
  </si>
  <si>
    <t>NEEDLE, INTRODUCER, COAXIAL, 13 GAX10.3 CM, FOR USE WITH ULTRACORE, STERILE, LATEX</t>
  </si>
  <si>
    <t>NEEDLE, INTRO, COAX, 13 GAX10.3 CM, FOR USE W/ ULTRACORE, STRL, LTX</t>
  </si>
  <si>
    <t>NEEDLE, INTRO, COAX, 13 GAX10.3 CM, FOR USE W/ ULTRACORE, STRL</t>
  </si>
  <si>
    <t>13 GAX10.3 CM</t>
  </si>
  <si>
    <t>https://accessgudid.nlm.nih.gov/devices/00886333002382</t>
  </si>
  <si>
    <t>MCXS1416TX</t>
  </si>
  <si>
    <t>ARGON_MCXS1416TX</t>
  </si>
  <si>
    <t>Co-Axial Introducer Needle 13GA X 11.1CM For Tru-Core</t>
  </si>
  <si>
    <t>PRODIGO1073393</t>
  </si>
  <si>
    <t>Co-Axial Introducer Needle 13ga x 11.1cm</t>
  </si>
  <si>
    <t>NEEDLE, INTRODUCER, COAXIAL, 13 GAX11.1 CM, FOR TRU-CORE, STERILE, LATEX</t>
  </si>
  <si>
    <t>NEEDLE, INTRO, COAX, 13 GAX11.1 CM, FOR TRU-CORE, STRL, LTX</t>
  </si>
  <si>
    <t>13 GAX11.1 CM</t>
  </si>
  <si>
    <t>https://accessgudid.nlm.nih.gov/devices/00886333002252</t>
  </si>
  <si>
    <t>MCXS1420LX</t>
  </si>
  <si>
    <t>ARGON_MCXS1420LX</t>
  </si>
  <si>
    <t>Co-Axial Introducer Needle 13GA X 14.9CM</t>
  </si>
  <si>
    <t>PRODIGO1073394</t>
  </si>
  <si>
    <t>Co-Axial Introducer Needle 13ga x 14.9cm</t>
  </si>
  <si>
    <t>NEEDLE, INTRODUCER, COAXIAL, 13 GAX14.9 CM, STERILE, LATEX</t>
  </si>
  <si>
    <t>NEEDLE, INTRO, COAX, 13 GAX14.9 CM, STRL, LTX</t>
  </si>
  <si>
    <t>https://accessgudid.nlm.nih.gov/devices/00886333002238</t>
  </si>
  <si>
    <t>MCXS1608SX</t>
  </si>
  <si>
    <t>ARGON_MCXS1608SX</t>
  </si>
  <si>
    <t>Co-Axial Introducer Needle 15GA X 3.5CM</t>
  </si>
  <si>
    <t>PRODIGO1073395</t>
  </si>
  <si>
    <t>Co-Axial Introducer Needle 15ga x 3.5cm</t>
  </si>
  <si>
    <t>NEEDLE, INTRODUCER, COAXIAL, 15 GAX3.5 CM, STERILE, LATEX</t>
  </si>
  <si>
    <t>NEEDLE, INTRO, COAX, 15 GAX3.5 CM, STRL, LTX</t>
  </si>
  <si>
    <t>15 GAX3.5 CM</t>
  </si>
  <si>
    <t>https://accessgudid.nlm.nih.gov/devices/00886333002221</t>
  </si>
  <si>
    <t>MCXS1609LX</t>
  </si>
  <si>
    <t>ARGON_MCXS1609LX</t>
  </si>
  <si>
    <t>Co-Axial Introducer Needle 15GA X 3.9CM</t>
  </si>
  <si>
    <t>PRODIGO1073396</t>
  </si>
  <si>
    <t>Co-Axial Introducer Needle 15ga x 3.9cm</t>
  </si>
  <si>
    <t>NEEDLE, INTRODUCER, COAXIAL, 15 GAX3.9 CM, STERILE, LATEX</t>
  </si>
  <si>
    <t>NEEDLE, INTRO, COAX, 15 GAX3.9 CM, STRL, LTX</t>
  </si>
  <si>
    <t>https://accessgudid.nlm.nih.gov/devices/00886333002467</t>
  </si>
  <si>
    <t>MCXS1610BPU</t>
  </si>
  <si>
    <t>ARGON_MCXS1610BPU</t>
  </si>
  <si>
    <t>Co-Axial Introducer Needle 14GA X   6.8CM For Use With The Biopince Ultra</t>
  </si>
  <si>
    <t>PRODIGO1073397</t>
  </si>
  <si>
    <t>Co-Axial Introducer Needle 14ga x 6.8cm</t>
  </si>
  <si>
    <t>NEEDLE, INTRODUCER, COAXIAL, 14 GAX6.8 CM, FOR USE WITH THE BIOPINCE ULTRA, STERILE, LATEX</t>
  </si>
  <si>
    <t>NEEDLE, INTRO, COAX, 14 GAX6.8 CM, FOR USE W/ THE BIOPINCE ULTRA, STRL, LTX</t>
  </si>
  <si>
    <t>NEEDLE, INTRO, COAX, 14 GAX6.8 CM, FOR USE W/ THE BIOPINCE ULTRA</t>
  </si>
  <si>
    <t>https://accessgudid.nlm.nih.gov/devices/00886333225576</t>
  </si>
  <si>
    <t>MCXS1610MX</t>
  </si>
  <si>
    <t>ARGON_MCXS1610MX</t>
  </si>
  <si>
    <t>Co-Axial Introducer Needle 15GA X 4.3CM For Use With Ultracore</t>
  </si>
  <si>
    <t>PRODIGO1073398</t>
  </si>
  <si>
    <t>Co-Axial Introducer Needle 15ga x 4.3cm</t>
  </si>
  <si>
    <t>NEEDLE, INTRODUCER, COAXIAL, 15 GAX4.3 CM, FOR USE WITH ULTRACORE, STERILE, LATEX</t>
  </si>
  <si>
    <t>NEEDLE, INTRO, COAX, 15 GAX4.3 CM, FOR USE W/ ULTRACORE, STRL, LTX</t>
  </si>
  <si>
    <t>15 GAX4.3 CM</t>
  </si>
  <si>
    <t>https://accessgudid.nlm.nih.gov/devices/00886333002177</t>
  </si>
  <si>
    <t>MCXS1612SX</t>
  </si>
  <si>
    <t>ARGON_MCXS1612SX</t>
  </si>
  <si>
    <t>Co-Axial Introducer Needle 15GA X 7.5CM</t>
  </si>
  <si>
    <t>PRODIGO1073400</t>
  </si>
  <si>
    <t>Co-Axial Introducer Needle 15ga x 7.5cm</t>
  </si>
  <si>
    <t>NEEDLE, INTRODUCER, COAXIAL, 15 GAX7.5 CM, STERILE, LATEX</t>
  </si>
  <si>
    <t>NEEDLE, INTRO, COAX, 15 GAX7.5 CM, STRL, LTX</t>
  </si>
  <si>
    <t>15 GAX7.5 CM</t>
  </si>
  <si>
    <t>https://accessgudid.nlm.nih.gov/devices/00886333002214</t>
  </si>
  <si>
    <t>MCXS1615BPU</t>
  </si>
  <si>
    <t>ARGON_MCXS1615BPU</t>
  </si>
  <si>
    <t>Co-Axial Introducer Needle 14GA X 11.8CM For Use With The Biopince Ultra</t>
  </si>
  <si>
    <t>PRODIGO1073401</t>
  </si>
  <si>
    <t>Co-Axial Introducer Needle 14ga x 11.8cm</t>
  </si>
  <si>
    <t>NEEDLE, INTRODUCER, COAXIAL, 14 GAX11.8 CM, FOR USE WITH THE BIOPINCE ULTRA, STERILE, LATEX</t>
  </si>
  <si>
    <t>NEEDLE, INTRO, COAX, 14 GAX11.8 CM, FOR USE W/ THE BIOPINCE ULTRA, STRL, LTX</t>
  </si>
  <si>
    <t>NEEDLE, INTRO, COAX, 14 GAX11.8 CM, FOR USE W/ THE BIOPINCE, STRL</t>
  </si>
  <si>
    <t>https://accessgudid.nlm.nih.gov/devices/00886333225583</t>
  </si>
  <si>
    <t>MCXS1615LX</t>
  </si>
  <si>
    <t>ARGON_MCXS1615LX</t>
  </si>
  <si>
    <t>Co-Axial Introducer Needle 15GA X 9.9CM</t>
  </si>
  <si>
    <t>PRODIGO1073402</t>
  </si>
  <si>
    <t>Co-Axial Introducer Needle 15ga x 9.9cm</t>
  </si>
  <si>
    <t>NEEDLE, INTRODUCER, COAXIAL, 15 GAX9.9 CM, STERILE, LATEX</t>
  </si>
  <si>
    <t>NEEDLE, INTRO, COAX, 15 GAX9.9 CM, STRL, LTX</t>
  </si>
  <si>
    <t>15 GAX9.9 CM</t>
  </si>
  <si>
    <t>https://accessgudid.nlm.nih.gov/devices/00886333002535</t>
  </si>
  <si>
    <t>MCXS1616MX</t>
  </si>
  <si>
    <t>ARGON_MCXS1616MX</t>
  </si>
  <si>
    <t>Co-Axial Introducer Needle 15GA X 10.3CM For Use With Ultracore</t>
  </si>
  <si>
    <t>PRODIGO1073403</t>
  </si>
  <si>
    <t>Co-Axial Introducer Needle 15ga x 10.3cm</t>
  </si>
  <si>
    <t>NEEDLE, INTRODUCER, COAXIAL, 15 GAX10.3 CM, FOR USE WITH ULTRACORE, STERILE, LATEX</t>
  </si>
  <si>
    <t>NEEDLE, INTRO, COAX, 15 GAX10.3 CM, FOR USE W/ ULTRACORE, STRL, LTX</t>
  </si>
  <si>
    <t>NEEDLE, INTRO, COAX, 15 GAX10.3 CM, FOR USE W/ ULTRACORE, STRL</t>
  </si>
  <si>
    <t>15 GAX10.3 CM</t>
  </si>
  <si>
    <t>https://accessgudid.nlm.nih.gov/devices/00886333002511</t>
  </si>
  <si>
    <t>MCXS1616SX</t>
  </si>
  <si>
    <t>ARGON_MCXS1616SX</t>
  </si>
  <si>
    <t>Co-Axial Introducer Needle 15GA X 11.5CM</t>
  </si>
  <si>
    <t>PRODIGO1073404</t>
  </si>
  <si>
    <t>Co-Axial Introducer Needle 15ga x 11.5cm</t>
  </si>
  <si>
    <t>NEEDLE, INTRODUCER, COAXIAL, 15 GAX11.5 CM, STERILE, LATEX</t>
  </si>
  <si>
    <t>NEEDLE, INTRO, COAX, 15 GAX11.5 CM, STRL, LTX</t>
  </si>
  <si>
    <t>15 GAX11.5 CM</t>
  </si>
  <si>
    <t>https://accessgudid.nlm.nih.gov/devices/00886333002504</t>
  </si>
  <si>
    <t>MCXS1620BP</t>
  </si>
  <si>
    <t>ARGON_MCXS1620BP</t>
  </si>
  <si>
    <t>Co-Axial Introducer Needle 15GA X 16.8CM For Use With The Biopince Ultra</t>
  </si>
  <si>
    <t>PRODIGO1073406</t>
  </si>
  <si>
    <t>Co-Axial Introducer Needle 15ga x 16.8cm</t>
  </si>
  <si>
    <t>NEEDLE, INTRODUCER, COAXIAL, 15 GAX16.8 CM, FOR USE WITH THE BIOPINCE ULTRA, STERILE, LATEX</t>
  </si>
  <si>
    <t>NEEDLE, INTRO, COAX, 15 GAX16.8 CM, FOR USE W/ THE BIOPINCE ULTRA, STRL, LTX</t>
  </si>
  <si>
    <t>NEEDLE, INTRO, COAX, 15 GAX16.8 CM, FOR USE W/ THE BIOPINCE, STRL</t>
  </si>
  <si>
    <t>15 GAX16.8 CM</t>
  </si>
  <si>
    <t>https://accessgudid.nlm.nih.gov/devices/00886333002481</t>
  </si>
  <si>
    <t>MCXS1620LX</t>
  </si>
  <si>
    <t>ARGON_MCXS1620LX</t>
  </si>
  <si>
    <t>Co-Axial Introducer Needle 15GA X 14.9CM</t>
  </si>
  <si>
    <t>PRODIGO1073407</t>
  </si>
  <si>
    <t>Co-Axial Introducer Needle 15ga x 14.9cm</t>
  </si>
  <si>
    <t>NEEDLE, INTRODUCER, COAXIAL, 15 GAX14.9 CM, STERILE, LATEX</t>
  </si>
  <si>
    <t>NEEDLE, INTRO, COAX, 15 GAX14.9 CM, STRL, LTX</t>
  </si>
  <si>
    <t>15 GAX14.9 CM</t>
  </si>
  <si>
    <t>https://accessgudid.nlm.nih.gov/devices/00886333002399</t>
  </si>
  <si>
    <t>MCXS1808SX</t>
  </si>
  <si>
    <t>ARGON_MCXS1808SX</t>
  </si>
  <si>
    <t>Co-Axial Introducer Needle 17GA X 3.5CM</t>
  </si>
  <si>
    <t>PRODIGO1073408</t>
  </si>
  <si>
    <t>Co-Axial Introducer Needle 17ga x 3.5cm</t>
  </si>
  <si>
    <t>NEEDLE, INTRODUCER, COAXIAL, 17 GAX3.5 CM, STERILE, LATEX</t>
  </si>
  <si>
    <t>NEEDLE, INTRO, COAX, 17 GAX3.5 CM, STRL, LTX</t>
  </si>
  <si>
    <t>17 GAX3.5 CM</t>
  </si>
  <si>
    <t>https://accessgudid.nlm.nih.gov/devices/00886333002474</t>
  </si>
  <si>
    <t>MCXS1809LX</t>
  </si>
  <si>
    <t>ARGON_MCXS1809LX</t>
  </si>
  <si>
    <t>Co-Axial Introducer Needle 17GA X 3.9CM</t>
  </si>
  <si>
    <t>PRODIGO1073409</t>
  </si>
  <si>
    <t>Co-Axial Introducer Needle 17ga x 3.9cm</t>
  </si>
  <si>
    <t>NEEDLE, INTRODUCER, COAXIAL, 17 GAX3.9 CM, STERILE, LATEX</t>
  </si>
  <si>
    <t>NEEDLE, INTRO, COAX, 17 GAX3.9 CM, STRL, LTX</t>
  </si>
  <si>
    <t>17 GAX3.9 CM</t>
  </si>
  <si>
    <t>https://accessgudid.nlm.nih.gov/devices/00886333002566</t>
  </si>
  <si>
    <t>MCXS1810BPU</t>
  </si>
  <si>
    <t>ARGON_MCXS1810BPU</t>
  </si>
  <si>
    <t>Co-Axial Introducer Needle 16GA X   6.8CM For Use With The Biopince Ultra</t>
  </si>
  <si>
    <t>PRODIGO1073411</t>
  </si>
  <si>
    <t>Co-Axial Introducer Needle 16ga x 6.8cm</t>
  </si>
  <si>
    <t>NEEDLE, INTRODUCER, COAXIAL, 16 GAX6.8 CM, FOR USE WITH THE BIOPINCE ULTRA, STERILE, LATEX</t>
  </si>
  <si>
    <t>NEEDLE, INTRO, COAX, 16 GAX6.8 CM, FOR USE W/ THE BIOPINCE ULTRA, STRL, LTX</t>
  </si>
  <si>
    <t>NEEDLE, INTRO, COAX, 16 GAX6.8 CM, FOR USE W/ THE BIOPINCE ULTRA</t>
  </si>
  <si>
    <t>https://accessgudid.nlm.nih.gov/devices/00886333225590</t>
  </si>
  <si>
    <t>MCXS1810MX</t>
  </si>
  <si>
    <t>ARGON_MCXS1810MX</t>
  </si>
  <si>
    <t>Co-Axial Introducer Needle 17GA X 4.3CM For Use With The Ultracore</t>
  </si>
  <si>
    <t>PRODIGO1073412</t>
  </si>
  <si>
    <t>Co-Axial Introducer Needle 17ga x 4.3cm</t>
  </si>
  <si>
    <t>NEEDLE, INTRODUCER, COAXIAL, 17 GAX4.3 CM, FOR USE WITH THE ULTRACORE, STERILE, LATEX</t>
  </si>
  <si>
    <t>NEEDLE, INTRO, COAX, 17 GAX4.3 CM, FOR USE W/ THE ULTRACORE, STRL, LTX</t>
  </si>
  <si>
    <t>NEEDLE, INTRO, COAX, 17 GAX4.3 CM, FOR USE W/ THE ULTRACORE, STRL</t>
  </si>
  <si>
    <t>17 GAX4.3 CM</t>
  </si>
  <si>
    <t>FOR USE WITH THE ULTRACORE</t>
  </si>
  <si>
    <t>https://accessgudid.nlm.nih.gov/devices/00886333002436</t>
  </si>
  <si>
    <t>MCXS1812SX</t>
  </si>
  <si>
    <t>ARGON_MCXS1812SX</t>
  </si>
  <si>
    <t>Co-Axial Introducer Needle 17GA X 7.5CM</t>
  </si>
  <si>
    <t>PRODIGO1073414</t>
  </si>
  <si>
    <t>Co-Axial Introducer Needle 17ga x 7.5cm</t>
  </si>
  <si>
    <t>NEEDLE, INTRODUCER, COAXIAL, 17 GAX7.5 CM, STERILE, LATEX</t>
  </si>
  <si>
    <t>NEEDLE, INTRO, COAX, 17 GAX7.5 CM, STRL, LTX</t>
  </si>
  <si>
    <t>17 GAX7.5 CM</t>
  </si>
  <si>
    <t>https://accessgudid.nlm.nih.gov/devices/00886333002412</t>
  </si>
  <si>
    <t>MCXS1815BPU</t>
  </si>
  <si>
    <t>ARGON_MCXS1815BPU</t>
  </si>
  <si>
    <t>Co-Axial Introducer Needle 16GA X 11.8CM For Use With The Biopince Ultra</t>
  </si>
  <si>
    <t>PRODIGO1073415</t>
  </si>
  <si>
    <t>Co-Axial Introducer Needle 16ga x 11.8cm</t>
  </si>
  <si>
    <t>NEEDLE, INTRODUCER, COAXIAL, 16 GAX11.8 CM, FOR USE WITH THE BIOPINCE ULTRA, STERILE, LATEX</t>
  </si>
  <si>
    <t>NEEDLE, INTRO, COAX, 16 GAX11.8 CM, FOR USE W/ THE BIOPINCE ULTRA, STRL, LTX</t>
  </si>
  <si>
    <t>NEEDLE, INTRO, COAX, 16 GAX11.8 CM, FOR USE W/ THE BIOPINCE, STRL</t>
  </si>
  <si>
    <t>https://accessgudid.nlm.nih.gov/devices/00886333225606</t>
  </si>
  <si>
    <t>MCXS1816AX</t>
  </si>
  <si>
    <t>ARGON_MCXS1816AX</t>
  </si>
  <si>
    <t>Co-Axial Introducer Needle 17GA X 10.6CM For Use With The Promag ACN And Osty Core Bone Biopsy Instruments</t>
  </si>
  <si>
    <t>PRODIGO1073416</t>
  </si>
  <si>
    <t>Co-Axial Introducer Needle 17ga x 10.6cm</t>
  </si>
  <si>
    <t>NEEDLE, INTRODUCER, COAXIAL, 17 GAX10.6 CM, FOR USE WITH THE PROMAG ACN, OSTY-CORE BONE BIOPSY INSTRUMENT, STERILE, LATEX</t>
  </si>
  <si>
    <t>NEEDLE, INTRO, COAX, 17 GAX10.6 CM, FOR USE W/ THE PROMAG ACN, OSTY-CORE BNE BX INSTRUMENT, STRL, LTX</t>
  </si>
  <si>
    <t>NEEDLE, INTRO, COAX, 17 GAX10.6 CM, FOR USE W/ THE PROMAG ACN</t>
  </si>
  <si>
    <t>17 GAX10.6 CM</t>
  </si>
  <si>
    <t>https://accessgudid.nlm.nih.gov/devices/00886333002160</t>
  </si>
  <si>
    <t>MCXS1816MX</t>
  </si>
  <si>
    <t>ARGON_MCXS1816MX</t>
  </si>
  <si>
    <t>Co-Axial Introducer Needle 17GA X 10.3CM For Use With The Ultracore</t>
  </si>
  <si>
    <t>PRODIGO1073417</t>
  </si>
  <si>
    <t>Co-Axial Introducer Needle 17ga x 10.3cm</t>
  </si>
  <si>
    <t>NEEDLE, INTRODUCER, COAXIAL, 17 GAX10.3 CM, FOR USE WITH THE ULTRACORE, STERILE, LATEX</t>
  </si>
  <si>
    <t>NEEDLE, INTRO, COAX, 17 GAX10.3 CM, FOR USE W/ THE ULTRACORE, STRL, LTX</t>
  </si>
  <si>
    <t>NEEDLE, INTRO, COAX, 17 GAX10.3 CM, FOR USE W/ THE ULTRACORE</t>
  </si>
  <si>
    <t>17 GAX10.3 CM</t>
  </si>
  <si>
    <t>https://accessgudid.nlm.nih.gov/devices/00886333002030</t>
  </si>
  <si>
    <t>MCXS1816SX</t>
  </si>
  <si>
    <t>ARGON_MCXS1816SX</t>
  </si>
  <si>
    <t>Co-Axial Introducer Needle 17GA X 11.5CM</t>
  </si>
  <si>
    <t>PRODIGO1073418</t>
  </si>
  <si>
    <t>Co-Axial Introducer Needle 17ga x 11.5cm</t>
  </si>
  <si>
    <t>NEEDLE, INTRODUCER, COAXIAL, 17 GAX11.5 CM, STERILE, LATEX</t>
  </si>
  <si>
    <t>NEEDLE, INTRO, COAX, 17 GAX11.5 CM, STRL, LTX</t>
  </si>
  <si>
    <t>17 GAX11.5 CM</t>
  </si>
  <si>
    <t>https://accessgudid.nlm.nih.gov/devices/00886333002023</t>
  </si>
  <si>
    <t>MCXS1820AX</t>
  </si>
  <si>
    <t>ARGON_MCXS1820AX</t>
  </si>
  <si>
    <t>Co-Axial Introducer Needle 17GA X 14.6CM For Use With The Promag ACN And Osty Core Bone Biopsy Instruments</t>
  </si>
  <si>
    <t>PRODIGO1073420</t>
  </si>
  <si>
    <t>Co-Axial Introducer Needle 17ga x 14.6cm</t>
  </si>
  <si>
    <t>NEEDLE, INTRODUCER, COAXIAL, 17 GAX14.6 CM, FOR USE WITH THE PROMAG ACN, OSTY-CORE BONE BIOPSY INSTRUMENT, STERILE, LATEX</t>
  </si>
  <si>
    <t>NEEDLE, INTRO, COAX, 17 GAX14.6 CM, FOR USE W/ THE PROMAG ACN, OSTY-CORE BNE BX INSTRUMENT, STRL, LTX</t>
  </si>
  <si>
    <t>NEEDLE, INTRO, COAX, 17 GAX14.6 CM, FOR USE W/ THE PROMAG ACN</t>
  </si>
  <si>
    <t>17 GAX14.6 CM</t>
  </si>
  <si>
    <t>https://accessgudid.nlm.nih.gov/devices/00886333002047</t>
  </si>
  <si>
    <t>MCXS1820BPU</t>
  </si>
  <si>
    <t>ARGON_MCXS1820BPU</t>
  </si>
  <si>
    <t xml:space="preserve">Co-Axial Introducer Needle 16GA X 16.8CM For Use With The Biopince Ultra </t>
  </si>
  <si>
    <t>PRODIGO1073421</t>
  </si>
  <si>
    <t>Co-Axial Introducer Needle 16ga x 16.8cm</t>
  </si>
  <si>
    <t>NEEDLE, INTRODUCER, COAXIAL, 16 GAX16.8 CM, FOR USE WITH THE BIOPINCE ULTRA , STERILE, LATEX</t>
  </si>
  <si>
    <t>NEEDLE, INTRO, COAX, 16 GAX16.8 CM, FOR USE W/ THE BIOPINCE ULTRA , STRL, LTX</t>
  </si>
  <si>
    <t>NEEDLE, INTRO, COAX, 16 GAX16.8 CM, FOR USE W/ THE BIOPINCE, STRL</t>
  </si>
  <si>
    <t xml:space="preserve">FOR USE WITH THE BIOPINCE ULTRA </t>
  </si>
  <si>
    <t>https://accessgudid.nlm.nih.gov/devices/00886333225613</t>
  </si>
  <si>
    <t>MCXS1820LX</t>
  </si>
  <si>
    <t>ARGON_MCXS1820LX</t>
  </si>
  <si>
    <t>Co-Axial Introducer Needle 17GA X 14.9CM</t>
  </si>
  <si>
    <t>PRODIGO1073422</t>
  </si>
  <si>
    <t>Co-Axial Introducer Needle 17ga x 14.9cm</t>
  </si>
  <si>
    <t>NEEDLE, INTRODUCER, COAXIAL, 17 GAX14.9 CM, STERILE, LATEX</t>
  </si>
  <si>
    <t>NEEDLE, INTRO, COAX, 17 GAX14.9 CM, STRL, LTX</t>
  </si>
  <si>
    <t>17 GAX14.9 CM</t>
  </si>
  <si>
    <t>https://accessgudid.nlm.nih.gov/devices/00886333001989</t>
  </si>
  <si>
    <t>MCXS1820MX</t>
  </si>
  <si>
    <t>ARGON_MCXS1820MX</t>
  </si>
  <si>
    <t>Co-Axial Introducer Needle 17GA X 14.3CM For Use With The Ultracore</t>
  </si>
  <si>
    <t>PRODIGO1073423</t>
  </si>
  <si>
    <t>Co-Axial Introducer Needle 17ga x 14.3cm</t>
  </si>
  <si>
    <t>NEEDLE, INTRODUCER, COAXIAL, 17 GAX14.3 CM, FOR USE WITH THE ULTRACORE, STERILE, LATEX</t>
  </si>
  <si>
    <t>NEEDLE, INTRO, COAX, 17 GAX14.3 CM, FOR USE W/ THE ULTRACORE, STRL, LTX</t>
  </si>
  <si>
    <t>NEEDLE, INTRO, COAX, 17 GAX14.3 CM, FOR USE W/ THE ULTRACORE</t>
  </si>
  <si>
    <t>17 GAX14.3 CM</t>
  </si>
  <si>
    <t>https://accessgudid.nlm.nih.gov/devices/00886333001972</t>
  </si>
  <si>
    <t>MCXS2008SY</t>
  </si>
  <si>
    <t>ARGON_MCXS2008SY</t>
  </si>
  <si>
    <t>Co-Axial Introducer Needle 19GA X 3.8CM</t>
  </si>
  <si>
    <t>PRODIGO1073425</t>
  </si>
  <si>
    <t>Co-Axial Introducer Needle 19ga x 3.8cm</t>
  </si>
  <si>
    <t>NEEDLE, INTRODUCER, COAXIAL, 19 GAX3.8 CM, STERILE, LATEX</t>
  </si>
  <si>
    <t>NEEDLE, INTRO, COAX, 19 GAX3.8 CM, STRL, LTX</t>
  </si>
  <si>
    <t>https://accessgudid.nlm.nih.gov/devices/00886333001941</t>
  </si>
  <si>
    <t>MCXS2010AY</t>
  </si>
  <si>
    <t>ARGON_MCXS2010AY</t>
  </si>
  <si>
    <t>Co-Axial Introducer Needle 19GA X 4.9CM For Use With The Promag ACN And Osty Core Bone Biopsy Instruments</t>
  </si>
  <si>
    <t>PRODIGO1073426</t>
  </si>
  <si>
    <t>Co-Axial Introducer Needle 19ga x 4.9cm</t>
  </si>
  <si>
    <t>NEEDLE, INTRODUCER, COAXIAL, 19 GAX4.9 CM, FOR USE WITH THE PROMAG ACN, OSTY-CORE BONE BIOPSY INSTRUMENT, STERILE, LATEX</t>
  </si>
  <si>
    <t>NEEDLE, INTRO, COAX, 19 GAX4.9 CM, FOR USE W/ THE PROMAG ACN, OSTY-CORE BNE BX INSTRUMENT, STRL, LTX</t>
  </si>
  <si>
    <t>NEEDLE, INTRO, COAX, 19 GAX4.9 CM, FOR USE W/ THE PROMAG ACN</t>
  </si>
  <si>
    <t>19 GAX4.9 CM</t>
  </si>
  <si>
    <t>https://accessgudid.nlm.nih.gov/devices/00886333001910</t>
  </si>
  <si>
    <t>MCXS2010BY</t>
  </si>
  <si>
    <t>ARGON_MCXS2010BY</t>
  </si>
  <si>
    <t>Co-Axial Introducer Needle 19GA X 7.1CM</t>
  </si>
  <si>
    <t>PRODIGO1073427</t>
  </si>
  <si>
    <t>Co-Axial Introducer Needle 19ga x 7.1cm</t>
  </si>
  <si>
    <t>NEEDLE, INTRODUCER, COAXIAL, 19 GAX7.1 CM, STERILE, LATEX</t>
  </si>
  <si>
    <t>NEEDLE, INTRO, COAX, 19 GAX7.1 CM, STRL, LTX</t>
  </si>
  <si>
    <t>19 GAX7.1 CM</t>
  </si>
  <si>
    <t>https://accessgudid.nlm.nih.gov/devices/00886333002009</t>
  </si>
  <si>
    <t>MCXS2010MY</t>
  </si>
  <si>
    <t>ARGON_MCXS2010MY</t>
  </si>
  <si>
    <t>Co-Axial Introducer Needle 19GA X 4.6CM For Use With The Ultracore</t>
  </si>
  <si>
    <t>PRODIGO1073428</t>
  </si>
  <si>
    <t>Co-Axial Introducer Needle 19ga x 4.6cm</t>
  </si>
  <si>
    <t>NEEDLE, INTRODUCER, COAXIAL, 19 GAX4.6 CM, FOR USE WITH THE ULTRACORE, STERILE, LATEX</t>
  </si>
  <si>
    <t>NEEDLE, INTRO, COAX, 19 GAX4.6 CM, FOR USE W/ THE ULTRACORE, STRL, LTX</t>
  </si>
  <si>
    <t>NEEDLE, INTRO, COAX, 19 GAX4.6 CM, FOR USE W/ THE ULTRACORE, STRL</t>
  </si>
  <si>
    <t>19 GAX4.6 CM</t>
  </si>
  <si>
    <t>https://accessgudid.nlm.nih.gov/devices/00886333002061</t>
  </si>
  <si>
    <t>MCXS2012SY</t>
  </si>
  <si>
    <t>ARGON_MCXS2012SY</t>
  </si>
  <si>
    <t>Co-Axial Introducer Needle 19GA X 7.8CM</t>
  </si>
  <si>
    <t>PRODIGO1073430</t>
  </si>
  <si>
    <t>Co-Axial Introducer Needle 19ga x 7.8cm</t>
  </si>
  <si>
    <t>NEEDLE, INTRODUCER, COAXIAL, 19 GAX7.8 CM, STERILE, LATEX</t>
  </si>
  <si>
    <t>NEEDLE, INTRO, COAX, 19 GAX7.8 CM, STRL, LTX</t>
  </si>
  <si>
    <t>19 GAX7.8 CM</t>
  </si>
  <si>
    <t>https://accessgudid.nlm.nih.gov/devices/00886333002085</t>
  </si>
  <si>
    <t>MCXS2016MY</t>
  </si>
  <si>
    <t>ARGON_MCXS2016MY</t>
  </si>
  <si>
    <t>Co-Axial Introducer Needle 19GA X 10.6CM For Use With The Ultracore</t>
  </si>
  <si>
    <t>PRODIGO1073432</t>
  </si>
  <si>
    <t>Co-Axial Introducer Needle 19ga x 10.6cm</t>
  </si>
  <si>
    <t>NEEDLE, INTRODUCER, COAXIAL, 19 GAX10.6 CM, FOR USE WITH THE ULTRACORE, STERILE, LATEX</t>
  </si>
  <si>
    <t>NEEDLE, INTRO, COAX, 19 GAX10.6 CM, FOR USE W/ THE ULTRACORE, STRL, LTX</t>
  </si>
  <si>
    <t>NEEDLE, INTRO, COAX, 19 GAX10.6 CM, FOR USE W/ THE ULTRACORE</t>
  </si>
  <si>
    <t>19 GAX10.6 CM</t>
  </si>
  <si>
    <t>https://accessgudid.nlm.nih.gov/devices/00886333002115</t>
  </si>
  <si>
    <t>MCXS2016SY</t>
  </si>
  <si>
    <t>ARGON_MCXS2016SY</t>
  </si>
  <si>
    <t>Co-Axial Introducer Needle 19GA X 11.8CM</t>
  </si>
  <si>
    <t>PRODIGO1073433</t>
  </si>
  <si>
    <t>Co-Axial Introducer Needle 19ga x 11.8cm</t>
  </si>
  <si>
    <t>NEEDLE, INTRODUCER, COAXIAL, 19 GAX11.8 CM, STERILE, LATEX</t>
  </si>
  <si>
    <t>NEEDLE, INTRO, COAX, 19 GAX11.8 CM, STRL, LTX</t>
  </si>
  <si>
    <t>19 GAX11.8 CM</t>
  </si>
  <si>
    <t>https://accessgudid.nlm.nih.gov/devices/00886333002122</t>
  </si>
  <si>
    <t>MCXS2020LY</t>
  </si>
  <si>
    <t>ARGON_MCXS2020LY</t>
  </si>
  <si>
    <t>Co-Axial Introducer Needle 19GA X 15.2CM</t>
  </si>
  <si>
    <t>PRODIGO1073435</t>
  </si>
  <si>
    <t>Co-Axial Introducer Needle 19ga x 15.2cm</t>
  </si>
  <si>
    <t>NEEDLE, INTRODUCER, COAXIAL, 19 GAX15.2 CM, STERILE, LATEX</t>
  </si>
  <si>
    <t>NEEDLE, INTRO, COAX, 19 GAX15.2 CM, STRL, LTX</t>
  </si>
  <si>
    <t>19 GAX15.2 CM</t>
  </si>
  <si>
    <t>https://accessgudid.nlm.nih.gov/devices/00886333002153</t>
  </si>
  <si>
    <t>MFN1803US</t>
  </si>
  <si>
    <t>ARGON_MFN1803US</t>
  </si>
  <si>
    <t>Franseen Biopsy Needle 18GA X 9CM With Needle Stop &amp; Echogenic Tip</t>
  </si>
  <si>
    <t>PRODIGO1073436</t>
  </si>
  <si>
    <t>Franseen Biopsy Needle with Echogenic Tip 18ga x 9cm</t>
  </si>
  <si>
    <t>Franseen Biopsy Needle</t>
  </si>
  <si>
    <t>NEEDLE, BIOPSY, FRANSEEN, 18 GAX9 CM, WITH STOP, ECHOGENIC TIP, STERILE, LATEX</t>
  </si>
  <si>
    <t>NEEDLE, BX, FRNSN, 18 GAX9 CM, W/ STP, ECHOGENIC TIP, STRL, LTX</t>
  </si>
  <si>
    <t>https://res.onemed.com/SE/Produktblad/1115842.pdf, https://accessgudid.nlm.nih.gov/devices/00886333002740</t>
  </si>
  <si>
    <t>MFN1806US</t>
  </si>
  <si>
    <t>ARGON_MFN1806US</t>
  </si>
  <si>
    <t>Franseen Biopsy Needle 18GA X 15CM With Needle Stop &amp; Echogenic Tip</t>
  </si>
  <si>
    <t>PRODIGO1073438</t>
  </si>
  <si>
    <t>Franseen Biopsy Needle with Echogenic Tip 18ga x 15cm</t>
  </si>
  <si>
    <t>NEEDLE, BIOPSY, FRANSEEN, 18 GAX15 CM, WITH STOP, ECHOGENIC TIP, STERILE, LATEX</t>
  </si>
  <si>
    <t>NEEDLE, BX, FRNSN, 18 GAX15 CM, W/ STP, ECHOGENIC TIP, STRL, LTX</t>
  </si>
  <si>
    <t>https://res.onemed.com/SE/Produktblad/1115842.pdf, https://accessgudid.nlm.nih.gov/devices/00886333002757</t>
  </si>
  <si>
    <t>MFN1808US</t>
  </si>
  <si>
    <t>ARGON_MFN1808US</t>
  </si>
  <si>
    <t>Franseen Biopsy Needle 18GA X 20CM With Needle Stop &amp; Echogenic Tip</t>
  </si>
  <si>
    <t>PRODIGO1073440</t>
  </si>
  <si>
    <t>Franseen Biopsy Needle with Echogenic Tip 18ga x 20cm</t>
  </si>
  <si>
    <t>NEEDLE, BIOPSY, FRANSEEN, 18 GAX20 CM, WITH STOP, ECHOGENIC TIP, STERILE, LATEX</t>
  </si>
  <si>
    <t>NEEDLE, BX, FRNSN, 18 GAX20 CM, W/ STP, ECHOGENIC TIP, STRL, LTX</t>
  </si>
  <si>
    <t>https://res.onemed.com/SE/Produktblad/1115842.pdf, https://accessgudid.nlm.nih.gov/devices/00886333002719</t>
  </si>
  <si>
    <t>MFN2003US</t>
  </si>
  <si>
    <t>ARGON_MFN2003US</t>
  </si>
  <si>
    <t>Franseen Biopsy Needle 20GA X 9CM With Needle Stop &amp; Echogenic Tip</t>
  </si>
  <si>
    <t>PRODIGO1073442</t>
  </si>
  <si>
    <t>Franseen Biopsy Needle with Echogenic Tip 20ga x 9cm</t>
  </si>
  <si>
    <t>NEEDLE, BIOPSY, FRANSEEN, 20 GAX9 CM, WITH STOP, ECHOGENIC TIP, STERILE, LATEX</t>
  </si>
  <si>
    <t>NEEDLE, BX, FRNSN, 20 GAX9 CM, W/ STP, ECHOGENIC TIP, STRL, LTX</t>
  </si>
  <si>
    <t>https://res.onemed.com/SE/Produktblad/1115842.pdf, https://accessgudid.nlm.nih.gov/devices/00886333002726</t>
  </si>
  <si>
    <t>MFN2006US</t>
  </si>
  <si>
    <t>ARGON_MFN2006US</t>
  </si>
  <si>
    <t>Franseen Biopsy Needle 20GA X 15CM With Needle Stop &amp; Echogenic Tip</t>
  </si>
  <si>
    <t>PRODIGO1073444</t>
  </si>
  <si>
    <t>Franseen Biopsy Needle with Echogenic Tip 20ga x 15cm</t>
  </si>
  <si>
    <t>NEEDLE, BIOPSY, FRANSEEN, 20 GAX15 CM, WITH STOP, ECHOGENIC TIP, STERILE, LATEX</t>
  </si>
  <si>
    <t>NEEDLE, BX, FRNSN, 20 GAX15 CM, W/ STP, ECHOGENIC TIP, STRL, LTX</t>
  </si>
  <si>
    <t>https://res.onemed.com/SE/Produktblad/1115842.pdf, https://accessgudid.nlm.nih.gov/devices/00886333002672</t>
  </si>
  <si>
    <t>MFN2008US</t>
  </si>
  <si>
    <t>ARGON_MFN2008US</t>
  </si>
  <si>
    <t xml:space="preserve">Franseen Biopsy Needle 20GA X 20CM With Needle Stop &amp; Echogenic Tip </t>
  </si>
  <si>
    <t>PRODIGO1073446</t>
  </si>
  <si>
    <t>Franseen Biopsy Needle with Echogenic Tip 20ga x 20cm</t>
  </si>
  <si>
    <t>NEEDLE, BIOPSY, FRANSEEN, 20 GAX20 CM, WITH STOP, ECHOGENIC TIP, STERILE, LATEX</t>
  </si>
  <si>
    <t>NEEDLE, BX, FRNSN, 20 GAX20 CM, W/ STP, ECHOGENIC TIP, STRL, LTX</t>
  </si>
  <si>
    <t>https://res.onemed.com/SE/Produktblad/1115842.pdf, https://accessgudid.nlm.nih.gov/devices/00886333002733</t>
  </si>
  <si>
    <t>MFN2203</t>
  </si>
  <si>
    <t>ARGON_MFN2203</t>
  </si>
  <si>
    <t>Franseen Biopsy Needle 22GA X 9CM</t>
  </si>
  <si>
    <t>PRODIGO1073447</t>
  </si>
  <si>
    <t>Franseen Biopsy Needle 22ga x 9cm</t>
  </si>
  <si>
    <t>https://res.onemed.com/SE/Produktblad/1115842.pdf, https://accessgudid.nlm.nih.gov/devices/00886333002580</t>
  </si>
  <si>
    <t>MFN2206</t>
  </si>
  <si>
    <t>ARGON_MFN2206</t>
  </si>
  <si>
    <t>Franseen Biopsy Needle 22GA X 15CM</t>
  </si>
  <si>
    <t>PRODIGO1073449</t>
  </si>
  <si>
    <t>Franseen Biopsy Needle 22ga x 15cm</t>
  </si>
  <si>
    <t>https://res.onemed.com/SE/Produktblad/1115842.pdf, https://accessgudid.nlm.nih.gov/devices/00886333002603</t>
  </si>
  <si>
    <t>MFN2206US</t>
  </si>
  <si>
    <t>ARGON_MFN2206US</t>
  </si>
  <si>
    <t>Franseen Biopsy Needle 22GA X 15CM With Needle Stop &amp; Echogenic Tip</t>
  </si>
  <si>
    <t>PRODIGO1073450</t>
  </si>
  <si>
    <t>Franseen Biopsy Needle with Echogenic Tip 22ga x 15cm</t>
  </si>
  <si>
    <t>NEEDLE, BIOPSY, FRANSEEN, 22 GAX15 CM, WITH STOP, ECHOGENIC TIP, STERILE, LATEX</t>
  </si>
  <si>
    <t>NEEDLE, BX, FRNSN, 22 GAX15 CM, W/ STP, ECHOGENIC TIP, STRL, LTX</t>
  </si>
  <si>
    <t>https://res.onemed.com/SE/Produktblad/1115842.pdf, https://accessgudid.nlm.nih.gov/devices/00886333002696</t>
  </si>
  <si>
    <t>MFN2208US</t>
  </si>
  <si>
    <t>ARGON_MFN2208US</t>
  </si>
  <si>
    <t>Franseen Biopsy Needle 22GA X 20CM With Needle Stop &amp; Echogenic Tip</t>
  </si>
  <si>
    <t>PRODIGO1073452</t>
  </si>
  <si>
    <t>Franseen Biopsy Needle with Echogenic Tip 22ga x 20cm</t>
  </si>
  <si>
    <t>Franseen Biopsy Needle with  22G x 20 cm with echogenic tip</t>
  </si>
  <si>
    <t>NEEDLE, BIOPSY, FRANSEEN, 22 GAX20 CM, WITH STOP, ECHOGENIC TIP, STERILE, LATEX</t>
  </si>
  <si>
    <t>NEEDLE, BX, FRNSN, 22 GAX20 CM, W/ STP, ECHOGENIC TIP, STRL, LTX</t>
  </si>
  <si>
    <t>https://res.onemed.com/SE/Produktblad/1115842.pdf, https://accessgudid.nlm.nih.gov/devices/00886333002689</t>
  </si>
  <si>
    <t>MLS1001</t>
  </si>
  <si>
    <t>ARGON_MLS1001</t>
  </si>
  <si>
    <t>Locking Syringe 10Cc Luer Lock</t>
  </si>
  <si>
    <t>PRODIGO1073453</t>
  </si>
  <si>
    <t>Locking Syringe 10cc Luer Lock</t>
  </si>
  <si>
    <t>Syringe</t>
  </si>
  <si>
    <t>A4657</t>
  </si>
  <si>
    <t>SYRINGE, WITH OR WITHOUT NEEDLE, EACH</t>
  </si>
  <si>
    <t>10cc Locking Syringe</t>
  </si>
  <si>
    <t>SYRINGE, MEDICAL, LOCKING, 10 CC, LUER LOCK, STERILE, LATEX</t>
  </si>
  <si>
    <t>SYRINGE, MED, LCK, 10 CC, LL, STRL, LTX</t>
  </si>
  <si>
    <t>LOCKING</t>
  </si>
  <si>
    <t>https://res.onemed.com/SE/Produktblad/1115842.pdf, https://accessgudid.nlm.nih.gov/devices/00886333002771</t>
  </si>
  <si>
    <t>MMC2203US</t>
  </si>
  <si>
    <t>ARGON_MMC2203US</t>
  </si>
  <si>
    <t>Maxicell Biopsy Needle 22GA X 9CM With Echogenic Tip</t>
  </si>
  <si>
    <t>PRODIGO1073455</t>
  </si>
  <si>
    <t>MaxiCellGäó Biopsy Needle with Echogenic Tip 22ga x 9cm</t>
  </si>
  <si>
    <t>MaxiCellGäó Biopsy Needle with Echogenic Tip</t>
  </si>
  <si>
    <t>Chiba Biopsy Needles 22G x 9 cm with echogenic tip</t>
  </si>
  <si>
    <t>NEEDLE, BIOPSY, 22 GAX9 CM, WITH ECHOGENIC TIP, STERILE, MAXICELL, LATEX</t>
  </si>
  <si>
    <t>NEEDLE, BX, 22 GAX9 CM, W/ ECHOGENIC TIP, STRL, MAXICELL, LTX</t>
  </si>
  <si>
    <t>WITH ECHOGENIC TIP</t>
  </si>
  <si>
    <t>MAXICELL</t>
  </si>
  <si>
    <t>https://res.onemed.com/SE/Produktblad/1115842.pdf, https://accessgudid.nlm.nih.gov/devices/00886333002832</t>
  </si>
  <si>
    <t>MMC2206US</t>
  </si>
  <si>
    <t>ARGON_MMC2206US</t>
  </si>
  <si>
    <t xml:space="preserve">Maxicell Biopsy Needle 22GA X 15CM With Echogenic Tip </t>
  </si>
  <si>
    <t>PRODIGO1073456</t>
  </si>
  <si>
    <t>MaxiCellGäó Biopsy Needle with Echogenic Tip 22ga x 15cm</t>
  </si>
  <si>
    <t>NEEDLE, BIOPSY, 22 GAX15 CM, WITH ECHOGENIC TIP, STERILE, MAXICELL, LATEX</t>
  </si>
  <si>
    <t>NEEDLE, BX, 22 GAX15 CM, W/ ECHOGENIC TIP, STRL, MAXICELL, LTX</t>
  </si>
  <si>
    <t>https://res.onemed.com/SE/Produktblad/1115842.pdf, https://accessgudid.nlm.nih.gov/devices/00886333002856</t>
  </si>
  <si>
    <t>MSPN1803</t>
  </si>
  <si>
    <t>ARGON_MSPN1803</t>
  </si>
  <si>
    <t>Spinal Biopsy Needle 18GA X 9CM</t>
  </si>
  <si>
    <t>PRODIGO1073457</t>
  </si>
  <si>
    <t>Spinal Biopsy Needle 18ga x 9cm</t>
  </si>
  <si>
    <t>Spinal Biopsy Needle</t>
  </si>
  <si>
    <t>Spinal Biopsy Needles 18G x 9 cm</t>
  </si>
  <si>
    <t>NEEDLE, BIOPSY, SPINAL, 18 GAX9 CM, STERILE, LATEX</t>
  </si>
  <si>
    <t>NEEDLE, BX, SPNL, 18 GAX9 CM, STRL, LTX</t>
  </si>
  <si>
    <t>SPINAL</t>
  </si>
  <si>
    <t>https://res.onemed.com/SE/Produktblad/1115842.pdf, https://accessgudid.nlm.nih.gov/devices/00886333002917</t>
  </si>
  <si>
    <t>MSPN1806</t>
  </si>
  <si>
    <t>ARGON_MSPN1806</t>
  </si>
  <si>
    <t>Spinal Biopsy Needle 18GA X 15CM</t>
  </si>
  <si>
    <t>PRODIGO1073458</t>
  </si>
  <si>
    <t>Spinal Biopsy Needle 18ga x 15cm</t>
  </si>
  <si>
    <t>Spinal Biopsy Needles 18G x 15 cm</t>
  </si>
  <si>
    <t>NEEDLE, BIOPSY, SPINAL, 18 GAX15 CM, STERILE, LATEX</t>
  </si>
  <si>
    <t>NEEDLE, BX, SPNL, 18 GAX15 CM, STRL, LTX</t>
  </si>
  <si>
    <t>https://res.onemed.com/SE/Produktblad/1115842.pdf, https://accessgudid.nlm.nih.gov/devices/00886333002924</t>
  </si>
  <si>
    <t>MSPN2003</t>
  </si>
  <si>
    <t>ARGON_MSPN2003</t>
  </si>
  <si>
    <t>Spinal Biopsy Needle 20GA X 9CM</t>
  </si>
  <si>
    <t>PRODIGO1073459</t>
  </si>
  <si>
    <t>Spinal Biopsy Needle 20ga x 9cm</t>
  </si>
  <si>
    <t>Spinal Biopsy Needles 20G x 9 cm</t>
  </si>
  <si>
    <t>NEEDLE, BIOPSY, SPINAL, 20 GAX9 CM, STERILE, LATEX</t>
  </si>
  <si>
    <t>NEEDLE, BX, SPNL, 20 GAX9 CM, STRL, LTX</t>
  </si>
  <si>
    <t>https://res.onemed.com/SE/Produktblad/1115842.pdf, https://accessgudid.nlm.nih.gov/devices/00886333002894</t>
  </si>
  <si>
    <t>MSPN2003US</t>
  </si>
  <si>
    <t>ARGON_MSPN2003US</t>
  </si>
  <si>
    <t>Spinal Biopsy Needle 20GA X 9CM With Echogenic Tip</t>
  </si>
  <si>
    <t>PRODIGO1073460</t>
  </si>
  <si>
    <t>Spinal Biopsy Needle with Echogenic Tip 20ga x 9cm</t>
  </si>
  <si>
    <t>Spinal Biopsy Needle with Echogenic Tip</t>
  </si>
  <si>
    <t>Spinal Biopsy Needles 20G x 9 cm with echogenic tip</t>
  </si>
  <si>
    <t>NEEDLE, BIOPSY, SPINAL, 20 GAX9 CM, WITH ECHOGENIC TIP, STERILE, LATEX</t>
  </si>
  <si>
    <t>NEEDLE, BX, SPNL, 20 GAX9 CM, W/ ECHOGENIC TIP, STRL, LTX</t>
  </si>
  <si>
    <t>https://res.onemed.com/SE/Produktblad/1115842.pdf, https://accessgudid.nlm.nih.gov/devices/00886333003006</t>
  </si>
  <si>
    <t>MSPN2006</t>
  </si>
  <si>
    <t>ARGON_MSPN2006</t>
  </si>
  <si>
    <t>Spinal Biopsy Needle 20GA X 15CM</t>
  </si>
  <si>
    <t>PRODIGO1073461</t>
  </si>
  <si>
    <t>Spinal Biopsy Needle 20ga x 15cm</t>
  </si>
  <si>
    <t>Spinal Biopsy Needles 20G x 15 cm</t>
  </si>
  <si>
    <t>NEEDLE, BIOPSY, SPINAL, 20 GAX15 CM, STERILE, LATEX</t>
  </si>
  <si>
    <t>NEEDLE, BIOPSY, SPINAL, 20 GAX15 CM, STERILE, LATEX, MSPN2006</t>
  </si>
  <si>
    <t>NEEDLE, BX, SPNL, 20 GAX15 CM, STRL, LTX</t>
  </si>
  <si>
    <t>NEEDLE, BX, SPNL, 20 GAX15 CM, STRL, LTX, MSPN2006</t>
  </si>
  <si>
    <t>https://res.onemed.com/SE/Produktblad/1115842.pdf, https://accessgudid.nlm.nih.gov/devices/00886333002900</t>
  </si>
  <si>
    <t>Description Duplicate - Catalog Added</t>
  </si>
  <si>
    <t>MSPN2203</t>
  </si>
  <si>
    <t>ARGON_MSPN2203</t>
  </si>
  <si>
    <t>Spinal Biopsy Needle 22GA X 9CM</t>
  </si>
  <si>
    <t>PRODIGO1073463</t>
  </si>
  <si>
    <t>Spinal Biopsy Needle 22ga x 9cm</t>
  </si>
  <si>
    <t>Spinal Biopsy Needles 22G x 9 cm</t>
  </si>
  <si>
    <t>NEEDLE, BIOPSY, SPINAL, 22 GAX9 CM, STERILE, LATEX</t>
  </si>
  <si>
    <t>NEEDLE, BX, SPNL, 22 GAX9 CM, STRL, LTX</t>
  </si>
  <si>
    <t>https://res.onemed.com/SE/Produktblad/1115842.pdf, https://accessgudid.nlm.nih.gov/devices/00886333002931</t>
  </si>
  <si>
    <t>MSPN2203US</t>
  </si>
  <si>
    <t>ARGON_MSPN2203US</t>
  </si>
  <si>
    <t>Spinal Biopsy Needle 22GA X 9CM With Echogenic Tip</t>
  </si>
  <si>
    <t>PRODIGO1073464</t>
  </si>
  <si>
    <t>Spinal Biopsy Needle with Echogenic Tip 22ga x 9cm</t>
  </si>
  <si>
    <t xml:space="preserve">Spinal Biopsy Needles 22G x 9 cm with echogenic tip </t>
  </si>
  <si>
    <t>NEEDLE, BIOPSY, SPINAL, 22 GAX9 CM, WITH ECHOGENIC TIP, STERILE, LATEX</t>
  </si>
  <si>
    <t>NEEDLE, BX, SPNL, 22 GAX9 CM, W/ ECHOGENIC TIP, STRL, LTX</t>
  </si>
  <si>
    <t>https://res.onemed.com/SE/Produktblad/1115842.pdf, https://accessgudid.nlm.nih.gov/devices/00886333003013</t>
  </si>
  <si>
    <t>MSPN2206</t>
  </si>
  <si>
    <t>ARGON_MSPN2206</t>
  </si>
  <si>
    <t>Spinal Biopsy Needle 22GA X 15CM</t>
  </si>
  <si>
    <t>PRODIGO1073465</t>
  </si>
  <si>
    <t>Spinal Biopsy Needle 22ga x 15cm</t>
  </si>
  <si>
    <t>Spinal Biopsy Needles 22G x 15 cm</t>
  </si>
  <si>
    <t>NEEDLE, BIOPSY, SPINAL, 22 GAX15 CM, STERILE, LATEX, MSPN2206</t>
  </si>
  <si>
    <t>NEEDLE, BIOPSY, SPINAL, 22 GAX15 CM, STERILE, LATEX</t>
  </si>
  <si>
    <t>NEEDLE, BX, SPNL, 22 GAX15 CM, STRL, LTX</t>
  </si>
  <si>
    <t>NEEDLE, BX, SPNL, 22 GAX15 CM, STRL, LTX, MSPN2206</t>
  </si>
  <si>
    <t>https://res.onemed.com/SE/Produktblad/1115842.pdf, https://accessgudid.nlm.nih.gov/devices/00886333002962</t>
  </si>
  <si>
    <t>MSPN2206US</t>
  </si>
  <si>
    <t>ARGON_MSPN2206US</t>
  </si>
  <si>
    <t>Spinal Biopsy Needle 22GA X 15CM With Echogenic Tip</t>
  </si>
  <si>
    <t>PRODIGO1073466</t>
  </si>
  <si>
    <t>Spinal Biopsy Needle with Echogenic Tip 22ga x 15cm</t>
  </si>
  <si>
    <t>Spinal Biopsy Needles 22G x 15 cm with echogenic tip</t>
  </si>
  <si>
    <t>NEEDLE, BIOPSY, SPINAL, 22 GAX15 CM, WITH ECHOGENIC TIP, STERILE, LATEX</t>
  </si>
  <si>
    <t>NEEDLE, BX, SPNL, 22 GAX15 CM, W/ ECHOGENIC TIP, STRL, LTX</t>
  </si>
  <si>
    <t>https://res.onemed.com/SE/Produktblad/1115842.pdf, https://accessgudid.nlm.nih.gov/devices/00886333002986</t>
  </si>
  <si>
    <t>MSPN2208</t>
  </si>
  <si>
    <t>ARGON_MSPN2208</t>
  </si>
  <si>
    <t>Spinal Biopsy Needle 22GA X 20CM</t>
  </si>
  <si>
    <t>PRODIGO1073467</t>
  </si>
  <si>
    <t>Spinal Biopsy Needle 22ga x 20cm</t>
  </si>
  <si>
    <t>Spinal Biopsy Needles 22G x 20 cm</t>
  </si>
  <si>
    <t>NEEDLE, BIOPSY, SPINAL, 22 GAX20 CM, STERILE, LATEX</t>
  </si>
  <si>
    <t>NEEDLE, BX, SPNL, 22 GAX20 CM, STRL, LTX</t>
  </si>
  <si>
    <t>https://res.onemed.com/SE/Produktblad/1115842.pdf, https://accessgudid.nlm.nih.gov/devices/00886333002955</t>
  </si>
  <si>
    <t>MSPN2502</t>
  </si>
  <si>
    <t>ARGON_MSPN2502</t>
  </si>
  <si>
    <t>Spinal Biopsy Needle 25GA X 4CM</t>
  </si>
  <si>
    <t>PRODIGO1073468</t>
  </si>
  <si>
    <t>Spinal Biopsy Needle 25ga x 4cm</t>
  </si>
  <si>
    <t>NEEDLE, BIOPSY, SPINAL, 25 GAX4 CM, STERILE, LATEX</t>
  </si>
  <si>
    <t>NEEDLE, BX, SPNL, 25 GAX4 CM, STRL, LTX</t>
  </si>
  <si>
    <t>25 GAX4 CM</t>
  </si>
  <si>
    <t>https://accessgudid.nlm.nih.gov/devices/00886333002948</t>
  </si>
  <si>
    <t>MTN1806</t>
  </si>
  <si>
    <t>ARGON_MTN1806</t>
  </si>
  <si>
    <t>Trocar Biopsy Needle 18GA X 15CM</t>
  </si>
  <si>
    <t>PRODIGO1073469</t>
  </si>
  <si>
    <t>Trocar Biopsy Needle 18ga x 15cm</t>
  </si>
  <si>
    <t>Trocar Biopsy Needle</t>
  </si>
  <si>
    <t>NEEDLE, BIOPSY, TROCAR, 18 GAX15 CM, STERILE, LATEX</t>
  </si>
  <si>
    <t>NEEDLE, BX, TROCAR, 18 GAX15 CM, STRL, LTX</t>
  </si>
  <si>
    <t>TROCAR</t>
  </si>
  <si>
    <t>https://accessgudid.nlm.nih.gov/devices/00886333003020</t>
  </si>
  <si>
    <t>MTN1808</t>
  </si>
  <si>
    <t>ARGON_MTN1808</t>
  </si>
  <si>
    <t>Trocar Biopsy Needle 18GA X 20CM</t>
  </si>
  <si>
    <t>PRODIGO1073470</t>
  </si>
  <si>
    <t>Trocar Biopsy Needle 18ga x 20cm</t>
  </si>
  <si>
    <t>NEEDLE, BIOPSY, TROCAR, 18 GAX20 CM, STERILE, LATEX</t>
  </si>
  <si>
    <t>NEEDLE, BX, TROCAR, 18 GAX20 CM, STRL, LTX</t>
  </si>
  <si>
    <t>https://accessgudid.nlm.nih.gov/devices/00886333003037</t>
  </si>
  <si>
    <t>MWN2003</t>
  </si>
  <si>
    <t>ARGON_MWN2003</t>
  </si>
  <si>
    <t>Westcott Biopsy Needle 20GA X 9CM</t>
  </si>
  <si>
    <t>PRODIGO1073471</t>
  </si>
  <si>
    <t>Westcott Biopsy Needle 20ga x 9cm</t>
  </si>
  <si>
    <t>Westcott Biopsy Needle</t>
  </si>
  <si>
    <t>Westcott Biopsy Needles 20G x 9 cm</t>
  </si>
  <si>
    <t>NEEDLE, BIOPSY, 20 GAX9 CM, STERILE, WESTCOTT, LATEX</t>
  </si>
  <si>
    <t>NEEDLE, BX, 20 GAX9 CM, STRL, WESTCOTT, LTX</t>
  </si>
  <si>
    <t>WESTCOTT</t>
  </si>
  <si>
    <t>https://res.onemed.com/SE/Produktblad/1115842.pdf, https://accessgudid.nlm.nih.gov/devices/00886333003068</t>
  </si>
  <si>
    <t>MWN2003US</t>
  </si>
  <si>
    <t>ARGON_MWN2003US</t>
  </si>
  <si>
    <t>Westcott Biopsy Needle 20GA X 9CM With Echogenic Tip</t>
  </si>
  <si>
    <t>PRODIGO1073472</t>
  </si>
  <si>
    <t>Westcott Biopsy Needle with Echogenic Tip 20ga x 9cm</t>
  </si>
  <si>
    <t>Westcott Biopsy Needle with Echogenic Tip</t>
  </si>
  <si>
    <t>Westcott Biopsy Needles 20G x 9 cm with echogenic tip</t>
  </si>
  <si>
    <t>NEEDLE, BIOPSY, 20 GAX9 CM, WITH ECHOGENIC TIP, STERILE, WESTCOTT, LATEX</t>
  </si>
  <si>
    <t>NEEDLE, BX, 20 GAX9 CM, W/ ECHOGENIC TIP, STRL, WESTCOTT, LTX</t>
  </si>
  <si>
    <t>https://res.onemed.com/SE/Produktblad/1115842.pdf, https://accessgudid.nlm.nih.gov/devices/00886333003150</t>
  </si>
  <si>
    <t>MWN2006</t>
  </si>
  <si>
    <t>ARGON_MWN2006</t>
  </si>
  <si>
    <t>Westcott Biopsy Needle 20GA X 15CM</t>
  </si>
  <si>
    <t>PRODIGO1073473</t>
  </si>
  <si>
    <t>Westcott Biopsy Needle 20ga x 15cm</t>
  </si>
  <si>
    <t>Westcott Biopsy Needles 20G x 15 cm</t>
  </si>
  <si>
    <t>NEEDLE, BIOPSY, 20 GAX15 CM, STERILE, WESTCOTT, LATEX</t>
  </si>
  <si>
    <t>NEEDLE, BX, 20 GAX15 CM, STRL, WESTCOTT, LTX</t>
  </si>
  <si>
    <t>https://res.onemed.com/SE/Produktblad/1115842.pdf, https://accessgudid.nlm.nih.gov/devices/00886333003082</t>
  </si>
  <si>
    <t>MWN2008</t>
  </si>
  <si>
    <t>ARGON_MWN2008</t>
  </si>
  <si>
    <t>Westcott Biopsy Needle 20GA X 20CM</t>
  </si>
  <si>
    <t>PRODIGO1073475</t>
  </si>
  <si>
    <t>Westcott Biopsy Needle 20ga x 20cm</t>
  </si>
  <si>
    <t>Westcott Biopsy Needles 20G x 20 cm</t>
  </si>
  <si>
    <t>NEEDLE, BIOPSY, 20 GAX20 CM, STERILE, WESTCOTT, LATEX</t>
  </si>
  <si>
    <t>NEEDLE, BX, 20 GAX20 CM, STRL, WESTCOTT, LTX</t>
  </si>
  <si>
    <t>https://res.onemed.com/SE/Produktblad/1115842.pdf, https://accessgudid.nlm.nih.gov/devices/00886333003099</t>
  </si>
  <si>
    <t>MWN2008US</t>
  </si>
  <si>
    <t>ARGON_MWN2008US</t>
  </si>
  <si>
    <t xml:space="preserve">Westcott Biopsy Needle 20GA X 20CM With Echogenic Tip </t>
  </si>
  <si>
    <t>PRODIGO1073476</t>
  </si>
  <si>
    <t>Westcott Biopsy Needle with Echogenic Tip 20ga x 20cm</t>
  </si>
  <si>
    <t>Westcott Biopsy Needles 20G x 20 cm with echogenic tip</t>
  </si>
  <si>
    <t>NEEDLE, BIOPSY, 20 GAX20 CM, WITH ECHOGENIC TIP, STERILE, WESTCOTT, LATEX</t>
  </si>
  <si>
    <t>NEEDLE, BX, 20 GAX20 CM, W/ ECHOGENIC TIP, STRL, WESTCOTT, LTX</t>
  </si>
  <si>
    <t>https://res.onemed.com/SE/Produktblad/1115842.pdf, https://accessgudid.nlm.nih.gov/devices/00886333003143</t>
  </si>
  <si>
    <t>MWN2203</t>
  </si>
  <si>
    <t>ARGON_MWN2203</t>
  </si>
  <si>
    <t>Westcott Biopsy Needle 22GA X 9CM</t>
  </si>
  <si>
    <t>PRODIGO1073477</t>
  </si>
  <si>
    <t>Westcott Biopsy Needle 22ga x 9cm</t>
  </si>
  <si>
    <t>Westcott Biopsy Needles 22G x 9 cm</t>
  </si>
  <si>
    <t>NEEDLE, BIOPSY, 22 GAX9 CM, STERILE, WESTCOTT, LATEX</t>
  </si>
  <si>
    <t>NEEDLE, BX, 22 GAX9 CM, STRL, WESTCOTT, LTX</t>
  </si>
  <si>
    <t>https://res.onemed.com/SE/Produktblad/1115842.pdf, https://accessgudid.nlm.nih.gov/devices/00886333003051</t>
  </si>
  <si>
    <t>MWN2203US</t>
  </si>
  <si>
    <t>ARGON_MWN2203US</t>
  </si>
  <si>
    <t xml:space="preserve">Westcott Biopsy Needle 22GA X 9CM With Echogenic Tip </t>
  </si>
  <si>
    <t>PRODIGO1073478</t>
  </si>
  <si>
    <t>Westcott Biopsy Needle with Echogenic Tip 22ga x 9cm</t>
  </si>
  <si>
    <t>Westcott Biopsy Needles 22G x 9 cm with echogenic tip</t>
  </si>
  <si>
    <t>NEEDLE, BIOPSY, 22 GAX9 CM, WITH ECHOGENIC TIP, STERILE, WESTCOTT, LATEX</t>
  </si>
  <si>
    <t>NEEDLE, BX, 22 GAX9 CM, W/ ECHOGENIC TIP, STRL, WESTCOTT, LTX</t>
  </si>
  <si>
    <t>https://res.onemed.com/SE/Produktblad/1115842.pdf, https://accessgudid.nlm.nih.gov/devices/00886333003112</t>
  </si>
  <si>
    <t>MWN2206</t>
  </si>
  <si>
    <t>ARGON_MWN2206</t>
  </si>
  <si>
    <t>Westcott Biopsy Needle 22GA X 15CM</t>
  </si>
  <si>
    <t>PRODIGO1073479</t>
  </si>
  <si>
    <t>Westcott Biopsy Needle 22ga x 15cm</t>
  </si>
  <si>
    <t>Westcott Biopsy Needles 22G x 15 cm</t>
  </si>
  <si>
    <t>NEEDLE, BIOPSY, 22 GAX15 CM, STERILE, WESTCOTT, LATEX</t>
  </si>
  <si>
    <t>NEEDLE, BX, 22 GAX15 CM, STRL, WESTCOTT, LTX</t>
  </si>
  <si>
    <t>https://res.onemed.com/SE/Produktblad/1115842.pdf, https://accessgudid.nlm.nih.gov/devices/00886333003044</t>
  </si>
  <si>
    <t>MWN2206US</t>
  </si>
  <si>
    <t>ARGON_MWN2206US</t>
  </si>
  <si>
    <t>Westcott Biopsy Needle 22GA X 15CM With Echogenic Tip</t>
  </si>
  <si>
    <t>PRODIGO1073480</t>
  </si>
  <si>
    <t>Westcott Biopsy Needle with Echogenic Tip 22ga x 15cm</t>
  </si>
  <si>
    <t>Westcott Biopsy Needles 22G x 15 cm with echogenic tip</t>
  </si>
  <si>
    <t>NEEDLE, BIOPSY, 22 GAX15 CM, WITH ECHOGENIC TIP, STERILE, WESTCOTT, LATEX</t>
  </si>
  <si>
    <t>NEEDLE, BX, 22 GAX15 CM, W/ ECHOGENIC TIP, STRL, WESTCOTT, LTX</t>
  </si>
  <si>
    <t>https://res.onemed.com/SE/Produktblad/1115842.pdf, https://accessgudid.nlm.nih.gov/devices/00886333003136</t>
  </si>
  <si>
    <t>MWN2208</t>
  </si>
  <si>
    <t>ARGON_MWN2208</t>
  </si>
  <si>
    <t>Westcott Biopsy Needle 22GA X 20CM</t>
  </si>
  <si>
    <t>PRODIGO1073481</t>
  </si>
  <si>
    <t>Westcott Biopsy Needle 22ga x 20cm</t>
  </si>
  <si>
    <t>Westcott Biopsy Needles 22G x 20 cm</t>
  </si>
  <si>
    <t>NEEDLE, BIOPSY, 22 GAX20 CM, STERILE, WESTCOTT, LATEX</t>
  </si>
  <si>
    <t>NEEDLE, BX, 22 GAX20 CM, STRL, WESTCOTT, LTX</t>
  </si>
  <si>
    <t>https://res.onemed.com/SE/Produktblad/1115842.pdf, https://accessgudid.nlm.nih.gov/devices/00886333003075</t>
  </si>
  <si>
    <t>OBN16075</t>
  </si>
  <si>
    <t>ARGON_OBN16075</t>
  </si>
  <si>
    <t>Osty-Core Bone Biopsy Needle 16GA X 7.5CM</t>
  </si>
  <si>
    <t>PRODIGO1073483</t>
  </si>
  <si>
    <t>Osty-CoreGäó Bone Biopsy Needle 16ga x 7.5cm</t>
  </si>
  <si>
    <t>Osty-CoreGäó Bone Biopsy Needle</t>
  </si>
  <si>
    <t>Osty-Core Bone Biopsy Needles 16G x 7.5 cm</t>
  </si>
  <si>
    <t>NEEDLE, BIOPSY, OSTY-CORE, 16 GAX7.5 CM, BONE, STERILE, LATEX</t>
  </si>
  <si>
    <t>NEEDLE, BX, OSTY-CORE, 16 GAX7.5 CM, BNE, STRL, LTX</t>
  </si>
  <si>
    <t>OSTY-CORE</t>
  </si>
  <si>
    <t>16 GAX7.5 CM</t>
  </si>
  <si>
    <t>BONE</t>
  </si>
  <si>
    <t>https://res.onemed.com/SE/Produktblad/1115842.pdf, https://accessgudid.nlm.nih.gov/devices/00886333003174</t>
  </si>
  <si>
    <t>OBN16125</t>
  </si>
  <si>
    <t>ARGON_OBN16125</t>
  </si>
  <si>
    <t>Osty-Core Bone Biopsy Needle 16GA X 12.5CM</t>
  </si>
  <si>
    <t>PRODIGO1073484</t>
  </si>
  <si>
    <t>Osty-CoreGäó Bone Biopsy Needle 16ga x 12.5cm</t>
  </si>
  <si>
    <t>Osty-Core Bone Biopsy Needles 16G x 12.5 cm optional co-axial needle MCXS1610AX</t>
  </si>
  <si>
    <t>NEEDLE, BIOPSY, OSTY-CORE, 16 GAX12.5 CM, BONE, STERILE, LATEX</t>
  </si>
  <si>
    <t>NEEDLE, BX, OSTY-CORE, 16 GAX12.5 CM, BNE, STRL, LTX</t>
  </si>
  <si>
    <t>16 GAX12.5 CM</t>
  </si>
  <si>
    <t>https://res.onemed.com/SE/Produktblad/1115842.pdf, https://accessgudid.nlm.nih.gov/devices/00886333003181</t>
  </si>
  <si>
    <t>RTD001X</t>
  </si>
  <si>
    <t>ARGON_RTD001X</t>
  </si>
  <si>
    <t>Galactography Kit 24GA Curved Cannula</t>
  </si>
  <si>
    <t>PRODIGO1073485</t>
  </si>
  <si>
    <t>Galactography Kit 24ga with Curved Cannula</t>
  </si>
  <si>
    <t>Galactography Kits 24G with curved cannula</t>
  </si>
  <si>
    <t>GALACTOGRAPHY KIT, 24 GA, WITH CURVED CANNULA, STERILE, LATEX</t>
  </si>
  <si>
    <t>GALACTOGRAPHY KIT, 24 GA, W/ CRV CANN, STRL, LTX</t>
  </si>
  <si>
    <t>24 GA</t>
  </si>
  <si>
    <t>WITH CURVED CANNULA</t>
  </si>
  <si>
    <t>https://res.onemed.com/SE/Produktblad/1115842.pdf, https://accessgudid.nlm.nih.gov/devices/00886333222933</t>
  </si>
  <si>
    <t>SFN2015</t>
  </si>
  <si>
    <t>ARGON_SFN2015</t>
  </si>
  <si>
    <t>Spinal Needle 20GA X 15CM</t>
  </si>
  <si>
    <t>PRODIGO1073486</t>
  </si>
  <si>
    <t>SFN-2015</t>
  </si>
  <si>
    <t>Spinal Needle 20g x 15cm</t>
  </si>
  <si>
    <t>Spinal Needle</t>
  </si>
  <si>
    <t>https://accessgudid.nlm.nih.gov/devices/00886333220144</t>
  </si>
  <si>
    <t>SFN2215</t>
  </si>
  <si>
    <t>ARGON_SFN2215</t>
  </si>
  <si>
    <t>Spinal Needle 22GA X 15CM</t>
  </si>
  <si>
    <t>PRODIGO1073487</t>
  </si>
  <si>
    <t>SFN-2215</t>
  </si>
  <si>
    <t>Spinal Needle 22g x 15cm</t>
  </si>
  <si>
    <t>https://accessgudid.nlm.nih.gov/devices/00886333220168</t>
  </si>
  <si>
    <t>SN1902</t>
  </si>
  <si>
    <t>ARGON_SN1902</t>
  </si>
  <si>
    <t>Seldinger Needle 19GA X 7CM</t>
  </si>
  <si>
    <t>PRODIGO1073489</t>
  </si>
  <si>
    <t>Seldinger Needle 19ga x 7cm</t>
  </si>
  <si>
    <t>Seldinger Needle</t>
  </si>
  <si>
    <t>Seldinger Needles 19G x 7 cm accepts .035IN guidewire</t>
  </si>
  <si>
    <t>NEEDLE, BIOPSY, SELDINGER, 19 GAX7 CM, STERILE, LATEX</t>
  </si>
  <si>
    <t>NEEDLE, BX, SELD, 19 GAX7 CM, STRL, LTX</t>
  </si>
  <si>
    <t>SELDINGER</t>
  </si>
  <si>
    <t>https://res.onemed.com/SE/Produktblad/1115842.pdf, https://accessgudid.nlm.nih.gov/devices/00886333003327</t>
  </si>
  <si>
    <t>SPN2503</t>
  </si>
  <si>
    <t>ARGON_SPN2503</t>
  </si>
  <si>
    <t>Spinal Biopsy Needle 25GA X 9CM</t>
  </si>
  <si>
    <t>PRODIGO1073490</t>
  </si>
  <si>
    <t>Spinal Biopsy Needle 25ga x 9cm</t>
  </si>
  <si>
    <t>NEEDLE, BIOPSY, SPINAL, 25 GAX9 CM, STERILE, LATEX</t>
  </si>
  <si>
    <t>NEEDLE, BX, SPNL, 25 GAX9 CM, STRL, LTX</t>
  </si>
  <si>
    <t>25 GAX9 CM</t>
  </si>
  <si>
    <t>https://accessgudid.nlm.nih.gov/devices/00886333222476</t>
  </si>
  <si>
    <t>TCBN1607X</t>
  </si>
  <si>
    <t>ARGON_TCBN1607X</t>
  </si>
  <si>
    <t>Techna-Cut Biopsy Needle 16GA X 7CM</t>
  </si>
  <si>
    <t>PRODIGO1073491</t>
  </si>
  <si>
    <t>Techna-CutGäó Biopsy Needle 16ga x 7cm</t>
  </si>
  <si>
    <t>Techna-CutGäó Biopsy Needle</t>
  </si>
  <si>
    <t>Techna-Cut Biopsy Needles 16G x 7 cm</t>
  </si>
  <si>
    <t>NEEDLE, BIOPSY, 16 GAX7 CM, STERILE, TECHNA-CUT, LATEX</t>
  </si>
  <si>
    <t>NEEDLE, BX, 16 GAX7 CM, STRL, TECHNA-CUT, LTX</t>
  </si>
  <si>
    <t>16 GAX7 CM</t>
  </si>
  <si>
    <t>TECHNA-CUT</t>
  </si>
  <si>
    <t>https://res.onemed.com/SE/Produktblad/1115842.pdf, https://accessgudid.nlm.nih.gov/devices/00886333003464</t>
  </si>
  <si>
    <t>TCBN1610X</t>
  </si>
  <si>
    <t>ARGON_TCBN1610X</t>
  </si>
  <si>
    <t>Techna-Cut Biopsy Needle 16GA X 10CM</t>
  </si>
  <si>
    <t>PRODIGO1073492</t>
  </si>
  <si>
    <t>Techna-CutGäó Biopsy Needle 16ga x 10cm</t>
  </si>
  <si>
    <t>Techna-Cut Biopsy Needles 16G x 10 cm</t>
  </si>
  <si>
    <t>NEEDLE, BIOPSY, 16 GAX10 CM, STERILE, TECHNA-CUT, LATEX</t>
  </si>
  <si>
    <t>NEEDLE, BX, 16 GAX10 CM, STRL, TECHNA-CUT, LTX</t>
  </si>
  <si>
    <t>https://res.onemed.com/SE/Produktblad/1115842.pdf, https://accessgudid.nlm.nih.gov/devices/00886333003457</t>
  </si>
  <si>
    <t>TCBN1615X</t>
  </si>
  <si>
    <t>ARGON_TCBN1615X</t>
  </si>
  <si>
    <t>Techna-Cut Biopsy Needle 16GA X 15CM</t>
  </si>
  <si>
    <t>PRODIGO1073493</t>
  </si>
  <si>
    <t>Techna-CutGäó Biopsy Needle 16ga x 15cm</t>
  </si>
  <si>
    <t>Techna-Cut Biopsy Needles 16G x 15 cm</t>
  </si>
  <si>
    <t>NEEDLE, BIOPSY, 16 GAX15 CM, STERILE, TECHNA-CUT, LATEX</t>
  </si>
  <si>
    <t>NEEDLE, BX, 16 GAX15 CM, STRL, TECHNA-CUT, LTX</t>
  </si>
  <si>
    <t>https://res.onemed.com/SE/Produktblad/1115842.pdf, https://accessgudid.nlm.nih.gov/devices/00886333003365</t>
  </si>
  <si>
    <t>TCBN1807X</t>
  </si>
  <si>
    <t>ARGON_TCBN1807X</t>
  </si>
  <si>
    <t>Techna-Cut Biopsy Needle 18GA X 7CM</t>
  </si>
  <si>
    <t>PRODIGO1073494</t>
  </si>
  <si>
    <t>Techna-CutGäó Biopsy Needle 18ga x 7cm</t>
  </si>
  <si>
    <t>Techna-Cut Biopsy Needles 18G x 7 cm</t>
  </si>
  <si>
    <t>NEEDLE, BIOPSY, 18 GAX7 CM, STERILE, TECHNA-CUT, LATEX</t>
  </si>
  <si>
    <t>NEEDLE, BX, 18 GAX7 CM, STRL, TECHNA-CUT, LTX</t>
  </si>
  <si>
    <t>https://res.onemed.com/SE/Produktblad/1115842.pdf, https://accessgudid.nlm.nih.gov/devices/00886333003440</t>
  </si>
  <si>
    <t>TCBN1810X</t>
  </si>
  <si>
    <t>ARGON_TCBN1810X</t>
  </si>
  <si>
    <t>Techna-Cut Biopsy Needle 18GA X 10CM</t>
  </si>
  <si>
    <t>PRODIGO1073495</t>
  </si>
  <si>
    <t>Techna-CutGäó Biopsy Needle 18ga x 10cm</t>
  </si>
  <si>
    <t>Techna-Cut Biopsy Needles 18G x 10 cm</t>
  </si>
  <si>
    <t>NEEDLE, BIOPSY, 18 GAX10 CM, STERILE, TECHNA-CUT, LATEX</t>
  </si>
  <si>
    <t>NEEDLE, BX, 18 GAX10 CM, STRL, TECHNA-CUT, LTX</t>
  </si>
  <si>
    <t>https://res.onemed.com/SE/Produktblad/1115842.pdf, https://accessgudid.nlm.nih.gov/devices/00886333003471</t>
  </si>
  <si>
    <t>TCBN1812X</t>
  </si>
  <si>
    <t>ARGON_TCBN1812X</t>
  </si>
  <si>
    <t>Techna-Cut Biopsy Needle 18GA X 12CM</t>
  </si>
  <si>
    <t>PRODIGO1073496</t>
  </si>
  <si>
    <t>Techna-CutGäó Biopsy Needle 18ga x 12cm</t>
  </si>
  <si>
    <t>Techna-Cut Biopsy Needles 18G x 12 cm</t>
  </si>
  <si>
    <t>NEEDLE, BIOPSY, 18 GAX12 CM, STERILE, TECHNA-CUT, LATEX</t>
  </si>
  <si>
    <t>NEEDLE, BX, 18 GAX12 CM, STRL, TECHNA-CUT, LTX</t>
  </si>
  <si>
    <t>18 GAX12 CM</t>
  </si>
  <si>
    <t>https://res.onemed.com/SE/Produktblad/1115842.pdf, https://accessgudid.nlm.nih.gov/devices/00886333003433</t>
  </si>
  <si>
    <t>TCBN1815X</t>
  </si>
  <si>
    <t>ARGON_TCBN1815X</t>
  </si>
  <si>
    <t>Techna-Cut Biopsy Needle 18GA X 15CM</t>
  </si>
  <si>
    <t>PRODIGO1073497</t>
  </si>
  <si>
    <t>Techna-CutGäó Biopsy Needle 18ga x 15cm</t>
  </si>
  <si>
    <t>Techna-Cut Biopsy Needles 18G x 15 cm</t>
  </si>
  <si>
    <t>NEEDLE, BIOPSY, 18 GAX15 CM, STERILE, TECHNA-CUT, LATEX</t>
  </si>
  <si>
    <t>NEEDLE, BX, 18 GAX15 CM, STRL, TECHNA-CUT, LTX</t>
  </si>
  <si>
    <t>https://res.onemed.com/SE/Produktblad/1115842.pdf, https://accessgudid.nlm.nih.gov/devices/00886333003426</t>
  </si>
  <si>
    <t>TCBN1907X</t>
  </si>
  <si>
    <t>ARGON_TCBN1907X</t>
  </si>
  <si>
    <t>Techna-Cut Biopsy Needle 19GA X 7CM</t>
  </si>
  <si>
    <t>PRODIGO1073498</t>
  </si>
  <si>
    <t>Techna-CutGäó Biopsy Needle 19ga x 7cm</t>
  </si>
  <si>
    <t>Techna-Cut Biopsy Needles 19G x 7 cm</t>
  </si>
  <si>
    <t>NEEDLE, BIOPSY, 19 GAX7 CM, STERILE, TECHNA-CUT, LATEX</t>
  </si>
  <si>
    <t>NEEDLE, BX, 19 GAX7 CM, STRL, TECHNA-CUT, LTX</t>
  </si>
  <si>
    <t>https://res.onemed.com/SE/Produktblad/1115842.pdf, https://accessgudid.nlm.nih.gov/devices/00886333003419</t>
  </si>
  <si>
    <t>TCBN1910X</t>
  </si>
  <si>
    <t>ARGON_TCBN1910X</t>
  </si>
  <si>
    <t>Techna-Cut Biopsy Needle 19GA X 10CM</t>
  </si>
  <si>
    <t>PRODIGO1073499</t>
  </si>
  <si>
    <t>Techna-CutGäó Biopsy Needle 19ga x 10cm</t>
  </si>
  <si>
    <t>Techna-Cut Biopsy Needles 19G x 10 cm</t>
  </si>
  <si>
    <t>NEEDLE, BIOPSY, 19 GAX10 CM, STERILE, TECHNA-CUT, LATEX</t>
  </si>
  <si>
    <t>NEEDLE, BX, 19 GAX10 CM, STRL, TECHNA-CUT, LTX</t>
  </si>
  <si>
    <t>19 GAX10 CM</t>
  </si>
  <si>
    <t>https://res.onemed.com/SE/Produktblad/1115842.pdf, https://accessgudid.nlm.nih.gov/devices/00886333003402</t>
  </si>
  <si>
    <t>TCBN1915X</t>
  </si>
  <si>
    <t>ARGON_TCBN1915X</t>
  </si>
  <si>
    <t>Techna-Cut Biopsy Needle 19GA X 15CM</t>
  </si>
  <si>
    <t>PRODIGO1073500</t>
  </si>
  <si>
    <t>Techna-CutGäó Biopsy Needle 19ga x 15cm</t>
  </si>
  <si>
    <t>Techna-Cut Biopsy Needles 19G x 15 cm</t>
  </si>
  <si>
    <t>NEEDLE, BIOPSY, 19 GAX15 CM, STERILE, TECHNA-CUT, LATEX</t>
  </si>
  <si>
    <t>NEEDLE, BX, 19 GAX15 CM, STRL, TECHNA-CUT, LTX</t>
  </si>
  <si>
    <t>https://res.onemed.com/SE/Produktblad/1115842.pdf, https://accessgudid.nlm.nih.gov/devices/00886333003341</t>
  </si>
  <si>
    <t>TCBN2107X</t>
  </si>
  <si>
    <t>ARGON_TCBN2107X</t>
  </si>
  <si>
    <t>Techna-Cut Biopsy Needle 21GA X 7CM</t>
  </si>
  <si>
    <t>PRODIGO1073501</t>
  </si>
  <si>
    <t>Techna-CutGäó Biopsy Needle 21ga x 7cm</t>
  </si>
  <si>
    <t>Techna-Cut Biopsy Needles 21G x 7 cm</t>
  </si>
  <si>
    <t>NEEDLE, BIOPSY, 21 GAX7 CM, STERILE, TECHNA-CUT, LATEX</t>
  </si>
  <si>
    <t>NEEDLE, BX, 21 GAX7 CM, STRL, TECHNA-CUT, LTX</t>
  </si>
  <si>
    <t>https://res.onemed.com/SE/Produktblad/1115842.pdf, https://accessgudid.nlm.nih.gov/devices/00886333003396</t>
  </si>
  <si>
    <t>TCBN2110X</t>
  </si>
  <si>
    <t>ARGON_TCBN2110X</t>
  </si>
  <si>
    <t>Techna-Cut Biopsy Needle 21GA X 10CM</t>
  </si>
  <si>
    <t>PRODIGO1073502</t>
  </si>
  <si>
    <t>Techna-CutGäó Biopsy Needle 21ga x 10cm</t>
  </si>
  <si>
    <t>Techna-Cut Biopsy Needles 21G x 10 cm</t>
  </si>
  <si>
    <t>NEEDLE, BIOPSY, 21 GAX10 CM, STERILE, TECHNA-CUT, LATEX</t>
  </si>
  <si>
    <t>NEEDLE, BX, 21 GAX10 CM, STRL, TECHNA-CUT, LTX</t>
  </si>
  <si>
    <t>https://res.onemed.com/SE/Produktblad/1115842.pdf, https://accessgudid.nlm.nih.gov/devices/00886333003389</t>
  </si>
  <si>
    <t>TCBN2306X</t>
  </si>
  <si>
    <t>ARGON_TCBN2306X</t>
  </si>
  <si>
    <t>Techna-Cut Biopsy Needle 23GA X 6CM</t>
  </si>
  <si>
    <t>PRODIGO1073504</t>
  </si>
  <si>
    <t>Techna-CutGäó Biopsy Needle 23ga x 6cm</t>
  </si>
  <si>
    <t>Techna-Cut Biopsy Needles 23G x 6 cm</t>
  </si>
  <si>
    <t>NEEDLE, BIOPSY, 23 GAX6 CM, STERILE, TECHNA-CUT, LATEX</t>
  </si>
  <si>
    <t>NEEDLE, BX, 23 GAX6 CM, STRL, TECHNA-CUT, LTX</t>
  </si>
  <si>
    <t>23 GAX6 CM</t>
  </si>
  <si>
    <t>https://res.onemed.com/SE/Produktblad/1115842.pdf, https://accessgudid.nlm.nih.gov/devices/00886333003358</t>
  </si>
  <si>
    <t>TL18N</t>
  </si>
  <si>
    <t>TL-18N</t>
  </si>
  <si>
    <t>ARGON_TL18N</t>
  </si>
  <si>
    <t>TLAB 18GA X 60CM Flex Tip</t>
  </si>
  <si>
    <t>PRODIGO1073505</t>
  </si>
  <si>
    <t>TLAB Transjugular Liver Biopsy System</t>
  </si>
  <si>
    <t>Tlab Transjugular Liver Biopsy System</t>
  </si>
  <si>
    <t>NEEDLE, BIOPSY, FLEX TIP, 18 GAX60 CM, TRANSJUGULAR LIVER SYSTEM, STERILE, TLAB, LATEX</t>
  </si>
  <si>
    <t>NEEDLE, BX, FLX TIP, 18 GAX60 CM, TRNSJUG LIV SYS, STRL, TLAB, LTX</t>
  </si>
  <si>
    <t>FLEX TIP</t>
  </si>
  <si>
    <t>18 GAX60 CM</t>
  </si>
  <si>
    <t>TRANSJUGULAR LIVER SYSTEM</t>
  </si>
  <si>
    <t>TLAB</t>
  </si>
  <si>
    <t>https://accessgudid.nlm.nih.gov/devices/00886333218530</t>
  </si>
  <si>
    <t>TL18S</t>
  </si>
  <si>
    <t>TL-18S</t>
  </si>
  <si>
    <t>ARGON_TL18S</t>
  </si>
  <si>
    <t>TLAB 18GA X 60CM W/ 5F Straight Catheter</t>
  </si>
  <si>
    <t>PRODIGO1073506</t>
  </si>
  <si>
    <t>TLAB Transjugular Liver Biopsy Kit 18G 7F 60cm 5F 65cm 4 SWABS</t>
  </si>
  <si>
    <t>BIOPSY KIT, 18 GAX60 CM, 7 FR, 5 FRX65 CM, TRANSJUGULAR LIVER, STRAIGHT CATHETER, 4 SWAB, STERILE, TLAB, LATEX</t>
  </si>
  <si>
    <t>BIOPSY KIT, 18 GAX60 CM, 7 FR, 5 FRX65 CM, TRNSJUG LIV, STR CATH, 4 SWAB, STRL, TLAB, LTX</t>
  </si>
  <si>
    <t>BIOPSY KIT, 18 GAX60 CM, 7 FR, 5 FRX65 CM, TRNSJUG LIV, TLAB</t>
  </si>
  <si>
    <t>BIOPSY KIT</t>
  </si>
  <si>
    <t>7 FR, 5 FRX65 CM</t>
  </si>
  <si>
    <t>TRANSJUGULAR LIVER</t>
  </si>
  <si>
    <t>STRAIGHT CATHETER, 4 SWAB</t>
  </si>
  <si>
    <t>https://www.argonmedical.com/wp-content/uploads/2022/09/TLAB-Brochure.pdf, https://accessgudid.nlm.nih.gov/devices/00886333218523</t>
  </si>
  <si>
    <t>TLAB-Brochure.pdf</t>
  </si>
  <si>
    <t>TL19N</t>
  </si>
  <si>
    <t>TL-19N</t>
  </si>
  <si>
    <t>ARGON_TL19N</t>
  </si>
  <si>
    <t>TLAB 19GA X 60CM Flex Tip</t>
  </si>
  <si>
    <t>PRODIGO1073507</t>
  </si>
  <si>
    <t>TLAB Transjugular Liver Biopsy Kit 19G 7F 60cm 4 SWABS</t>
  </si>
  <si>
    <t>BIOPSY KIT, 19 GAX60 CM, 7 FR, TRANSJUGULAR LIVER, FLEX TIP, 4 SWAB, STERILE, TLAB, LATEX</t>
  </si>
  <si>
    <t>BIOPSY KIT, 19 GAX60 CM, 7 FR, TRNSJUG LIV, FLX TIP, 4 SWAB, STRL, TLAB, LTX</t>
  </si>
  <si>
    <t>BIOPSY KIT, 19 GAX60 CM, 7 FR, TRNSJUG LIV, FLX TIP, 4 SWAB, TLAB</t>
  </si>
  <si>
    <t>19 GAX60 CM</t>
  </si>
  <si>
    <t>FLEX TIP, 4 SWAB</t>
  </si>
  <si>
    <t>https://www.argonmedical.com/wp-content/uploads/2022/09/TLAB-Brochure.pdf, https://accessgudid.nlm.nih.gov/devices/00886333218554</t>
  </si>
  <si>
    <t>WFN2015</t>
  </si>
  <si>
    <t>WFN-2015</t>
  </si>
  <si>
    <t>ARGON_WFN2015</t>
  </si>
  <si>
    <t>Westcott Needle 20GA X 15CM</t>
  </si>
  <si>
    <t>PRODIGO1073508</t>
  </si>
  <si>
    <t>Westcott Needle 20g x 15cm</t>
  </si>
  <si>
    <t>Westcott Needle</t>
  </si>
  <si>
    <t>Westcott Needle 20g X 15cm</t>
  </si>
  <si>
    <t>https://accessgudid.nlm.nih.gov/devices/00886333220090</t>
  </si>
  <si>
    <t>WFN2020</t>
  </si>
  <si>
    <t>WFN-2020</t>
  </si>
  <si>
    <t>ARGON_WFN2020</t>
  </si>
  <si>
    <t>Westcott Needle 20GA X 20CM</t>
  </si>
  <si>
    <t>PRODIGO1073509</t>
  </si>
  <si>
    <t>Westcott Needle 20g x 20cm</t>
  </si>
  <si>
    <t>Westcott Needle 20g X 20cm</t>
  </si>
  <si>
    <t>https://accessgudid.nlm.nih.gov/devices/00886333220106</t>
  </si>
  <si>
    <t>BHC</t>
  </si>
  <si>
    <t>sourced</t>
  </si>
  <si>
    <t>SMITH AND NEPHEW ENDOSCOPY</t>
  </si>
  <si>
    <t>SMITH &amp; NEPHEW</t>
  </si>
  <si>
    <t>SMITH &amp; NEPHEW PLC</t>
  </si>
  <si>
    <t>013560</t>
  </si>
  <si>
    <t>13560</t>
  </si>
  <si>
    <t>SMITH</t>
  </si>
  <si>
    <t>SMITH_013560</t>
  </si>
  <si>
    <t>BONE TUNNEL PLUGSMALL7MM</t>
  </si>
  <si>
    <t>PRODIGO1072467</t>
  </si>
  <si>
    <t>Smith &amp; Nephew, Inc.</t>
  </si>
  <si>
    <t>BONE TUNNEL PLUG NON-CANNULATED,                                    SMALL 7-8 MM 3 PER PACKAGE</t>
  </si>
  <si>
    <t>NA</t>
  </si>
  <si>
    <t>42296708  Surgical bone cement kit accessories</t>
  </si>
  <si>
    <t>Bone Tunnel Plugs – Non-Cannulated Made of polyacetal, non-sterile Small, 7–8 mm (3 per package)</t>
  </si>
  <si>
    <t>PLUG, TUNNEL, NON CANNULATED, SMALL, FOR 7-8 MM BONE CEMENT, POLYACETAL, NON STERILE, LATEX</t>
  </si>
  <si>
    <t>PLUG, TUNN, N CANN, SM, FOR 7-8 MM BNE CEMENT, POLYACETAL, NS, LTX</t>
  </si>
  <si>
    <t>PLUG, TUNN, N CANN, SM, FOR 7-8 MM BNE CEMENT, POLYACETAL, NS</t>
  </si>
  <si>
    <t>TUNNEL</t>
  </si>
  <si>
    <t>NON CANNULATED</t>
  </si>
  <si>
    <t>FOR 7-8 MM BONE CEMENT</t>
  </si>
  <si>
    <t>POLYACETAL</t>
  </si>
  <si>
    <t>http://docs.exhausmed.com/DOCS/SMITHNEPHEW/2012/CATALOGUES/2012_CATALOG_SCREEN.PDF, https://accessgudid.nlm.nih.gov/devices/23596010091127</t>
  </si>
  <si>
    <t>2012_CATALOG_SCREEN</t>
  </si>
  <si>
    <t>013587</t>
  </si>
  <si>
    <t>13587</t>
  </si>
  <si>
    <t>SMITH_013587</t>
  </si>
  <si>
    <t>BONE TUN.PLUG XL.(PKG 3)11-12</t>
  </si>
  <si>
    <t>PRODIGO1072468</t>
  </si>
  <si>
    <t>BONE TUNNEL PLUG XL 11-12 MM 3 PER PACKAGE</t>
  </si>
  <si>
    <t>Bone Tunnel Plugs – Non-Cannulated Made of polyacetal, non-sterile X-large, 11–12 mm (3 per package)</t>
  </si>
  <si>
    <t>PLUG, TUNNEL, NON CANNULATED, XLARGE, FOR 11-12 MM BONE CEMENT, POLYACETAL, NON STERILE, LATEX</t>
  </si>
  <si>
    <t>PLUG, TUNN, N CANN, XL, FOR 11-12 MM BNE CEMENT, POLYACETAL, NS, LTX</t>
  </si>
  <si>
    <t>PLUG, TUNN, N CANN, XL, FOR 11-12 MM BNE CEMENT, POLYACETAL, NS</t>
  </si>
  <si>
    <t>XLARGE</t>
  </si>
  <si>
    <t>FOR 11-12 MM BONE CEMENT</t>
  </si>
  <si>
    <t>http://docs.exhausmed.com/DOCS/SMITHNEPHEW/2012/CATALOGUES/2012_CATALOG_SCREEN.PDF, https://accessgudid.nlm.nih.gov/devices/23596010374602</t>
  </si>
  <si>
    <t>013588</t>
  </si>
  <si>
    <t>13588</t>
  </si>
  <si>
    <t>SMITH_013588</t>
  </si>
  <si>
    <t>BONE TUNNEL PLUGXXL(PKG 3)</t>
  </si>
  <si>
    <t>PRODIGO1072469</t>
  </si>
  <si>
    <t>BONE TUNNEL PLUG XXL 13-14 MM 3                                    PER PACKAGE</t>
  </si>
  <si>
    <t>Bone Tunnel Plugs – Non-Cannulated Made of polyacetal, non-sterile XX-large, 13–14 mm (3 per package</t>
  </si>
  <si>
    <t>PLUG, TUNNEL, NON CANNULATED, XXLARGE, FOR 13-14 MM BONE CEMENT, POLYACETAL, NON STERILE, LATEX</t>
  </si>
  <si>
    <t>PLUG, TUNN, N CANN, 2XL, FOR 13-14 MM BNE CEMENT, POLYACETAL, NS, LTX</t>
  </si>
  <si>
    <t>PLUG, TUNN, N CANN, 2XL, FOR 13-14 MM BNE CEMENT, POLYACETAL, NS</t>
  </si>
  <si>
    <t>XXLARGE</t>
  </si>
  <si>
    <t>FOR 13-14 MM BONE CEMENT</t>
  </si>
  <si>
    <t>http://docs.exhausmed.com/DOCS/SMITHNEPHEW/2012/CATALOGUES/2012_CATALOG_SCREEN.PDF, https://accessgudid.nlm.nih.gov/devices/23596010374619</t>
  </si>
  <si>
    <t>SMITH &amp; NEPHEW ENDOSCOPY</t>
  </si>
  <si>
    <t>014202</t>
  </si>
  <si>
    <t>14202</t>
  </si>
  <si>
    <t>SMITH_014202</t>
  </si>
  <si>
    <t>SCR CNFLX 1.0 7x30 STER</t>
  </si>
  <si>
    <t>PRODIGO1072470</t>
  </si>
  <si>
    <t>CANNU-FLEX 7 MM X 30 MM 1.0 SCREW, STERILE</t>
  </si>
  <si>
    <t>CANNU-FLEX SILK</t>
  </si>
  <si>
    <t>42322201  Interference screws</t>
  </si>
  <si>
    <t>C1713</t>
  </si>
  <si>
    <t>ANCHOR/SCREW FOR OPPOSING BONE-TO-BONE OR SOFT TISSUE-TO-BONE (IMPLANTABLE)</t>
  </si>
  <si>
    <t>CANNU-FLEX SILK INTERFERENCE SCREW 7MM X 30MM</t>
  </si>
  <si>
    <t>SCREW, INTERFERENCE, 7X30 MM, 1 MM, GUIDEWIRE, STERILE, CANNU-FLEX SILK, LATEX</t>
  </si>
  <si>
    <t>SCREW, INTRF, 7X30 MM, 1 MM, GUIDEWIRE, STRL, CANNFLX SILK, LTX</t>
  </si>
  <si>
    <t>SCREW</t>
  </si>
  <si>
    <t>INTERFERENCE</t>
  </si>
  <si>
    <t>7X30 MM</t>
  </si>
  <si>
    <t>1 MM</t>
  </si>
  <si>
    <t>https://www.esutures.com/product/1-expired/34-smithnephew/213-screws/19346-smith--nephew-cannu-flex-silk-interference-screw-7mm-x-30mm-014202, https://accessgudid.nlm.nih.gov/devices/03596010025593</t>
  </si>
  <si>
    <t>014206</t>
  </si>
  <si>
    <t>14206</t>
  </si>
  <si>
    <t>SMITH_014206</t>
  </si>
  <si>
    <t>SCR CNFLX 1.0 6x20 STER</t>
  </si>
  <si>
    <t>PRODIGO1072471</t>
  </si>
  <si>
    <t>CANNU-FLEX 6 MM X 20 MM 1.0 SCREW, STERILE</t>
  </si>
  <si>
    <t>CANNU-FLEX SILK INTERFERENCE SCREW, 6MM X 20MM</t>
  </si>
  <si>
    <t>SCREW, INTERFERENCE, 6X20 MM, 1 MM, GUIDEWIRE, STERILE, CANNU-FLEX SILK, LATEX</t>
  </si>
  <si>
    <t>SCREW, INTRF, 6X20 MM, 1 MM, GUIDEWIRE, STRL, CANNFLX SILK, LTX</t>
  </si>
  <si>
    <t>6X20 MM</t>
  </si>
  <si>
    <t>https://www.esutures.com/product/1-expired/34-smith--nephew/213-screws/46356598-smith--nephew-cannu-flex-silk-interference-screw-6mm-x-20mm-014206/, https://accessgudid.nlm.nih.gov/devices/03596010025630</t>
  </si>
  <si>
    <t>014207</t>
  </si>
  <si>
    <t>14207</t>
  </si>
  <si>
    <t>SMITH_014207</t>
  </si>
  <si>
    <t>SCR CNFLX 1.0 6x25 STER</t>
  </si>
  <si>
    <t>PRODIGO1072472</t>
  </si>
  <si>
    <t>CANNU-FLEX 6 MM X 25 MM 1.0 SCREW, STERILE</t>
  </si>
  <si>
    <t>SCREW, INTERFERENCE, 6X25 MM, 1 MM, GUIDEWIRE, STERILE, CANNU-FLEX SILK, LATEX</t>
  </si>
  <si>
    <t>SCREW, INTRF, 6X25 MM, 1 MM, GUIDEWIRE, STRL, CANNFLX SILK, LTX</t>
  </si>
  <si>
    <t>6X25 MM</t>
  </si>
  <si>
    <t>https://accessgudid.nlm.nih.gov/devices/03596010025647</t>
  </si>
  <si>
    <t>014208</t>
  </si>
  <si>
    <t>14208</t>
  </si>
  <si>
    <t>SMITH_014208</t>
  </si>
  <si>
    <t>SCR CNFLX 1.0 6X30 STER</t>
  </si>
  <si>
    <t>PRODIGO1072473</t>
  </si>
  <si>
    <t>CANNU-FLEX 6 MM X 30 MM 1.0 SCREW, STERILE</t>
  </si>
  <si>
    <t>SCREW, INTERFERENCE, 6X30 MM, 1 MM, GUIDEWIRE, STERILE, CANNU-FLEX SILK, LATEX</t>
  </si>
  <si>
    <t>SCREW, INTRF, 6X30 MM, 1 MM, GUIDEWIRE, STRL, CANNFLX SILK, LTX</t>
  </si>
  <si>
    <t>6X30 MM</t>
  </si>
  <si>
    <t>https://www.esutures.com/product/0-in-date/34-smith--nephew/530-drills/46262262-smith--nephew-passing-pin-drill-tip-2.7mm-x-15-014508/, https://accessgudid.nlm.nih.gov/devices/03596010025654</t>
  </si>
  <si>
    <t>014819</t>
  </si>
  <si>
    <t>14819</t>
  </si>
  <si>
    <t>SMITH_014819</t>
  </si>
  <si>
    <t>CANNULATED OBTURATOR 5MM</t>
  </si>
  <si>
    <t>PRODIGO1072474</t>
  </si>
  <si>
    <t>Portal Accessory System 5.0 mm Cannulated Obturator, 1.5 mm cannulation</t>
  </si>
  <si>
    <t>OBTURATOR, ENDOSCOPIC, CANNULATED, 5 MM, 1.5 MM, NON STERILE, LATEX</t>
  </si>
  <si>
    <t>OBTURATOR, ENDOSCP, CANN, 5 MM, 1.5 MM, NS, LTX</t>
  </si>
  <si>
    <t>CANNULATED</t>
  </si>
  <si>
    <t>5 MM</t>
  </si>
  <si>
    <t>http://docs.exhausmed.com/DOCS/SMITHNEPHEW/2012/CATALOGUES/2012_CATALOG_SCREEN.PDF, https://accessgudid.nlm.nih.gov/devices/00885554000870</t>
  </si>
  <si>
    <t>014820</t>
  </si>
  <si>
    <t>14820</t>
  </si>
  <si>
    <t>SMITH_014820</t>
  </si>
  <si>
    <t>CANNULATED OTBURATOR 8mm</t>
  </si>
  <si>
    <t>PRODIGO1072475</t>
  </si>
  <si>
    <t>CANNULATED OTBURATOR 8MM</t>
  </si>
  <si>
    <t>Portal Accessory System 8.0 mm Cannulated Obturator, 1.5 mm cannulation</t>
  </si>
  <si>
    <t>OBTURATOR, ENDOSCOPIC, CANNULATED, 8 MM, 1.5 MM, NON STERILE, LATEX</t>
  </si>
  <si>
    <t>OBTURATOR, ENDOSCP, CANN, 8 MM, 1.5 MM, NS, LTX</t>
  </si>
  <si>
    <t>8 MM</t>
  </si>
  <si>
    <t>http://docs.exhausmed.com/DOCS/SMITHNEPHEW/2012/CATALOGUES/2012_CATALOG_SCREEN.PDF, https://accessgudid.nlm.nih.gov/devices/00885554001334</t>
  </si>
  <si>
    <t>third party</t>
  </si>
  <si>
    <t>224036EA</t>
  </si>
  <si>
    <t>22-4036EA</t>
  </si>
  <si>
    <t>SMITH_224036EA</t>
  </si>
  <si>
    <t>NEEDLE AND SUTURE CAPTURE</t>
  </si>
  <si>
    <t>PRODIGO1072477</t>
  </si>
  <si>
    <t>FIRSTPASS NEEDLE AND SUTURE                                    CAPTURE, 1 EACH</t>
  </si>
  <si>
    <t>FIRSTPASS</t>
  </si>
  <si>
    <t>42312204  Suture boots and capturing devices</t>
  </si>
  <si>
    <t>C2631</t>
  </si>
  <si>
    <t>REPAIR DEVICE, URINARY, INCONTINENCE, WITHOUT SLING GRAFT</t>
  </si>
  <si>
    <t>FIRSTPASS Needle and Suture Capture, Sterile, Single-Use</t>
  </si>
  <si>
    <t>DEVICE, CAPTURING, NEEDLE AND SUTURE, STERILE, FIRSTPASS, LATEX, DISPOSABLE</t>
  </si>
  <si>
    <t>DEVICE, CAPT, NDL &amp; SUTURE, STRL, FIRSTPASS, LTX, DISP</t>
  </si>
  <si>
    <t>CAPTURING</t>
  </si>
  <si>
    <t>NEEDLE AND SUTURE</t>
  </si>
  <si>
    <t>https://www.westcmr.com/22-4036-wb5-22-4036, https://accessgudid.nlm.nih.gov/devices/00817470000894</t>
  </si>
  <si>
    <t>unsourced</t>
  </si>
  <si>
    <t>346237</t>
  </si>
  <si>
    <t>SMITH_346237</t>
  </si>
  <si>
    <t>SCRSFTSLKN/S7X25MM</t>
  </si>
  <si>
    <t>PRODIGO1072478</t>
  </si>
  <si>
    <t>SCREW, INTERFERENCE, 7X25 MM, NON STERILE, SOFTSILK</t>
  </si>
  <si>
    <t>SCREW, INTRF, 7X25 MM, NS, SOFTSILK</t>
  </si>
  <si>
    <t>7X25 MM</t>
  </si>
  <si>
    <t>SOFTSILK</t>
  </si>
  <si>
    <t>url not found</t>
  </si>
  <si>
    <t>346243</t>
  </si>
  <si>
    <t>SMITH_346243</t>
  </si>
  <si>
    <t>SCRSFTSLKN/S 9X25MM</t>
  </si>
  <si>
    <t>PRODIGO1072479</t>
  </si>
  <si>
    <t>SCREW, INTERFERENCE, 9X25 MM, NON STERILE, SOFTSILK</t>
  </si>
  <si>
    <t>SCREW, INTRF, 9X25 MM, NS, SOFTSILK</t>
  </si>
  <si>
    <t>9X25 MM</t>
  </si>
  <si>
    <t>4141</t>
  </si>
  <si>
    <t>SMITH_4141</t>
  </si>
  <si>
    <t>STRAPECTRA(TM)</t>
  </si>
  <si>
    <t>PRODIGO1072480</t>
  </si>
  <si>
    <t>STRAP ECTRA(TM)</t>
  </si>
  <si>
    <t>ECTRA</t>
  </si>
  <si>
    <t>42296401  Endoscope or instrument positioners or holders</t>
  </si>
  <si>
    <t>ECTRA II System Hand Strap</t>
  </si>
  <si>
    <t>STRAP, POSITIONING, HAND, NON STERILE, ECTRA II, LATEX</t>
  </si>
  <si>
    <t>STRAP, POS, HND, NS, ECTRA II, LTX</t>
  </si>
  <si>
    <t>STRAP</t>
  </si>
  <si>
    <t>POSITIONING</t>
  </si>
  <si>
    <t>HAND</t>
  </si>
  <si>
    <t>ECTRA II</t>
  </si>
  <si>
    <t>http://docs.exhausmed.com/DOCS/SMITHNEPHEW/2012/CATALOGUES/2012_CATALOG_SCREEN.PDF, https://accessgudid.nlm.nih.gov/devices/03596010122599</t>
  </si>
  <si>
    <t>4432</t>
  </si>
  <si>
    <t>SMITH_4432</t>
  </si>
  <si>
    <t>OBTURATOR HANDLEECTRA 2</t>
  </si>
  <si>
    <t>PRODIGO1072481</t>
  </si>
  <si>
    <t>SMITHS MEDICAL ASD, INC.</t>
  </si>
  <si>
    <t>Portex</t>
  </si>
  <si>
    <t>42294993  Endoscopic trocar or sheath or obturator or cannula accessories</t>
  </si>
  <si>
    <t>ECTRA II System Detachable Obturator Handle</t>
  </si>
  <si>
    <t>HANDLE, OBTURATOR, DETACHABLE, NON STERILE, ECTRA II, LATEX</t>
  </si>
  <si>
    <t>HANDLE, OBTURATOR, DETACHABLE, NS, ECTRA II, LTX</t>
  </si>
  <si>
    <t>http://docs.exhausmed.com/DOCS/SMITHNEPHEW/2012/CATALOGUES/2012_CATALOG_SCREEN.PDF, https://accessgudid.nlm.nih.gov/devices/03596010129321</t>
  </si>
  <si>
    <t>4433</t>
  </si>
  <si>
    <t>SMITH_4433</t>
  </si>
  <si>
    <t>OBTURATORPROBECONICALECTRII</t>
  </si>
  <si>
    <t>PRODIGO1072482</t>
  </si>
  <si>
    <t>CONICAL OBTURATOR</t>
  </si>
  <si>
    <t>ECTRA II System Conical Obturator</t>
  </si>
  <si>
    <t>OBTURATOR, ENDOSCOPIC, CONICAL, NON STERILE, ECTRA II, LATEX</t>
  </si>
  <si>
    <t>OBTURATOR, ENDOSCP, CONCL, NS, ECTRA II, LTX</t>
  </si>
  <si>
    <t>CONICAL</t>
  </si>
  <si>
    <t>http://docs.exhausmed.com/DOCS/SMITHNEPHEW/2012/CATALOGUES/2012_CATALOG_SCREEN.PDF, https://accessgudid.nlm.nih.gov/devices/03596010129338</t>
  </si>
  <si>
    <t>4434</t>
  </si>
  <si>
    <t>SMITH_4434</t>
  </si>
  <si>
    <t>OBTURATORPROBEBOAT NOSE</t>
  </si>
  <si>
    <t>PRODIGO1072483</t>
  </si>
  <si>
    <t>BOAT NOSE OBTURATOR</t>
  </si>
  <si>
    <t>ECTRA II System Boat Nose Obturator</t>
  </si>
  <si>
    <t>OBTURATOR, ENDOSCOPIC, BOAT NOSE, NON STERILE, ECTRA II, LATEX</t>
  </si>
  <si>
    <t>OBTURATOR, ENDOSCP, BOAT NOSE, NS, ECTRA II, LTX</t>
  </si>
  <si>
    <t>BOAT NOSE</t>
  </si>
  <si>
    <t>http://docs.exhausmed.com/DOCS/SMITHNEPHEW/2012/CATALOGUES/2012_CATALOG_SCREEN.PDF, https://accessgudid.nlm.nih.gov/devices/03596010129345</t>
  </si>
  <si>
    <t>4435</t>
  </si>
  <si>
    <t>SMITH_4435</t>
  </si>
  <si>
    <t>OBTURATORPROBEDISSECTING</t>
  </si>
  <si>
    <t>PRODIGO1072484</t>
  </si>
  <si>
    <t>DISSECTING OBTURATOR</t>
  </si>
  <si>
    <t>ECTRA II System Dissecting Obturator</t>
  </si>
  <si>
    <t>OBTURATOR, ENDOSCOPIC, DISSECTING, NON STERILE, ECTRA II, LATEX</t>
  </si>
  <si>
    <t>OBTURATOR, ENDOSCP, DISECT, NS, ECTRA II, LTX</t>
  </si>
  <si>
    <t>DISSECTING</t>
  </si>
  <si>
    <t>http://docs.exhausmed.com/DOCS/SMITHNEPHEW/2012/CATALOGUES/2012_CATALOG_SCREEN.PDF, https://accessgudid.nlm.nih.gov/devices/03596010129352</t>
  </si>
  <si>
    <t>4447</t>
  </si>
  <si>
    <t>SMITH_4447</t>
  </si>
  <si>
    <t>KNIFE PROBE BOXED SET 6</t>
  </si>
  <si>
    <t>PRODIGO1072485</t>
  </si>
  <si>
    <t>PROBE KNIFE BOX OF 6</t>
  </si>
  <si>
    <t>42294906  Endoscopic cutting instruments</t>
  </si>
  <si>
    <t>Disposable Knives Probe Knife, beige, sterile (6 per box</t>
  </si>
  <si>
    <t>KNIFE, ENDOSCOPIC, PROBE, STERILE, ECTRA II, LATEX, DISPOSABLE</t>
  </si>
  <si>
    <t>KNIFE, ENDOSCP, PRB, STRL, ECTRA II, LTX, DISP</t>
  </si>
  <si>
    <t>KNIFE</t>
  </si>
  <si>
    <t>PROBE</t>
  </si>
  <si>
    <t>http://docs.exhausmed.com/DOCS/SMITHNEPHEW/2012/CATALOGUES/2012_CATALOG_SCREEN.PDF, https://accessgudid.nlm.nih.gov/devices/03596010129390</t>
  </si>
  <si>
    <t>71934989</t>
  </si>
  <si>
    <t>SMITH_71934989</t>
  </si>
  <si>
    <t>RND ENDBTN 1-HOLE SST FOR SZ3/4 STRE LP</t>
  </si>
  <si>
    <t>PRODIGO1072486</t>
  </si>
  <si>
    <t>ROUND ENDOBUTTON 1-HOLE SST FOR                                    SZ3/4 SUTURE LOOP</t>
  </si>
  <si>
    <t>Double ENDOBUTTON</t>
  </si>
  <si>
    <t>42321507  Internal bone fixation sets</t>
  </si>
  <si>
    <t>Glenoid Bone Loss Consumables RND ENDBTN 1-HOLE SST FOR SZ3/4 STRE LP</t>
  </si>
  <si>
    <t>DEVICE, FIXATION, ROUND, 1 HOLE, SST, FOR 3/4 SUTURE LOOP, STERILE, ENDOBUTTON, LATEX</t>
  </si>
  <si>
    <t>DEVICE, FIX, RND, 1 HOLE, SST, FOR 3/4 SUTURE LOOP, STRL, ENDOBUTTON, LTX</t>
  </si>
  <si>
    <t>DEVICE, FIX, RND, 1 HOLE, SST, FOR 3/4 SUTURE LOOP, ENDOBUTTON</t>
  </si>
  <si>
    <t>FIXATION</t>
  </si>
  <si>
    <t>ROUND</t>
  </si>
  <si>
    <t>1 HOLE, SST, FOR 3/4 SUTURE LOOP</t>
  </si>
  <si>
    <t>ENDOBUTTON</t>
  </si>
  <si>
    <t>https://smith-nephew.stylelabs.cloud/api/public/content/fa3137ad490a440499bd45974c995540?v=60796da5&amp;download=true, https://accessgudid.nlm.nih.gov/devices/00885556486146</t>
  </si>
  <si>
    <t>SHO23-24898-V2-InstabilityExcellence-BRO-digital-0423</t>
  </si>
  <si>
    <t>71934990</t>
  </si>
  <si>
    <t>SMITH_71934990</t>
  </si>
  <si>
    <t>ROUND ENDOBUTTON 2-HOLE SS</t>
  </si>
  <si>
    <t>PRODIGO1072487</t>
  </si>
  <si>
    <t>ROUND ENDOBUTTON 2-HOLE SST</t>
  </si>
  <si>
    <t>Glenoid Bone Loss Consumables ROUND ENDOBUTTON 2-HOLE SS</t>
  </si>
  <si>
    <t>DEVICE, FIXATION, ROUND, 2 HOLE, STAINLESS STEEL, STERILE, ENDOBUTTON, LATEX</t>
  </si>
  <si>
    <t>DEVICE, FIX, RND, 2 HOLE, SS, STRL, ENDOBUTTON, LTX</t>
  </si>
  <si>
    <t>2 HOLE</t>
  </si>
  <si>
    <t>https://smith-nephew.stylelabs.cloud/api/public/content/fa3137ad490a440499bd45974c995540?v=60796da5&amp;download=true, https://accessgudid.nlm.nih.gov/devices/00885556486191</t>
  </si>
  <si>
    <t>71934993</t>
  </si>
  <si>
    <t>SMITH_71934993</t>
  </si>
  <si>
    <t>RND ENDBTN POST SST W-SZ3/4 SUTURE LOOP</t>
  </si>
  <si>
    <t>PRODIGO1072488</t>
  </si>
  <si>
    <t>ROUND ENDOBUTTON 2-HOLE WITH POST                                    SST WITH SZ3/4 SUTURE LOOP</t>
  </si>
  <si>
    <t>Glenoid Bone Loss Consumables RND ENDBTN POST SST W-SZ3/4 SUTURE LOOP</t>
  </si>
  <si>
    <t>DEVICE, FIXATION, ROUND, 2 HOLE, WITH POST SST, WITH 3/4 SUTURE LOOP, STERILE, ENDOBUTTON, LATEX</t>
  </si>
  <si>
    <t>DEVICE, FIX, RND, 2 HOLE, W/ POST SST, W/ 3/4 SUTURE LOOP, STRL, ENDOBUTTON, LTX</t>
  </si>
  <si>
    <t>DEVICE, FIX, RND, 2 HOLE, W/ POST SST, 3/4 SUTURE LOOP, ENDOBUTTON</t>
  </si>
  <si>
    <t>2 HOLE, WITH POST SST, WITH 3/4 SUTURE LOOP</t>
  </si>
  <si>
    <t>https://smith-nephew.stylelabs.cloud/api/public/content/fa3137ad490a440499bd45974c995540?v=60796da5&amp;download=true, https://accessgudid.nlm.nih.gov/devices/00885556424544</t>
  </si>
  <si>
    <t>71934994</t>
  </si>
  <si>
    <t>SMITH_71934994</t>
  </si>
  <si>
    <t>LOOP TIP GUIDEWIRE</t>
  </si>
  <si>
    <t>PRODIGO1072489</t>
  </si>
  <si>
    <t>N/A</t>
  </si>
  <si>
    <t>42321501  Surgical wires</t>
  </si>
  <si>
    <t>Loop Tip Guidewire</t>
  </si>
  <si>
    <t>GUIDEWIRE, SURGICAL, LOOP TIP, STERILE, LATEX, DISPOSABLE</t>
  </si>
  <si>
    <t>GUIDEWIRE, SURG, LOOP TIP, STRL, LTX, DISP</t>
  </si>
  <si>
    <t>LOOP TIP</t>
  </si>
  <si>
    <t>https://dokumen.tips/documents/arthroscopic-guided-latarjet-and-bankart-surgical-arthroscopic-guided-latarjet.html?page=16, https://accessgudid.nlm.nih.gov/devices/00885556424599</t>
  </si>
  <si>
    <t>71935024</t>
  </si>
  <si>
    <t>SMITH_71935024</t>
  </si>
  <si>
    <t>ROUND ENDOBUTTON 2-HOLE W/POST SST</t>
  </si>
  <si>
    <t>PRODIGO1072490</t>
  </si>
  <si>
    <t>ROUND ENDOBUTTON 2-HOLE WITH POST SST</t>
  </si>
  <si>
    <t>double ROUND ENDOBUTTON 2-HOLE WITH POST SST</t>
  </si>
  <si>
    <t>DEVICE, FIXATION, ROUND, DOUBLE, 2-HOLE, WITH POST SST, STERILE, ENDOBUTTON, LATEX</t>
  </si>
  <si>
    <t>DEVICE, FIX, RND, DBL, 2-HOLE, W/ POST SST, STRL, ENDOBUTTON, LTX</t>
  </si>
  <si>
    <t>DOUBLE, 2-HOLE, WITH POST SST</t>
  </si>
  <si>
    <t>https://fda.report/GUDID/00885556467640, https://accessgudid.nlm.nih.gov/devices/00885556467640</t>
  </si>
  <si>
    <t>71935042</t>
  </si>
  <si>
    <t>SMITH_71935042</t>
  </si>
  <si>
    <t>RECIPROCATING SAW BLADE</t>
  </si>
  <si>
    <t>PRODIGO1072491</t>
  </si>
  <si>
    <t>Reciprocating Saw Blade 3mm Connection</t>
  </si>
  <si>
    <t>42295211  Surgical powered saw blades</t>
  </si>
  <si>
    <t>BLADE, SAW, RECIPROCATING, 3 MM CONNECTION, REPROCESSED, STERILE, LATEX</t>
  </si>
  <si>
    <t>BLADE, SAW, RECIP, 3 MM CONN, REPROCESSED, STRL, LTX</t>
  </si>
  <si>
    <t>BLADE</t>
  </si>
  <si>
    <t>SAW</t>
  </si>
  <si>
    <t>RECIPROCATING</t>
  </si>
  <si>
    <t>3 MM CONNECTION, REPROCESSED</t>
  </si>
  <si>
    <t>https://smith-nephew.stylelabs.cloud/api/public/content/fa3137ad490a440499bd45974c995540?v=60796da5&amp;download=true, https://accessgudid.nlm.nih.gov/devices/00885556645932</t>
  </si>
  <si>
    <t>SHO23-24898-V2-InstabilityExcellence-BRO-digital-0423 (1)</t>
  </si>
  <si>
    <t>71935043</t>
  </si>
  <si>
    <t>SMITH_71935043</t>
  </si>
  <si>
    <t>STRAIGHT CUT RASP</t>
  </si>
  <si>
    <t>PRODIGO1072492</t>
  </si>
  <si>
    <t>Straight Cut Reciprocating Rasp                                    3mm Connection</t>
  </si>
  <si>
    <t>42291611  Surgical rasps or files</t>
  </si>
  <si>
    <t>Straight Cut Reciprocating Rasp 3mm Connection</t>
  </si>
  <si>
    <t>RASP, SURGICAL, STRAIGHT CUT, 3 MM CONNECTION, REPROCESSED, STERILE, LATEX</t>
  </si>
  <si>
    <t>RASP, SURG, STR CUT, 3 MM CONN, REPROCESSED, STRL, LTX</t>
  </si>
  <si>
    <t>RASP</t>
  </si>
  <si>
    <t>STRAIGHT CUT</t>
  </si>
  <si>
    <t>https://smith-nephew.stylelabs.cloud/api/public/content/fa3137ad490a440499bd45974c995540?v=60796da5&amp;download=true, https://accessgudid.nlm.nih.gov/devices/00885556645949</t>
  </si>
  <si>
    <t>71935444</t>
  </si>
  <si>
    <t>SMITH_71935444</t>
  </si>
  <si>
    <t>10DEG OFFSET DRILL GUIDE 5MM</t>
  </si>
  <si>
    <t>PRODIGO1072493</t>
  </si>
  <si>
    <t>Mini-Open Latarjet</t>
  </si>
  <si>
    <t>42295207  Surgical drill guides or sleeves</t>
  </si>
  <si>
    <t>Mini-Open Latarjet 10DEG OFFSET DRILL GUIDE 5MM</t>
  </si>
  <si>
    <t>GUIDE, DRILL, 10 DEGREE, 5 MM, MINI-OPEN LATARJET, NON STERILE, LATEX</t>
  </si>
  <si>
    <t>GUIDE, DRL, 10 DEG, 5 MM, MINI-OPEN LATARJET, NS, LTX</t>
  </si>
  <si>
    <t>DRILL</t>
  </si>
  <si>
    <t>10 DEGREE</t>
  </si>
  <si>
    <t>MINI-OPEN LATARJET</t>
  </si>
  <si>
    <t>https://accessgudid.nlm.nih.gov/devices/00885556659618</t>
  </si>
  <si>
    <t>71935603</t>
  </si>
  <si>
    <t>SMITH_71935603</t>
  </si>
  <si>
    <t>XTENDOBUTTON Round LG 21 DIA 10 peg</t>
  </si>
  <si>
    <t>PRODIGO1072495</t>
  </si>
  <si>
    <t>XTENDOBUTTON Round Large 21 mm DIA                                    10 mm peg</t>
  </si>
  <si>
    <t>XTENDOBUTTON</t>
  </si>
  <si>
    <t>XTENDOBUTTON Round Large 21 mm DIA 10 mm peg</t>
  </si>
  <si>
    <t>BUTTON, FIXATION, ROUND, LARGE, 21 MM, 10 MM, PEG, STERILE, XTENDOBUTTON, LATEX</t>
  </si>
  <si>
    <t>BUTTON, FIX, RND, LG, 21 MM, 10 MM, PEG, STRL, XTENDOBUTTON, LTX</t>
  </si>
  <si>
    <t>BUTTON</t>
  </si>
  <si>
    <t>21 MM</t>
  </si>
  <si>
    <t>10 MM</t>
  </si>
  <si>
    <t>PEG</t>
  </si>
  <si>
    <t>https://accessgudid.nlm.nih.gov/devices/00885556702710</t>
  </si>
  <si>
    <t>71935605</t>
  </si>
  <si>
    <t>SMITH_71935605</t>
  </si>
  <si>
    <t>XTENDOBUTTON Oval MD 11 x 18mm 7.5 peg</t>
  </si>
  <si>
    <t>PRODIGO1072497</t>
  </si>
  <si>
    <t>XTENDOBUTTON Oval Medium 11 mm x                                    18 mm 7.5 mm peg</t>
  </si>
  <si>
    <t>XTENDOBUTTON Oval Medium 11 mm x 18 mm 7.5 mm peg</t>
  </si>
  <si>
    <t>BUTTON, FIXATION, OVAL, MEDIUM, 11X18 MM, 7.5 MM, PEG, STERILE, XTENDOBUTTON, LATEX</t>
  </si>
  <si>
    <t>BUTTON, FIX, OVL, MED, 11X18 MM, 7.5 MM, PEG, STRL, XTENDOBUTTON, LTX</t>
  </si>
  <si>
    <t>OVAL</t>
  </si>
  <si>
    <t>11X18 MM</t>
  </si>
  <si>
    <t>https://accessgudid.nlm.nih.gov/devices/00885556702734</t>
  </si>
  <si>
    <t>71935606</t>
  </si>
  <si>
    <t>SMITH_71935606</t>
  </si>
  <si>
    <t>XTENDOBUTTON Oval LG 15 x 21mm 10 peg</t>
  </si>
  <si>
    <t>PRODIGO1072498</t>
  </si>
  <si>
    <t>XTENDOBUTTON Oval Large 15 mm x 21                                    mm 10 mm peg</t>
  </si>
  <si>
    <t>XTENDOBUTTON Oval Large 15 mm x 21 mm 10 mm peg</t>
  </si>
  <si>
    <t>BUTTON, FIXATION, OVAL, LARGE, 15X21 MM, 10 MM, PEG, STERILE, XTENDOBUTTON, LATEX</t>
  </si>
  <si>
    <t>BUTTON, FIX, OVL, LG, 15X21 MM, 10 MM, PEG, STRL, XTENDOBUTTON, LTX</t>
  </si>
  <si>
    <t>15X21 MM</t>
  </si>
  <si>
    <t>https://accessgudid.nlm.nih.gov/devices/00885556702741</t>
  </si>
  <si>
    <t>7205440</t>
  </si>
  <si>
    <t>SMITH_7205440</t>
  </si>
  <si>
    <t>E/S SWITCHPEN (5/BOX) (CE/ )</t>
  </si>
  <si>
    <t>PRODIGO1072499</t>
  </si>
  <si>
    <t>42295143  Electrosurgical or electrocautery accessories or attachments</t>
  </si>
  <si>
    <t>Switchpen, monopolar, leakproof, anti-rotating interface allows electrode positioning in eight fixed orientations, for use with REF 7205774, 7205443, 7205442 and 7205441 (5 per box)</t>
  </si>
  <si>
    <t>SWITCHPEN, ELECTROSURGICAL, INSULATED, MONOPOLAR, LEAKPROOF, ANTI-ROTATING, STERILE, LATEX</t>
  </si>
  <si>
    <t>SWITCHPEN, ELECSURG, INSUL, MONOPOLAR, LEAKPROOF, ANTI-ROTATING, STRL, LTX</t>
  </si>
  <si>
    <t>SWITCHPEN, ELECSURG, INSUL, MONOPOLAR, LEAKPROOF, ANTI-ROTATING</t>
  </si>
  <si>
    <t>SWITCHPEN</t>
  </si>
  <si>
    <t>ELECTROSURGICAL</t>
  </si>
  <si>
    <t>INSULATED</t>
  </si>
  <si>
    <t>MONOPOLAR, LEAKPROOF, ANTI-ROTATING</t>
  </si>
  <si>
    <t>http://docs.exhausmed.com/DOCS/SMITHNEPHEW/2012/CATALOGUES/2012_CATALOG_SCREEN.PDF, https://accessgudid.nlm.nih.gov/devices/03596010252197</t>
  </si>
  <si>
    <t>7205443</t>
  </si>
  <si>
    <t>SMITH_7205443</t>
  </si>
  <si>
    <t>E/S ELECTRODE90DEG BL(10BX)</t>
  </si>
  <si>
    <t>PRODIGO1072500</t>
  </si>
  <si>
    <t>E/S ELECTRODE 90DEG BL (10BX)</t>
  </si>
  <si>
    <t>42295104  Electrosurgical or electrocautery equipment</t>
  </si>
  <si>
    <t>Electrode, 90° flat tip, 170 mm working length, for use with REF 7205440 Switchpen or standard Valleylab Switchpen (10 per box)</t>
  </si>
  <si>
    <t>ELECTRODE, ELECTROSURGICAL, 170 MM, 90 DEGREE FLAT TIP, USE WITH SWITCHPEN, STERILE, LATEX</t>
  </si>
  <si>
    <t>ELECTRODE, ELECSURG, 170 MM, 90 DEG FLAT TIP, USE W/ SWITCHPEN, STRL, LTX</t>
  </si>
  <si>
    <t>ELECTRODE, ELECSURG, 170 MM, 90 DEG FLAT TIP, USE W/ SWITCHPEN</t>
  </si>
  <si>
    <t>ELECTRODE</t>
  </si>
  <si>
    <t>170 MM</t>
  </si>
  <si>
    <t>90 DEGREE FLAT TIP, USE WITH SWITCHPEN</t>
  </si>
  <si>
    <t>http://docs.exhausmed.com/DOCS/SMITHNEPHEW/2012/CATALOGUES/2012_CATALOG_SCREEN.PDF, https://accessgudid.nlm.nih.gov/devices/03596010252227</t>
  </si>
  <si>
    <t>7205539</t>
  </si>
  <si>
    <t>SMITH_7205539</t>
  </si>
  <si>
    <t>NDL.SUT.DBL ARM NO. 2</t>
  </si>
  <si>
    <t>PRODIGO1072501</t>
  </si>
  <si>
    <t>42312206  Suture needles</t>
  </si>
  <si>
    <t>ACUFEX Double-Armed Suture Needles (2 needles), USP 2, 36 in (91 cm)</t>
  </si>
  <si>
    <t>NEEDLE, SUTURE, DOUBLE ARMED, 2, 36 IN, STERILE, ACUFEX, DISPOSABLE</t>
  </si>
  <si>
    <t>NEEDLE, SUTURE, DA, 2, 36 IN, STRL, ACUFEX, DISP</t>
  </si>
  <si>
    <t>SUTURE</t>
  </si>
  <si>
    <t>DOUBLE ARMED</t>
  </si>
  <si>
    <t>2</t>
  </si>
  <si>
    <t>ACUFEX</t>
  </si>
  <si>
    <t>http://docs.exhausmed.com/DOCS/SMITHNEPHEW/2012/CATALOGUES/2012_CATALOG_SCREEN.PDF</t>
  </si>
  <si>
    <t>7205649</t>
  </si>
  <si>
    <t>SMITH_7205649</t>
  </si>
  <si>
    <t>SOFTSILK 2.0 SCR 7X20 IN CANN LTX FREE</t>
  </si>
  <si>
    <t>PRODIGO1072505</t>
  </si>
  <si>
    <t>7 X 20 MM SOFTSILK 2.0 SCREW                                    CANNULA LATEX FREE. SHEATED IN CLEAR-TRAC</t>
  </si>
  <si>
    <t>SOFTSILK 2.0 Fixation Screws Titanium, 2 mm cannulation, round head, corkscrew tip, soft threads, sterile. Sheathed in CLEAR-TRAC Screw Cannula latex-free 7 x 20 mm SOFTSILK 2.0</t>
  </si>
  <si>
    <t>SCREW, INTERFERENCE, CANNULATED, 7X20 MM, 2 MM, ROUND HEAD, CORKSCREW TIP, SOFT THREADS, TITANIUM, STERILE, SOFTSILK, CLEAR-TRAC, LATEX-FREE</t>
  </si>
  <si>
    <t>SCREW, INTRF, CANN, 7X20 MM, 2 MM, RND HD, CRKSCR TIP, SFT THREADS, TI, STRL, SOFTSILK, CLEAR-TRAC, LF</t>
  </si>
  <si>
    <t>SCREW, INTRF, CANN, 7X20 MM, 2 MM, RND HD, SOFTSILK, CLEAR-TRAC</t>
  </si>
  <si>
    <t>7X20 MM</t>
  </si>
  <si>
    <t>2 MM</t>
  </si>
  <si>
    <t>ROUND HEAD, CORKSCREW TIP, SOFT THREADS</t>
  </si>
  <si>
    <t>TITANIUM</t>
  </si>
  <si>
    <t>SOFTSILK, CLEAR-TRAC</t>
  </si>
  <si>
    <t>http://docs.exhausmed.com/DOCS/SMITHNEPHEW/2012/CATALOGUES/2012_CATALOG_SCREEN.PDF, https://accessgudid.nlm.nih.gov/devices/03596010375032</t>
  </si>
  <si>
    <t>7205650</t>
  </si>
  <si>
    <t>SMITH_7205650</t>
  </si>
  <si>
    <t>SOFTSILK SCR 2.0 7X25 IN CANN LTX FREE</t>
  </si>
  <si>
    <t>PRODIGO1072506</t>
  </si>
  <si>
    <t>7 X 25 MM SOFTSILK 2.0 SCREW                                    CANNULA LATEX FREE. SHEATED IN CLEAR-TRAC</t>
  </si>
  <si>
    <t>SOFTSILK 2.0 Fixation Screws Titanium, 2 mm cannulation, round head, corkscrew tip, soft threads, sterile. Sheathed in CLEAR-TRAC Screw Cannula latex-free 7 x 25 mm SOFTSILK 2.0</t>
  </si>
  <si>
    <t>SCREW, INTERFERENCE, CANNULATED, 7X25 MM, 2 MM, ROUND HEAD, CORKSCREW TIP, SOFT THREADS, TITANIUM, STERILE, SOFTSILK, CLEAR-TRAC, LATEX-FREE</t>
  </si>
  <si>
    <t>SCREW, INTRF, CANN, 7X25 MM, 2 MM, RND HD, CRKSCR TIP, SFT THREADS, TI, STRL, SOFTSILK, CLEAR-TRAC, LF</t>
  </si>
  <si>
    <t>SCREW, INTRF, CANN, 7X25 MM, 2 MM, RND HD, SOFTSILK, CLEAR-TRAC</t>
  </si>
  <si>
    <t>http://docs.exhausmed.com/DOCS/SMITHNEPHEW/2012/CATALOGUES/2012_CATALOG_SCREEN.PDF, https://accessgudid.nlm.nih.gov/devices/03596010375049</t>
  </si>
  <si>
    <t>7205651</t>
  </si>
  <si>
    <t>SMITH_7205651</t>
  </si>
  <si>
    <t>SOFTSILK 2.0 SCR 7X30 IN CANN LTX FREE</t>
  </si>
  <si>
    <t>PRODIGO1072507</t>
  </si>
  <si>
    <t>7 X 30 MM SOFTSILK 2.0 SCREW                                    CANNULA LATEX FREE. SHEATED IN CLEAR-TRAC</t>
  </si>
  <si>
    <t>SOFTSILK 2.0 Fixation Screws Titanium, 2 mm cannulation, round head, corkscrew tip, soft threads, sterile. Sheathed in CLEAR-TRAC Screw Cannula latex-free 7 x 30 mm SOFTSILK 2.0</t>
  </si>
  <si>
    <t>SCREW, INTERFERENCE, CANNULATED, 7X30 MM, 2 MM, ROUND HEAD, CORKSCREW TIP, SOFT THREADS, TITANIUM, STERILE, SOFTSILK, CLEAR-TRAC, LATEX-FREE</t>
  </si>
  <si>
    <t>SCREW, INTRF, CANN, 7X30 MM, 2 MM, RND HD, CRKSCR TIP, SFT THREADS, TI, STRL, SOFTSILK, CLEAR-TRAC, LF</t>
  </si>
  <si>
    <t>SCREW, INTRF, CANN, 7X30 MM, 2 MM, RND HD, SOFTSILK, CLEAR-TRAC</t>
  </si>
  <si>
    <t>http://docs.exhausmed.com/DOCS/SMITHNEPHEW/2012/CATALOGUES/2012_CATALOG_SCREEN.PDF, https://accessgudid.nlm.nih.gov/devices/03596010375056</t>
  </si>
  <si>
    <t>7205652</t>
  </si>
  <si>
    <t>SMITH_7205652</t>
  </si>
  <si>
    <t>SOFTSILK 2.0 SCR 8X20 IN CANN LTX FREE</t>
  </si>
  <si>
    <t>PRODIGO1072508</t>
  </si>
  <si>
    <t>8 X 20 MM SOFTSILK 2.0 SCREW                                    CANNULA LATEX FREE. SHEATED IN CLEAR-TRAC</t>
  </si>
  <si>
    <t>SOFTSILK 2.0 Fixation Screws Titanium, 2 mm cannulation, round head, corkscrew tip, soft threads, sterile. Sheathed in CLEAR-TRAC Screw Cannula latex-free 8 x 20 mm SOFTSILK 2.0</t>
  </si>
  <si>
    <t>SCREW, INTERFERENCE, CANNULATED, 8X20 MM, 2 MM, ROUND HEAD, CORKSCREW TIP, SOFT THREADS, TITANIUM, STERILE, SOFTSILK, CLEAR-TRAC, LATEX-FREE</t>
  </si>
  <si>
    <t>SCREW, INTRF, CANN, 8X20 MM, 2 MM, RND HD, CRKSCR TIP, SFT THREADS, TI, STRL, SOFTSILK, CLEAR-TRAC, LF</t>
  </si>
  <si>
    <t>SCREW, INTRF, CANN, 8X20 MM, 2 MM, RND HD, SOFTSILK, CLEAR-TRAC</t>
  </si>
  <si>
    <t>8X20 MM</t>
  </si>
  <si>
    <t>http://docs.exhausmed.com/DOCS/SMITHNEPHEW/2012/CATALOGUES/2012_CATALOG_SCREEN.PDF, https://accessgudid.nlm.nih.gov/devices/03596010375063</t>
  </si>
  <si>
    <t>7205653</t>
  </si>
  <si>
    <t>SMITH_7205653</t>
  </si>
  <si>
    <t>SOFTSILK 2.0 SCR 8X25 IN CANN LTX FREE</t>
  </si>
  <si>
    <t>PRODIGO1072509</t>
  </si>
  <si>
    <t>8 X 25 MM SOFTSILK 2.0 SCREW                                    CANNULA LATEX FREE. SHEATED IN CLEAR-TRAC</t>
  </si>
  <si>
    <t>SOFTSILK 2.0 Fixation Screws Titanium, 2 mm cannulation, round head, corkscrew tip, soft threads, sterile. Sheathed in CLEAR-TRAC Screw Cannula latex-free 8 x 25 mm SOFTSILK 2.0</t>
  </si>
  <si>
    <t>SCREW, INTERFERENCE, CANNULATED, 8X25 MM, 2 MM, ROUND HEAD, CORKSCREW TIP, SOFT THREADS, TITANIUM, STERILE, SOFTSILK, CLEAR-TRAC, LATEX-FREE</t>
  </si>
  <si>
    <t>SCREW, INTRF, CANN, 8X25 MM, 2 MM, RND HD, CRKSCR TIP, SFT THREADS, TI, STRL, SOFTSILK, CLEAR-TRAC, LF</t>
  </si>
  <si>
    <t>SCREW, INTRF, CANN, 8X25 MM, 2 MM, RND HD, SOFTSILK, CLEAR-TRAC</t>
  </si>
  <si>
    <t>8X25 MM</t>
  </si>
  <si>
    <t>http://docs.exhausmed.com/DOCS/SMITHNEPHEW/2012/CATALOGUES/2012_CATALOG_SCREEN.PDF, https://accessgudid.nlm.nih.gov/devices/03596010375070</t>
  </si>
  <si>
    <t>7205654</t>
  </si>
  <si>
    <t>SMITH_7205654</t>
  </si>
  <si>
    <t>SOFTSILK 2.0 SCR 8X30 IN CANN LTX FREE</t>
  </si>
  <si>
    <t>PRODIGO1072510</t>
  </si>
  <si>
    <t>8 X 30 MM SOFTSILK 2.0 SCREW                                    CANNULA LATEX FREE. SHEATED IN CLEAR-TRAC</t>
  </si>
  <si>
    <t>SOFTSILK 2.0 Fixation Screws Titanium, 2 mm cannulation, round head, corkscrew tip, soft threads, sterile. Sheathed in CLEAR-TRAC Screw Cannula latex-free 8 x 30 mm SOFTSILK 2.0</t>
  </si>
  <si>
    <t>SCREW, INTERFERENCE, CANNULATED, 8X30 MM, 2 MM, ROUND HEAD, CORKSCREW TIP, SOFT THREADS, TITANIUM, STERILE, SOFTSILK, CLEAR-TRAC, LATEX-FREE</t>
  </si>
  <si>
    <t>SCREW, INTRF, CANN, 8X30 MM, 2 MM, RND HD, CRKSCR TIP, SFT THREADS, TI, STRL, SOFTSILK, CLEAR-TRAC, LF</t>
  </si>
  <si>
    <t>SCREW, INTRF, CANN, 8X30 MM, 2 MM, RND HD, SOFTSILK, CLEAR-TRAC</t>
  </si>
  <si>
    <t>8X30 MM</t>
  </si>
  <si>
    <t>http://docs.exhausmed.com/DOCS/SMITHNEPHEW/2012/CATALOGUES/2012_CATALOG_SCREEN.PDF, https://accessgudid.nlm.nih.gov/devices/03596010375087</t>
  </si>
  <si>
    <t>7205655</t>
  </si>
  <si>
    <t>SMITH_7205655</t>
  </si>
  <si>
    <t>SOFTSILK 2.0 SCR 9X20 IN CANN LTX FREE</t>
  </si>
  <si>
    <t>PRODIGO1072511</t>
  </si>
  <si>
    <t>9 X 20 MM SOFTSILK 2.0 SCREW                                    CANNULA LATEX FREE. SHEATED IN CLEAR-TRAC</t>
  </si>
  <si>
    <t>SOFTSILK 2.0 Fixation Screws Titanium, 2 mm cannulation, round head, corkscrew tip, soft threads, sterile. Sheathed in CLEAR-TRAC Screw Cannula latex-free 9 x 20 mm SOFTSILK 2.0</t>
  </si>
  <si>
    <t>SCREW, INTERFERENCE, CANNULATED, 9X20 MM, 2 MM, ROUND HEAD, CORKSCREW TIP, SOFT THREADS, TITANIUM, STERILE, SOFTSILK, CLEAR-TRAC, LATEX-FREE</t>
  </si>
  <si>
    <t>SCREW, INTRF, CANN, 9X20 MM, 2 MM, RND HD, CRKSCR TIP, SFT THREADS, TI, STRL, SOFTSILK, CLEAR-TRAC, LF</t>
  </si>
  <si>
    <t>SCREW, INTRF, CANN, 9X20 MM, 2 MM, RND HD, SOFTSILK, CLEAR-TRAC</t>
  </si>
  <si>
    <t>9X20 MM</t>
  </si>
  <si>
    <t>http://docs.exhausmed.com/DOCS/SMITHNEPHEW/2012/CATALOGUES/2012_CATALOG_SCREEN.PDF, https://accessgudid.nlm.nih.gov/devices/03596010375094</t>
  </si>
  <si>
    <t>7205656</t>
  </si>
  <si>
    <t>SMITH_7205656</t>
  </si>
  <si>
    <t>SOFTSILK 2.0 SCR 9X25 IN CANN LTX FREE</t>
  </si>
  <si>
    <t>PRODIGO1072512</t>
  </si>
  <si>
    <t>9 X 25 MM SOFTSILK 2.0 SCREW                                    CANNULA LATEX FREE. SHEATED IN CLEAR-TRAC</t>
  </si>
  <si>
    <t>SOFTSILK 2.0 Fixation Screws Titanium, 2 mm cannulation, round head, corkscrew tip, soft threads, sterile. Sheathed in CLEAR-TRAC Screw Cannula latex-free 9 x 25 mm SOFTSILK 2.0</t>
  </si>
  <si>
    <t>SCREW, INTERFERENCE, CANNULATED, 9X25 MM, 2 MM, ROUND HEAD, CORKSCREW TIP, SOFT THREADS, TITANIUM, STERILE, SOFTSILK, CLEAR-TRAC, LATEX-FREE</t>
  </si>
  <si>
    <t>SCREW, INTRF, CANN, 9X25 MM, 2 MM, RND HD, CRKSCR TIP, SFT THREADS, TI, STRL, SOFTSILK, CLEAR-TRAC, LF</t>
  </si>
  <si>
    <t>SCREW, INTRF, CANN, 9X25 MM, 2 MM, RND HD, SOFTSILK, CLEAR-TRAC</t>
  </si>
  <si>
    <t>http://docs.exhausmed.com/DOCS/SMITHNEPHEW/2012/CATALOGUES/2012_CATALOG_SCREEN.PDF, https://accessgudid.nlm.nih.gov/devices/03596010375100</t>
  </si>
  <si>
    <t>7205657</t>
  </si>
  <si>
    <t>SMITH_7205657</t>
  </si>
  <si>
    <t>SILK 2.0 SCR 9X30 IN CANN LTX FREE</t>
  </si>
  <si>
    <t>PRODIGO1072513</t>
  </si>
  <si>
    <t>9 X 30 MM SOFTSILK 2.0 SCREW, WITH                                    CLEAR-TRAC SCREW CANNULA LATEX FREE</t>
  </si>
  <si>
    <t>SOFTSILK 2.0 Fixation Screws Titanium, 2 mm cannulation, round head, corkscrew tip, soft threads, sterile. Sheathed in CLEAR-TRAC Screw Cannula latex-free 9 x 30 mm SOFTSILK 2.0</t>
  </si>
  <si>
    <t>SCREW, INTERFERENCE, CANNULATED, 9X30 MM, 2 MM, ROUND HEAD, CORKSCREW TIP, SOFT THREADS, TITANIUM, STERILE, SOFTSILK, CLEAR-TRAC, LATEX</t>
  </si>
  <si>
    <t>SCREW, INTRF, CANN, 9X30 MM, 2 MM, RND HD, CRKSCR TIP, SFT THREADS, TI, STRL, SOFTSILK, CLEAR-TRAC, LTX</t>
  </si>
  <si>
    <t>SCREW, INTRF, CANN, 9X30 MM, 2 MM, RND HD, SOFTSILK, CLEAR-TRAC</t>
  </si>
  <si>
    <t>9X30 MM</t>
  </si>
  <si>
    <t>http://docs.exhausmed.com/DOCS/SMITHNEPHEW/2012/CATALOGUES/2012_CATALOG_SCREEN.PDF, https://accessgudid.nlm.nih.gov/devices/03596010375117</t>
  </si>
  <si>
    <t>size vary from site</t>
  </si>
  <si>
    <t>7205659</t>
  </si>
  <si>
    <t>SMITH_7205659</t>
  </si>
  <si>
    <t>CNFLX 2.0 GDE WIRE .078 DIA.</t>
  </si>
  <si>
    <t>PRODIGO1072514</t>
  </si>
  <si>
    <t>CANNU-FLEX SCREW GUIDE WIRE, 2 MM                                    X 12 INCH 30 CM, BLUNT TIP, STERILE</t>
  </si>
  <si>
    <t>CANNU-FLEX</t>
  </si>
  <si>
    <t>Screw Guide Wires Single use, includes 20 mm, 25 mm, and 30 mm calibration marks to assist in screw placement (6 per package) CANNU-FLEX Screw Guide Wire, 2 mm x 12 in (30 cm) Sterile</t>
  </si>
  <si>
    <t>GUIDEWIRE, ORTHOPEDIC, BLUNT TIP, 2 MMX12 IN, SCREW, STERILE, CANNU-FLEX, LATEX</t>
  </si>
  <si>
    <t>GUIDEWIRE, ORTHOPEDIC, BLNT TIP, 2 MMX12 IN, SCREW, STRL, CANNFLX, LTX</t>
  </si>
  <si>
    <t>GUIDEWIRE, ORTHOPEDIC, BLNT TIP, 2 MMX12 IN, SCREW, STRL, CANNFLX</t>
  </si>
  <si>
    <t>ORTHOPEDIC</t>
  </si>
  <si>
    <t>BLUNT TIP</t>
  </si>
  <si>
    <t>2 MMX12 IN</t>
  </si>
  <si>
    <t>http://docs.exhausmed.com/DOCS/SMITHNEPHEW/2012/CATALOGUES/2012_CATALOG_SCREEN.PDF, https://accessgudid.nlm.nih.gov/devices/03596010375124</t>
  </si>
  <si>
    <t>7207030</t>
  </si>
  <si>
    <t>SMITH_7207030</t>
  </si>
  <si>
    <t>SCREWRCI7x25mm STRL.</t>
  </si>
  <si>
    <t>PRODIGO1072515</t>
  </si>
  <si>
    <t>7 X 25 MM RCI SCREW WITH 8 MM HEAD                                    2.0 MM CANNULATION. STERILE, 1 PER BOX</t>
  </si>
  <si>
    <t>2.0 mm Cannulation RCI Screws Titanium, 2.0 mm cannulation, blunt threads. Standard and enlarged heads. Sterile, 1 per box. 7 x 25 mm RCI Screw with 8 mm head</t>
  </si>
  <si>
    <t>SCREW, INTERFERENCE, CANNULATED, 7X25 MM, 2 MM, WITH 8 MM HEAD, BLUNT THREADS, STANDARD AND ENLARGED HEAD, TITANIUM, STERILE, RCI, LATEX</t>
  </si>
  <si>
    <t>SCREW, INTRF, CANN, 7X25 MM, 2 MM, W/ 8 MM HD, BLNT THREADS, STD &amp; ENLARGED HD, TI, STRL, RCI, LTX</t>
  </si>
  <si>
    <t>SCREW, INTRF, CANN, 7X25 MM, 2 MM, W/ 8 MM HD, BLNT THREADS, RCI</t>
  </si>
  <si>
    <t>WITH 8 MM HEAD, BLUNT THREADS, STANDARD AND ENLARGED HEAD</t>
  </si>
  <si>
    <t>RCI</t>
  </si>
  <si>
    <t>http://docs.exhausmed.com/DOCS/SMITHNEPHEW/2012/CATALOGUES/2012_CATALOG_SCREEN.PDF, https://accessgudid.nlm.nih.gov/devices/03596010252821</t>
  </si>
  <si>
    <t>7207247</t>
  </si>
  <si>
    <t>SMITH_7207247</t>
  </si>
  <si>
    <t>SCRRCI 7x25 REVERSE</t>
  </si>
  <si>
    <t>PRODIGO1072517</t>
  </si>
  <si>
    <t>7 X 25 MM RCI SCREW REVERSE THREAD                                    2.0 MM CANNULATION. STERILE, 1 PER BOX.</t>
  </si>
  <si>
    <t>2.0 mm Cannulation RCI Screws Titanium, 2.0 mm cannulation, blunt threads. Standard and enlarged heads. Sterile, 1 per box. 7 x 25 mm RCI Screw reverse thread</t>
  </si>
  <si>
    <t>SCREW, INTERFERENCE, CANNULATED, 7X25 MM, 2 MM, REVERSE THREAD, BLUNT THREADS, STANDARD AND ENLARGED HEAD, TITANIUM, STERILE, RCI, LATEX</t>
  </si>
  <si>
    <t>SCREW, INTRF, CANN, 7X25 MM, 2 MM, RVS THRD, BLNT THREADS, STD &amp; ENLARGED HD, TI, STRL, RCI, LTX</t>
  </si>
  <si>
    <t>SCREW, INTRF, CANN, 7X25 MM, 2 MM, RVS THRD, BLNT THREADS, RCI</t>
  </si>
  <si>
    <t>REVERSE THREAD, BLUNT THREADS, STANDARD AND ENLARGED HEAD</t>
  </si>
  <si>
    <t>http://docs.exhausmed.com/DOCS/SMITHNEPHEW/2012/CATALOGUES/2012_CATALOG_SCREEN.PDF, https://accessgudid.nlm.nih.gov/devices/03596010375346</t>
  </si>
  <si>
    <t>7207248</t>
  </si>
  <si>
    <t>SMITH_7207248</t>
  </si>
  <si>
    <t>SCRRCI 8x25 STER</t>
  </si>
  <si>
    <t>PRODIGO1072518</t>
  </si>
  <si>
    <t>8 X 25 MM RCI SCREW 2.0 MM                                    CANNULATION. STERILE, 1 PER BOX</t>
  </si>
  <si>
    <t>2.0 mm Cannulation RCI Screws Titanium, 2.0 mm cannulation, blunt threads. Standard and enlarged heads. Sterile, 1 per box. 8 x 25 mm RCI Screw</t>
  </si>
  <si>
    <t>SCREW, INTERFERENCE, CANNULATED, 8X25 MM, 2 MM, BLUNT THREADS, STANDARD AND ENLARGED HEAD, TITANIUM, STERILE, RCI, LATEX</t>
  </si>
  <si>
    <t>SCREW, INTRF, CANN, 8X25 MM, 2 MM, BLNT THREADS, STD &amp; ENLARGED HD, TI, STRL, RCI, LTX</t>
  </si>
  <si>
    <t>SCREW, INTRF, CANN, 8X25 MM, 2 MM, BLNT THREADS, ENLARGED HD, RCI</t>
  </si>
  <si>
    <t>BLUNT THREADS, STANDARD AND ENLARGED HEAD</t>
  </si>
  <si>
    <t>http://docs.exhausmed.com/DOCS/SMITHNEPHEW/2012/CATALOGUES/2012_CATALOG_SCREEN.PDF, https://accessgudid.nlm.nih.gov/devices/03596010375353</t>
  </si>
  <si>
    <t>7207249</t>
  </si>
  <si>
    <t>SMITH_7207249</t>
  </si>
  <si>
    <t>SCRRCI 8x40 STER</t>
  </si>
  <si>
    <t>PRODIGO1072519</t>
  </si>
  <si>
    <t>8 X 40 MM RCI SCREW 2.0 MM                                    CANNULATION. STERILE, 1 PER BOX</t>
  </si>
  <si>
    <t>2.0 mm Cannulation RCI Screws Titanium, 2.0 mm cannulation, blunt threads. Standard and enlarged heads. Sterile, 1 per box. 8 x 40 mm RCI Screw</t>
  </si>
  <si>
    <t>SCREW, INTERFERENCE, CANNULATED, 8X40 MM, 2 MM, BLUNT THREADS, STANDARD AND ENLARGED HEAD, TITANIUM, STERILE, RCI, LATEX</t>
  </si>
  <si>
    <t>SCREW, INTRF, CANN, 8X40 MM, 2 MM, BLNT THREADS, STD &amp; ENLARGED HD, TI, STRL, RCI, LTX</t>
  </si>
  <si>
    <t>SCREW, INTRF, CANN, 8X40 MM, 2 MM, BLNT THREADS, ENLARGED HD, RCI</t>
  </si>
  <si>
    <t>8X40 MM</t>
  </si>
  <si>
    <t>http://docs.exhausmed.com/DOCS/SMITHNEPHEW/2012/CATALOGUES/2012_CATALOG_SCREEN.PDF, https://accessgudid.nlm.nih.gov/devices/03596010375360</t>
  </si>
  <si>
    <t>7207250</t>
  </si>
  <si>
    <t>SMITH_7207250</t>
  </si>
  <si>
    <t>SCRRCI7x40 STER</t>
  </si>
  <si>
    <t>PRODIGO1072520</t>
  </si>
  <si>
    <t>7 X 40 MM RCI SCREW 2.0 MM                                    CANNULATION. STERILE, 1 PER BOX</t>
  </si>
  <si>
    <t>2.0 mm Cannulation RCI Screws Titanium, 2.0 mm cannulation, blunt threads. Standard and enlarged heads. Sterile, 1 per box. 7 x 40 mm RCI Screw</t>
  </si>
  <si>
    <t>SCREW, INTERFERENCE, CANNULATED, 7X40 MM, 2 MM, BLUNT THREADS, STANDARD AND ENLARGED HEAD, TITANIUM, STERILE, RCI, LATEX</t>
  </si>
  <si>
    <t>SCREW, INTRF, CANN, 7X40 MM, 2 MM, BLNT THREADS, STD &amp; ENLARGED HD, TI, STRL, RCI, LTX</t>
  </si>
  <si>
    <t>SCREW, INTRF, CANN, 7X40 MM, 2 MM, BLNT THREADS, ENLARGED HD, RCI</t>
  </si>
  <si>
    <t>7X40 MM</t>
  </si>
  <si>
    <t>http://docs.exhausmed.com/DOCS/SMITHNEPHEW/2012/CATALOGUES/2012_CATALOG_SCREEN.PDF, https://accessgudid.nlm.nih.gov/devices/03596010375377</t>
  </si>
  <si>
    <t>7207301</t>
  </si>
  <si>
    <t>SMITH_7207301</t>
  </si>
  <si>
    <t>SCRRCI 9x25 STER</t>
  </si>
  <si>
    <t>PRODIGO1072521</t>
  </si>
  <si>
    <t>9 x 25 MM RCI SCREW 2.0 MM                                    CANNULATION. STERILE, 1 PER BOX</t>
  </si>
  <si>
    <t>2.0 mm Cannulation RCI Screws Titanium, 2.0 mm cannulation, blunt threads. Standard and enlarged heads. Sterile, 1 per box. 9 x 25 mm RCI Screw</t>
  </si>
  <si>
    <t>SCREW, INTERFERENCE, CANNULATED, 9X25 MM, 2 MM, BLUNT THREADS, STANDARD AND ENLARGED HEAD, TITANIUM, STERILE, RCI, LATEX</t>
  </si>
  <si>
    <t>SCREW, INTRF, CANN, 9X25 MM, 2 MM, BLNT THREADS, STD &amp; ENLARGED HD, TI, STRL, RCI, LTX</t>
  </si>
  <si>
    <t>SCREW, INTRF, CANN, 9X25 MM, 2 MM, BLNT THREADS, ENLARGED HD, RCI</t>
  </si>
  <si>
    <t>http://docs.exhausmed.com/DOCS/SMITHNEPHEW/2012/CATALOGUES/2012_CATALOG_SCREEN.PDF, https://accessgudid.nlm.nih.gov/devices/03596010380647</t>
  </si>
  <si>
    <t>7207689</t>
  </si>
  <si>
    <t>SMITH_7207689</t>
  </si>
  <si>
    <t>CANNULA2.9MM SHORT WINDOW</t>
  </si>
  <si>
    <t>PRODIGO1072522</t>
  </si>
  <si>
    <t>CANNULA 2.9MM SHORT WINDOW</t>
  </si>
  <si>
    <t>Cannula, Operative, 29 mm, short window</t>
  </si>
  <si>
    <t>CANNULA, ARTHROSCOPIC, 29 MM, OPERATIVE, SHORT WINDOW, NON STERILE, LATEX</t>
  </si>
  <si>
    <t>CANNULA, ARTHSCP, 29 MM, OPERATIVE, SHT WINDOW, NS, LTX</t>
  </si>
  <si>
    <t>CANNULA</t>
  </si>
  <si>
    <t>ARTHROSCOPIC</t>
  </si>
  <si>
    <t>29 MM</t>
  </si>
  <si>
    <t>OPERATIVE, SHORT WINDOW</t>
  </si>
  <si>
    <t>http://docs.exhausmed.com/DOCS/SMITHNEPHEW/2012/CATALOGUES/2012_CATALOG_SCREEN.PDF, https://accessgudid.nlm.nih.gov/devices/03596010472397</t>
  </si>
  <si>
    <t>7207690</t>
  </si>
  <si>
    <t>SMITH_7207690</t>
  </si>
  <si>
    <t>KNIFERETROGRADE ENDO TRIGGER/6</t>
  </si>
  <si>
    <t>PRODIGO1072523</t>
  </si>
  <si>
    <t>TRIGGER FINGER RETROGRADE KNIFE,                                    YELLOW, STERILE 6 PER BOX</t>
  </si>
  <si>
    <t>Trigger Finger Retrograde Knife, yellow, sterile (6 per box)</t>
  </si>
  <si>
    <t>KNIFE, ENDOSCOPIC, RETROGRADE, TRIGGER FINGER, YELLOW, STERILE, LATEX, DISPOSABLE</t>
  </si>
  <si>
    <t>KNIFE, ENDOSCP, RETROGRADE, TRIGGER FNGR, YEL, STRL, LTX, DISP</t>
  </si>
  <si>
    <t>RETROGRADE</t>
  </si>
  <si>
    <t>TRIGGER FINGER</t>
  </si>
  <si>
    <t>http://docs.exhausmed.com/DOCS/SMITHNEPHEW/2012/CATALOGUES/2012_CATALOG_SCREEN.PDF, https://accessgudid.nlm.nih.gov/devices/03596010472465</t>
  </si>
  <si>
    <t>7207693</t>
  </si>
  <si>
    <t>SMITH_7207693</t>
  </si>
  <si>
    <t>KNIFETRIANGLEENDO TRIGGER/6</t>
  </si>
  <si>
    <t>PRODIGO1072524</t>
  </si>
  <si>
    <t>TRIGGER FINGER TRIANGLE KNIFE,                                    PUMPKIN, STERILE 6 PER BOX</t>
  </si>
  <si>
    <t>Trigger Finger Triangle Knife, pumpkin, sterile (6 per box</t>
  </si>
  <si>
    <t>KNIFE, ENDOSCOPIC, TRIANGLE, TRIGGER FINGER, PUMPKIN, STERILE, LATEX, DISPOSABLE</t>
  </si>
  <si>
    <t>KNIFE, ENDOSCP, TRIANG, TRIGGER FNGR, PMPKN, STRL, LTX, DISP</t>
  </si>
  <si>
    <t>TRIANGLE</t>
  </si>
  <si>
    <t>TRIGGER FINGER, PUMPKIN</t>
  </si>
  <si>
    <t>http://docs.exhausmed.com/DOCS/SMITHNEPHEW/2012/CATALOGUES/2012_CATALOG_SCREEN.PDF, https://accessgudid.nlm.nih.gov/devices/03596010472472</t>
  </si>
  <si>
    <t>7207898</t>
  </si>
  <si>
    <t>SMITH_7207898</t>
  </si>
  <si>
    <t>OBTURATOR REF 7207913. 4.5MM</t>
  </si>
  <si>
    <t>PRODIGO1072525</t>
  </si>
  <si>
    <t>MTO CANNULATED OBTURATOR FOR                                    CANNULAS 7211075 AND 7207913</t>
  </si>
  <si>
    <t>4.5 mm Cannulated obturator for cannulas 7211075 and 7207913</t>
  </si>
  <si>
    <t>OBTURATOR, ARTHROSCOPIC, CANNULATED, 4.5 MM, FOR DIAGNOSTIC CANNULA, NON STERILE, LATEX</t>
  </si>
  <si>
    <t>OBTURATOR, ARTHSCP, CANN, 4.5 MM, FOR DIAG CANN, NS, LTX</t>
  </si>
  <si>
    <t>4.5 MM</t>
  </si>
  <si>
    <t>FOR DIAGNOSTIC CANNULA</t>
  </si>
  <si>
    <t>7211075 AND 7207913</t>
  </si>
  <si>
    <t>http://docs.exhausmed.com/DOCS/SMITHNEPHEW/2012/CATALOGUES/2012_CATALOG_SCREEN.PDF, https://accessgudid.nlm.nih.gov/devices/00885554010091</t>
  </si>
  <si>
    <t>7207940</t>
  </si>
  <si>
    <t>SMITH_7207940</t>
  </si>
  <si>
    <t>PIN &amp; WIRE PAC D LTX FREE</t>
  </si>
  <si>
    <t>PRODIGO1072526</t>
  </si>
  <si>
    <t>PIN AND WIRE PAC D, LATEX-FREE</t>
  </si>
  <si>
    <t>42294219  Orthopedic surgical instrument sets</t>
  </si>
  <si>
    <t>Pin and Wire Pac D, latex-free</t>
  </si>
  <si>
    <t>INSTRUMENT PACK, PIN WIRE PAC D, FOR MENISCAL REPAIR SYSTEM, STERILE, LATEX-FREE</t>
  </si>
  <si>
    <t>INSTRUMENT PACK, PIN WIRE PAC D, FOR MENIS REP SYS, STRL, LF</t>
  </si>
  <si>
    <t>INSTRUMENT PACK</t>
  </si>
  <si>
    <t>PIN WIRE PAC D, FOR MENISCAL REPAIR SYSTEM</t>
  </si>
  <si>
    <t>http://docs.exhausmed.com/DOCS/SMITHNEPHEW/2012/CATALOGUES/2012_CATALOG_SCREEN.PDF, https://accessgudid.nlm.nih.gov/devices/03596010484406</t>
  </si>
  <si>
    <t>7209107</t>
  </si>
  <si>
    <t>SMITH_7209107</t>
  </si>
  <si>
    <t>TWINFX TI 2.8 W/O SUTR</t>
  </si>
  <si>
    <t>PRODIGO1072527</t>
  </si>
  <si>
    <t>TWINFIX 2.8 MM TITANIUM SINGLE                                    ANCHOR, STERILE</t>
  </si>
  <si>
    <t>TWINFIX</t>
  </si>
  <si>
    <t>42322202  Soft tissue non-suture anchors</t>
  </si>
  <si>
    <t>2.8 mm TWINFIX Ti single anchor, sterile</t>
  </si>
  <si>
    <t>ANCHOR, SOFT TISSUE, 2.8 MM, SINGLE, WITHOUT SUTURE OR NEEDLE, TITANIUM, STERILE, TWINFIX, LATEX</t>
  </si>
  <si>
    <t>ANCHOR, SFT TISS, 2.8 MM, SINGLE, W/O SUTURE OR NDL, TI, STRL, TWINFIX, LTX</t>
  </si>
  <si>
    <t>ANCHOR, SFT TISS, 2.8 MM, SINGLE, W/O SUTURE OR NDL, TI, TWINFIX</t>
  </si>
  <si>
    <t>ANCHOR</t>
  </si>
  <si>
    <t>2.8 MM</t>
  </si>
  <si>
    <t>SINGLE, WITHOUT SUTURE OR NEEDLE</t>
  </si>
  <si>
    <t>http://docs.exhausmed.com/DOCS/SMITHNEPHEW/2012/CATALOGUES/2012_CATALOG_SCREEN.PDF, https://accessgudid.nlm.nih.gov/devices/03596010448422</t>
  </si>
  <si>
    <t>7209165</t>
  </si>
  <si>
    <t>SMITH_7209165</t>
  </si>
  <si>
    <t>DRILL TWINFIX 4.0 AND 6.5</t>
  </si>
  <si>
    <t>PRODIGO1072528</t>
  </si>
  <si>
    <t>TWINFIX 2.5 MM DRILL FOR TWINFIX                                    4.0 MM, 5.0 MM, AND 6.5 MM ANCHORS</t>
  </si>
  <si>
    <t>42294950  Endoscopic drills or drill bits</t>
  </si>
  <si>
    <t>2.5 mm Drill for TWINFIX 4.0 mm, 5.0 mm, and 6.5 mm anchors</t>
  </si>
  <si>
    <t>DRILL, ENDOSCOPIC, 2.5 MM, 4, 5 AND 6.5 MM ANCHOR, NON STERILE, TWINFIX, LATEX</t>
  </si>
  <si>
    <t>DRILL, ENDOSCP, 2.5 MM, 4, 5 &amp; 6.5 MM ANCHR, NS, TWINFIX, LTX</t>
  </si>
  <si>
    <t>2.5 MM</t>
  </si>
  <si>
    <t>4, 5 AND 6.5 MM ANCHOR</t>
  </si>
  <si>
    <t>http://docs.exhausmed.com/DOCS/SMITHNEPHEW/2012/CATALOGUES/2012_CATALOG_SCREEN.PDF, https://accessgudid.nlm.nih.gov/devices/03596010448965</t>
  </si>
  <si>
    <t>7209204</t>
  </si>
  <si>
    <t>SMITH_7209204</t>
  </si>
  <si>
    <t>WIREPIN AND DRILL PAC "A" (STERILE)</t>
  </si>
  <si>
    <t>PRODIGO1072529</t>
  </si>
  <si>
    <t>WIRE, PIN AND DRILL PAC A, STERILE</t>
  </si>
  <si>
    <t>ENDOBUTTON Pac A</t>
  </si>
  <si>
    <t>INSTRUMENT PACK, WIREPIN AND DRILL PAC A, STERILE, ENDOBUTTON, LATEX</t>
  </si>
  <si>
    <t>INSTRUMENT PACK, WIREPIN &amp; DRL PAC A, STRL, ENDOBUTTON, LTX</t>
  </si>
  <si>
    <t>WIREPIN AND DRILL PAC A</t>
  </si>
  <si>
    <t>http://docs.exhausmed.com/DOCS/SMITHNEPHEW/2012/CATALOGUES/2012_CATALOG_SCREEN.PDF, https://accessgudid.nlm.nih.gov/devices/03596010469748</t>
  </si>
  <si>
    <t>7209234</t>
  </si>
  <si>
    <t>SMITH_7209234</t>
  </si>
  <si>
    <t>MOSAICPLASTY DP-DISP. 3.5MM</t>
  </si>
  <si>
    <t>PRODIGO1072530</t>
  </si>
  <si>
    <t>MOSAICPLASTY DISPOSABLE HARVESTING                                    SET, 3.5, INCLUDES DISPOSABLE                                    CHISEL, TAMP, AND DRILL BIT BLUE</t>
  </si>
  <si>
    <t>MOSAICPLASTY</t>
  </si>
  <si>
    <t>Disposable Harvesting Set, 3.5, includes disposable chisel, tamp, and drill bit, blue</t>
  </si>
  <si>
    <t>HARVESTING SET, 3.5 MM, CHISEL, TAMP, DRILL BIT, BLUE, STERILE, MOSAICPLASTY, LATEX, DISPOSABLE</t>
  </si>
  <si>
    <t>HARVESTING SET, 3.5 MM, CHSL, TAMP, DRL BIT, BLU, STRL, MOSAICPLASTY, LTX, DISP</t>
  </si>
  <si>
    <t>HARVESTING SET, 3.5 MM, CHSL, TAMP, DRL BIT, BLU, MOSAICPLASTY</t>
  </si>
  <si>
    <t>HARVESTING SET</t>
  </si>
  <si>
    <t>3.5 MM</t>
  </si>
  <si>
    <t>CHISEL, TAMP, DRILL BIT</t>
  </si>
  <si>
    <t>http://docs.exhausmed.com/DOCS/SMITHNEPHEW/2012/CATALOGUES/2012_CATALOG_SCREEN.PDF, https://accessgudid.nlm.nih.gov/devices/03596010473127</t>
  </si>
  <si>
    <t>7209235</t>
  </si>
  <si>
    <t>SMITH_7209235</t>
  </si>
  <si>
    <t>MOSAICPLASTY DP-DISP. 4.5MM</t>
  </si>
  <si>
    <t>PRODIGO1072531</t>
  </si>
  <si>
    <t>MOSAICPLASTY DISPOSABLE HARVESTING                                    SET, 4.5, INCLUDES DISPOSABLE                                    CHISEL, TAMP, AND DRILL BIT GREEN</t>
  </si>
  <si>
    <t>Disposable Harvesting Set, 4.5, includes disposable chisel, tamp, and drill bit, green</t>
  </si>
  <si>
    <t>HARVESTING SET, 4.5 MM, CHISEL, TAMP, DRILL BIT, GREEN, STERILE, MOSAICPLASTY, LATEX, DISPOSABLE</t>
  </si>
  <si>
    <t>HARVESTING SET, 4.5 MM, CHSL, TAMP, DRL BIT, GRN, STRL, MOSAICPLASTY, LTX, DISP</t>
  </si>
  <si>
    <t>HARVESTING SET, 4.5 MM, CHSL, TAMP, DRL BIT, GRN, MOSAICPLASTY</t>
  </si>
  <si>
    <t>http://docs.exhausmed.com/DOCS/SMITHNEPHEW/2012/CATALOGUES/2012_CATALOG_SCREEN.PDF, https://accessgudid.nlm.nih.gov/devices/03596010473134</t>
  </si>
  <si>
    <t>7209237</t>
  </si>
  <si>
    <t>SMITH_7209237</t>
  </si>
  <si>
    <t>MOSAICPLASTY DP-DISP. 8.5MM</t>
  </si>
  <si>
    <t>PRODIGO1072532</t>
  </si>
  <si>
    <t>MOSAICPLASTY DISPOSABLE HARVESTING                                    SET, 8.5, INCLUDES DISPOSABLE                                    CHISEL, TAMP, AND DRILL BIT RED</t>
  </si>
  <si>
    <t>Disposable Harvesting Set, 8.5, includes disposable chisel, tamp, and drill bit, red</t>
  </si>
  <si>
    <t>HARVESTING SET, 8.5 MM, CHISEL, TAMP, DRILL BIT, RED, STERILE, MOSAICPLASTY, LATEX, DISPOSABLE</t>
  </si>
  <si>
    <t>HARVESTING SET, 8.5 MM, CHSL, TAMP, DRL BIT, RED, STRL, MOSAICPLASTY, LTX, DISP</t>
  </si>
  <si>
    <t>HARVESTING SET, 8.5 MM, CHSL, TAMP, DRL BIT, RED, MOSAICPLASTY</t>
  </si>
  <si>
    <t>8.5 MM</t>
  </si>
  <si>
    <t>http://docs.exhausmed.com/DOCS/SMITHNEPHEW/2012/CATALOGUES/2012_CATALOG_SCREEN.PDF, https://accessgudid.nlm.nih.gov/devices/03596010473158</t>
  </si>
  <si>
    <t>7209313</t>
  </si>
  <si>
    <t>SMITH_7209313</t>
  </si>
  <si>
    <t>MTO PIN &amp; WIRE PAC F LTX FREE</t>
  </si>
  <si>
    <t>PRODIGO1072533</t>
  </si>
  <si>
    <t>INSTRUMENT PACK, PIN AND WIRE PAC F, STERILE, LATEX</t>
  </si>
  <si>
    <t>INSTRUMENT PACK, PIN &amp; WIRE PAC F, STRL, LTX</t>
  </si>
  <si>
    <t>PIN AND WIRE PAC F</t>
  </si>
  <si>
    <t>http://docs.exhausmed.com/DOCS/SMITHNEPHEW/2012/CATALOGUES/2012_CATALOG_SCREEN.PDF, https://accessgudid.nlm.nih.gov/devices/03596010484413</t>
  </si>
  <si>
    <t>7209351</t>
  </si>
  <si>
    <t>SMITH_7209351</t>
  </si>
  <si>
    <t>CAP INFLOW</t>
  </si>
  <si>
    <t>PRODIGO1072534</t>
  </si>
  <si>
    <t>42296339  Endoscope accessories</t>
  </si>
  <si>
    <t>Cap, inflow</t>
  </si>
  <si>
    <t>CAP, ENDOSCOPIC, INFLOW, NON STERILE, LATEX</t>
  </si>
  <si>
    <t>CAP, ENDOSCP, INFLO, NS, LTX</t>
  </si>
  <si>
    <t>INFLOW</t>
  </si>
  <si>
    <t>http://docs.exhausmed.com/DOCS/SMITHNEPHEW/2012/CATALOGUES/2012_CATALOG_SCREEN.PDF, https://accessgudid.nlm.nih.gov/devices/03596010000514</t>
  </si>
  <si>
    <t>7209409</t>
  </si>
  <si>
    <t>SMITH_7209409</t>
  </si>
  <si>
    <t>SCRRCI7X35MM W/ 8MM HEAD 2.0</t>
  </si>
  <si>
    <t>PRODIGO1072535</t>
  </si>
  <si>
    <t>7 X 35 MM RCI SCREW WITH 8 MM HEAD                                    2.0 MM CANNULATION. STERILE, 1 PER BOX</t>
  </si>
  <si>
    <t>Titanium, 2.0 mm cannulation, blunt threads. Standard and enlarged heads. Sterile, 1 per box. 7 x 35 mm RCI Screw with 8 mm head</t>
  </si>
  <si>
    <t>SCREW, INTERFERENCE, CANNULATED, 7X35 MM, 2 MM, WITH 8 MM HEAD, BLUNT THREADS, STANDARD AND ENLARGED HEAD, TITANIUM, STERILE, RCI, LATEX</t>
  </si>
  <si>
    <t>SCREW, INTRF, CANN, 7X35 MM, 2 MM, W/ 8 MM HD, BLNT THREADS, STD &amp; ENLARGED HD, TI, STRL, RCI, LTX</t>
  </si>
  <si>
    <t>SCREW, INTRF, CANN, 7X35 MM, 2 MM, W/ 8 MM HD, BLNT THREADS, RCI</t>
  </si>
  <si>
    <t>7X35 MM</t>
  </si>
  <si>
    <t>http://docs.exhausmed.com/DOCS/SMITHNEPHEW/2012/CATALOGUES/2012_CATALOG_SCREEN.PDF, https://accessgudid.nlm.nih.gov/devices/03596010477965</t>
  </si>
  <si>
    <t>7209410</t>
  </si>
  <si>
    <t>SMITH_7209410</t>
  </si>
  <si>
    <t>SCRRCI8X25MM RT LG. 2.0</t>
  </si>
  <si>
    <t>PRODIGO1072536</t>
  </si>
  <si>
    <t>8 X 25 MM RCI SCREW REVERSE THREAD                                    2.0 MM CANNULATION. STERILE, 1 PER BOX</t>
  </si>
  <si>
    <t>Titanium, 2.0 mm cannulation, blunt threads. Standard and enlarged heads. Sterile, 1 per box. 8 x 25 mm RCI Screw reverse thread</t>
  </si>
  <si>
    <t>SCREW, INTERFERENCE, CANNULATED, 8X25 MM, 2 MM, REVERSE THREAD, BLUNT THREADS, STANDARD AND ENLARGED HEAD, TITANIUM, STERILE, RCI, LATEX</t>
  </si>
  <si>
    <t>SCREW, INTRF, CANN, 8X25 MM, 2 MM, RVS THRD, BLNT THREADS, STD &amp; ENLARGED HD, TI, STRL, RCI, LTX</t>
  </si>
  <si>
    <t>SCREW, INTRF, CANN, 8X25 MM, 2 MM, RVS THRD, BLNT THREADS, RCI</t>
  </si>
  <si>
    <t>http://docs.exhausmed.com/DOCS/SMITHNEPHEW/2012/CATALOGUES/2012_CATALOG_SCREEN.PDF, https://accessgudid.nlm.nih.gov/devices/03596010479518</t>
  </si>
  <si>
    <t>7209411</t>
  </si>
  <si>
    <t>SMITH_7209411</t>
  </si>
  <si>
    <t>SCRRCI8X35MM 2.0 CANN. STER</t>
  </si>
  <si>
    <t>PRODIGO1072537</t>
  </si>
  <si>
    <t>8 X 35 MM RCI SCREW 2.0 MM                                    CANNULATION. STERILE, 1 PER BOX</t>
  </si>
  <si>
    <t>Titanium, 2.0 mm cannulation, blunt threads. Standard and enlarged heads. Sterile, 1 per box. 8 x 35 mm RCI Screw</t>
  </si>
  <si>
    <t>SCREW, INTERFERENCE, CANNULATED, 8X35 MM, 2 MM, BLUNT THREADS, STANDARD AND ENLARGED HEAD, TITANIUM, STERILE, RCI, LATEX</t>
  </si>
  <si>
    <t>SCREW, INTRF, CANN, 8X35 MM, 2 MM, BLNT THREADS, STD &amp; ENLARGED HD, TI, STRL, RCI, LTX</t>
  </si>
  <si>
    <t>SCREW, INTRF, CANN, 8X35 MM, 2 MM, BLNT THREADS, ENLARGED HD, RCI</t>
  </si>
  <si>
    <t>8X35 MM</t>
  </si>
  <si>
    <t>http://docs.exhausmed.com/DOCS/SMITHNEPHEW/2012/CATALOGUES/2012_CATALOG_SCREEN.PDF, https://accessgudid.nlm.nih.gov/devices/03596010477972</t>
  </si>
  <si>
    <t>7209412</t>
  </si>
  <si>
    <t>SMITH_7209412</t>
  </si>
  <si>
    <t>SCRRCI9X35MM 2.0 CANN. STER</t>
  </si>
  <si>
    <t>PRODIGO1072538</t>
  </si>
  <si>
    <t>9 X 35 MM RCI SCREW 2.0                                    CANNULATION. STERILE, 1 PER BOX</t>
  </si>
  <si>
    <t>Titanium, 2.0 mm cannulation, blunt threads. Standard and enlarged heads. Sterile, 1 per box. 9 x 35 mm RCI Screw</t>
  </si>
  <si>
    <t>SCREW, INTERFERENCE, CANNULATED, 9X35 MM, 2 MM, BLUNT THREADS, STANDARD AND ENLARGED HEAD, TITANIUM, STERILE, RCI, LATEX</t>
  </si>
  <si>
    <t>SCREW, INTRF, CANN, 9X35 MM, 2 MM, BLNT THREADS, STD &amp; ENLARGED HD, TI, STRL, RCI, LTX</t>
  </si>
  <si>
    <t>SCREW, INTRF, CANN, 9X35 MM, 2 MM, BLNT THREADS, ENLARGED HD, RCI</t>
  </si>
  <si>
    <t>9X35 MM</t>
  </si>
  <si>
    <t>http://docs.exhausmed.com/DOCS/SMITHNEPHEW/2012/CATALOGUES/2012_CATALOG_SCREEN.PDF, https://accessgudid.nlm.nih.gov/devices/03596010477989</t>
  </si>
  <si>
    <t>7209413</t>
  </si>
  <si>
    <t>SMITH_7209413</t>
  </si>
  <si>
    <t>SCRRCI10X30MM 2.0 CANN. STER</t>
  </si>
  <si>
    <t>PRODIGO1072539</t>
  </si>
  <si>
    <t>10 X 30 MM RCI SCREW 2.0 MM                                    CANNULATION. STERILE, 1 PER BOX</t>
  </si>
  <si>
    <t>Titanium, 2.0 mm cannulation, blunt threads. Standard and enlarged heads. Sterile, 1 per box. 10 x 30 mm RCI Screw</t>
  </si>
  <si>
    <t>SCREW, INTERFERENCE, CANNULATED, 10X30 MM, 2 MM, BLUNT THREADS, STANDARD AND ENLARGED HEAD, TITANIUM, STERILE, RCI, LATEX</t>
  </si>
  <si>
    <t>SCREW, INTRF, CANN, 10X30 MM, 2 MM, BLNT THREADS, STD &amp; ENLARGED HD, TI, STRL, RCI, LTX</t>
  </si>
  <si>
    <t>SCREW, INTRF, CANN, 10X30 MM, 2 MM, BLNT THREADS, ENLARGED HD, RCI</t>
  </si>
  <si>
    <t>10X30 MM</t>
  </si>
  <si>
    <t>http://docs.exhausmed.com/DOCS/SMITHNEPHEW/2012/CATALOGUES/2012_CATALOG_SCREEN.PDF, https://accessgudid.nlm.nih.gov/devices/03596010479488</t>
  </si>
  <si>
    <t>7209414</t>
  </si>
  <si>
    <t>SMITH_7209414</t>
  </si>
  <si>
    <t>SCRRCI10X35MM 2.0 CANN. STER</t>
  </si>
  <si>
    <t>PRODIGO1072540</t>
  </si>
  <si>
    <t>10 X 35 MM RCI SCREW 2.0 MM                                    CANNULATION. STERILE, 1 PER BOX</t>
  </si>
  <si>
    <t>Titanium, 2.0 mm cannulation, blunt threads. Standard and enlarged heads. Sterile, 1 per box. 10 x 35 mm RCI Screw</t>
  </si>
  <si>
    <t>SCREW, INTERFERENCE, CANNULATED, 10X35 MM, 2 MM, BLUNT THREADS, STANDARD AND ENLARGED HEAD, TITANIUM, STERILE, RCI, LATEX</t>
  </si>
  <si>
    <t>SCREW, INTRF, CANN, 10X35 MM, 2 MM, BLNT THREADS, STD &amp; ENLARGED HD, TI, STRL, RCI, LTX</t>
  </si>
  <si>
    <t>SCREW, INTRF, CANN, 10X35 MM, 2 MM, BLNT THREADS, ENLARGED HD, RCI</t>
  </si>
  <si>
    <t>10X35 MM</t>
  </si>
  <si>
    <t>http://docs.exhausmed.com/DOCS/SMITHNEPHEW/2012/CATALOGUES/2012_CATALOG_SCREEN.PDF, https://accessgudid.nlm.nih.gov/devices/03596010477996</t>
  </si>
  <si>
    <t>7209416</t>
  </si>
  <si>
    <t>SMITH_7209416</t>
  </si>
  <si>
    <t>SCRRCI11X35MM 2.0 CANN. STER</t>
  </si>
  <si>
    <t>PRODIGO1072541</t>
  </si>
  <si>
    <t>11 X 35 MM RCI SCREW 2.0 MM                                    CANNULATION. STERILE, 1 PER BOX</t>
  </si>
  <si>
    <t>Titanium, 2.0 mm cannulation, blunt threads. Standard and enlarged heads. Sterile, 1 per box. 11 x 35 mm RCI Screw</t>
  </si>
  <si>
    <t>SCREW, INTERFERENCE, CANNULATED, 11X35 MM, 2 MM, BLUNT THREADS, STANDARD AND ENLARGED HEAD, TITANIUM, STERILE, RCI, LATEX</t>
  </si>
  <si>
    <t>SCREW, INTRF, CANN, 11X35 MM, 2 MM, BLNT THREADS, STD &amp; ENLARGED HD, TI, STRL, RCI, LTX</t>
  </si>
  <si>
    <t>SCREW, INTRF, CANN, 11X35 MM, 2 MM, BLNT THREADS, ENLARGED HD, RCI</t>
  </si>
  <si>
    <t>11X35 MM</t>
  </si>
  <si>
    <t>http://docs.exhausmed.com/DOCS/SMITHNEPHEW/2012/CATALOGUES/2012_CATALOG_SCREEN.PDF, https://accessgudid.nlm.nih.gov/devices/03596010479501</t>
  </si>
  <si>
    <t>7210764</t>
  </si>
  <si>
    <t>SMITH_7210764</t>
  </si>
  <si>
    <t>MTO SOFTSILK SCRW STRL BX OF 1 12MMX25MM</t>
  </si>
  <si>
    <t>PRODIGO1072543</t>
  </si>
  <si>
    <t>MTO 12 X 25 MM SOFTSILK 1.5 MM                                    CANNULATION, ROUND HEAD, CORKSCREW                                    TIP, SOFT THREADS, STERILE SCREW</t>
  </si>
  <si>
    <t>SOFTSILK 1.5 Fixation Screws Titanium, 1.5 mm cannulation, round head, corkscrew tip, soft threads, sterile. 12 x 25 mm SOFTSILK 1.5</t>
  </si>
  <si>
    <t>SCREW, INTERFERENCE, CANNULATED, 12X25 MM, 1.5 MM, ROUND HEAD, CORKSCREW TIP, SOFT THREAD, TITANIUM, STERILE, SOFTSILK, LATEX</t>
  </si>
  <si>
    <t>SCREW, INTRF, CANN, 12X25 MM, 1.5 MM, RND HD, CRKSCR TIP, SFT THRD, TI, STRL, SOFTSILK, LTX</t>
  </si>
  <si>
    <t>SCREW, INTRF, CANN, 12X25 MM, 1.5 MM, RND HD, SFT THRD, SOFTSILK</t>
  </si>
  <si>
    <t>12X25 MM</t>
  </si>
  <si>
    <t>ROUND HEAD, CORKSCREW TIP, SOFT THREAD</t>
  </si>
  <si>
    <t>http://docs.exhausmed.com/DOCS/SMITHNEPHEW/2012/CATALOGUES/2012_CATALOG_SCREEN.PDF, https://accessgudid.nlm.nih.gov/devices/00885554012736</t>
  </si>
  <si>
    <t>7211080</t>
  </si>
  <si>
    <t>SMITH_7211080</t>
  </si>
  <si>
    <t>ULTRBRD#2 WHT 38SNGL ARM PCK ASSY</t>
  </si>
  <si>
    <t>PRODIGO1072544</t>
  </si>
  <si>
    <t>ULTRABRAID No.2 WHITE SUTURE AND                                    NEEDLE ASSEMBLY, 38 INCH, STERILE</t>
  </si>
  <si>
    <t>ULTRABRAID</t>
  </si>
  <si>
    <t>42312201  Sutures</t>
  </si>
  <si>
    <t>ULTRABRAID 2 white suture and needle assembly, 38 in, sterile</t>
  </si>
  <si>
    <t>SUTURE, NONABSORBABLE, 2, 38 IN, NEEDLE ASSEMBLY, HIGH STRENGTH, POLYETHYLENE, WHITE, STERILE, ULTRABRAID, LATEX</t>
  </si>
  <si>
    <t>SUTURE, NONABSORBABLE, 2, 38 IN, NDL ASMBLY, HI STRENGTH, POLYETH, WHT, STRL, ULTRABRAID, LTX</t>
  </si>
  <si>
    <t>SUTURE, NONABSORBABLE, 2, 38 IN, HI STRENGTH, ULTRABRAID</t>
  </si>
  <si>
    <t>NONABSORBABLE</t>
  </si>
  <si>
    <t>38 IN</t>
  </si>
  <si>
    <t>NEEDLE ASSEMBLY, HIGH STRENGTH</t>
  </si>
  <si>
    <t>WHITE</t>
  </si>
  <si>
    <t>http://docs.exhausmed.com/DOCS/SMITHNEPHEW/2012/CATALOGUES/2012_CATALOG_SCREEN.PDF, https://accessgudid.nlm.nih.gov/devices/03596010547675</t>
  </si>
  <si>
    <t>72200442</t>
  </si>
  <si>
    <t>SMITH_72200442</t>
  </si>
  <si>
    <t>CLEAR-TRAC CMPL. CANN. HIP OBT.8.5X110</t>
  </si>
  <si>
    <t>PRODIGO1072545</t>
  </si>
  <si>
    <t>CLEAR-TRAC REUSABLE OBTURATOR, 8.5                                    MM X 110 MM</t>
  </si>
  <si>
    <t>CLEAR-TRAC</t>
  </si>
  <si>
    <t>CLEAR-TRAC COMPLETE Disposable Hip Cannula System Reusable Obturator, 8.5 mm x 110 mm</t>
  </si>
  <si>
    <t>OBTURATOR, ENDOSCOPIC, 8.5X110 MM, HIP CANNULA SYSTEM, NON STERILE, CLEAR-TRAC COMPLETE, LATEX-FREE, REUSABLE</t>
  </si>
  <si>
    <t>OBTURATOR, ENDOSCP, 8.5X110 MM, HIP CANN SYS, NS, CLEAR-TRAC COMPLETE, LF, REUSE</t>
  </si>
  <si>
    <t>OBTURATOR, ENDOSCP, 8.5X110 MM, CLEAR-TRAC COMPLETE</t>
  </si>
  <si>
    <t>8.5X110 MM</t>
  </si>
  <si>
    <t>HIP CANNULA SYSTEM</t>
  </si>
  <si>
    <t>CLEAR-TRAC COMPLETE</t>
  </si>
  <si>
    <t>http://docs.exhausmed.com/DOCS/SMITHNEPHEW/2012/CATALOGUES/2012_CATALOG_SCREEN.PDF, https://accessgudid.nlm.nih.gov/devices/03596010558381</t>
  </si>
  <si>
    <t>72200445</t>
  </si>
  <si>
    <t>SMITH_72200445</t>
  </si>
  <si>
    <t>ENDOSCOPIC TROCAR OR SHEATH OR OBTURATOR OR CANNULA</t>
  </si>
  <si>
    <t>CLEAR-TRAC CMPL.CANN. HIP OBT.7.0X110</t>
  </si>
  <si>
    <t>PRODIGO1072546</t>
  </si>
  <si>
    <t>CLEAR-TRAC REUSABLE OBTURATOR, 7.0                                    MM X 110 MM</t>
  </si>
  <si>
    <t>CLEAR-TRAC COMPLETE Disposable Hip Cannula System Reusable Obturator, 7.0 mm x 110 mm</t>
  </si>
  <si>
    <t>OBTURATOR, ENDOSCOPIC, 7X110 MM, HIP CANNULA SYSTEM, NON STERILE, CLEAR-TRAC COMPLETE, LATEX-FREE, REUSABLE</t>
  </si>
  <si>
    <t>OBTURATOR, ENDOSCP, 7X110 MM, HIP CANN SYS, NS, CLEAR-TRAC COMPLETE, LF, REUSE</t>
  </si>
  <si>
    <t>OBTURATOR, ENDOSCP, 7X110 MM, HIP CANN SYS, CLEAR-TRAC COMPLETE</t>
  </si>
  <si>
    <t>7X110 MM</t>
  </si>
  <si>
    <t>http://docs.exhausmed.com/DOCS/SMITHNEPHEW/2012/CATALOGUES/2012_CATALOG_SCREEN.PDF, https://accessgudid.nlm.nih.gov/devices/03596010558374</t>
  </si>
  <si>
    <t>72200446</t>
  </si>
  <si>
    <t>SMITH_72200446</t>
  </si>
  <si>
    <t>CLEAR-TRAC CMPL. CANN. HIP OBT.7.0X90</t>
  </si>
  <si>
    <t>PRODIGO1072547</t>
  </si>
  <si>
    <t>CLEAR-TRAC REUSABLE OBTURATOR, 7.0                                    MM X 90 MM</t>
  </si>
  <si>
    <t>CLEAR-TRAC COMPLETE Disposable Hip Cannula System Reusable Obturator, 7.0 mm x 90 mm</t>
  </si>
  <si>
    <t>OBTURATOR, ENDOSCOPIC, 7X90 MM, HIP CANNULA SYSTEM, NON STERILE, CLEAR-TRAC COMPLETE, LATEX-FREE, REUSABLE</t>
  </si>
  <si>
    <t>OBTURATOR, ENDOSCP, 7X90 MM, HIP CANN SYS, NS, CLEAR-TRAC COMPLETE, LF, REUSE</t>
  </si>
  <si>
    <t>OBTURATOR, ENDOSCP, 7X90 MM, HIP CANN SYS, CLEAR-TRAC COMPLETE</t>
  </si>
  <si>
    <t>7X90 MM</t>
  </si>
  <si>
    <t>http://docs.exhausmed.com/DOCS/SMITHNEPHEW/2012/CATALOGUES/2012_CATALOG_SCREEN.PDF, https://accessgudid.nlm.nih.gov/devices/03596010558398</t>
  </si>
  <si>
    <t>72200619</t>
  </si>
  <si>
    <t>SMITH_72200619</t>
  </si>
  <si>
    <t>CLEAR-TRAC COMPL. CANN. HIP OBT.8.5X90</t>
  </si>
  <si>
    <t>PRODIGO1072548</t>
  </si>
  <si>
    <t>CLEAR-TRAC REUSABLE OBTURATOR, 8.5                                    MM X 90 MM</t>
  </si>
  <si>
    <t>CLEAR-TRAC COMPLETE Disposable Hip Cannula System Reusable Obturator, 8.5 mm x 90 mm</t>
  </si>
  <si>
    <t>OBTURATOR, ENDOSCOPIC, 8.5X90 MM, HIP CANNULA SYSTEM, NON STERILE, CLEAR-TRAC COMPLETE, LATEX, REUSABLE</t>
  </si>
  <si>
    <t>OBTURATOR, ENDOSCP, 8.5X90 MM, HIP CANN SYS, NS, CLEAR-TRAC COMPLETE, LTX, REUSE</t>
  </si>
  <si>
    <t>OBTURATOR, ENDOSCP, 8.5X90 MM, HIP CANN SYS, CLEAR-TRAC COMPLETE</t>
  </si>
  <si>
    <t>8.5X90 MM</t>
  </si>
  <si>
    <t>http://docs.exhausmed.com/DOCS/SMITHNEPHEW/2012/CATALOGUES/2012_CATALOG_SCREEN.PDF, https://accessgudid.nlm.nih.gov/devices/03596010558404</t>
  </si>
  <si>
    <t>72200819</t>
  </si>
  <si>
    <t>SMITH_72200819</t>
  </si>
  <si>
    <t>TWINFIX AB 5.0 THREADED DILATOR</t>
  </si>
  <si>
    <t>PRODIGO1072549</t>
  </si>
  <si>
    <t>TWINFIX 5.0 MM ABSORBABLE MATERIAL                                    SUTURE ANCHOR THREADED DILATOR, STERILE</t>
  </si>
  <si>
    <t>5.0 mm TWINFIX AB Suture Anchor threaded dilator, sterile</t>
  </si>
  <si>
    <t>DILATOR, ENDOSCOPIC, THREADED, 5 MM, SUTURE ANCHOR, STERILE, TWINFIX AB, LATEX</t>
  </si>
  <si>
    <t>DILATOR, ENDOSCP, THRD, 5 MM, SUTURE ANCHR, STRL, TWINFIX AB, LTX</t>
  </si>
  <si>
    <t>THREADED</t>
  </si>
  <si>
    <t>SUTURE ANCHOR</t>
  </si>
  <si>
    <t>TWINFIX AB</t>
  </si>
  <si>
    <t>http://docs.exhausmed.com/DOCS/SMITHNEPHEW/2012/CATALOGUES/2012_CATALOG_SCREEN.PDF, https://accessgudid.nlm.nih.gov/devices/03596010579348</t>
  </si>
  <si>
    <t>72200820</t>
  </si>
  <si>
    <t>SMITH_72200820</t>
  </si>
  <si>
    <t>TWINFIX AB 6.5 THREADED DILATOR</t>
  </si>
  <si>
    <t>PRODIGO1072550</t>
  </si>
  <si>
    <t>TWINFIX 6.5 MM ABSORBABLE MATERIAL                                    SUTURE ANCHOR THREADED DILATOR, STERILE</t>
  </si>
  <si>
    <t>6.5 mm TWINFIX AB Suture Anchor threaded dilator, sterile</t>
  </si>
  <si>
    <t>DILATOR, ENDOSCOPIC, THREADED, 6.5 MM, SUTURE ANCHOR, STERILE, TWINFIX AB, LATEX</t>
  </si>
  <si>
    <t>DILATOR, ENDOSCP, THRD, 6.5 MM, SUTURE ANCHR, STRL, TWINFIX AB, LTX</t>
  </si>
  <si>
    <t>6.5 MM</t>
  </si>
  <si>
    <t>http://docs.exhausmed.com/DOCS/SMITHNEPHEW/2012/CATALOGUES/2012_CATALOG_SCREEN.PDF, https://accessgudid.nlm.nih.gov/devices/03596010581051</t>
  </si>
  <si>
    <t>72200880</t>
  </si>
  <si>
    <t>SMITH_72200880</t>
  </si>
  <si>
    <t>OBT MTL HNDL W/THRD SLV NON-CAN 5.5MM</t>
  </si>
  <si>
    <t>PRODIGO1072551</t>
  </si>
  <si>
    <t>5.5 MM OBTURATOR, CONICAL, RED</t>
  </si>
  <si>
    <t>5.5 mm Obturator, Conical, red, used with REF 72201743</t>
  </si>
  <si>
    <t>OBTURATOR, ENDOSCOPIC, CONICAL, 5.5 MM, METAL HANDLE, WITH THREADED, NON-CANNULATED, RED, NON STERILE, LATEX</t>
  </si>
  <si>
    <t>OBTURATOR, ENDOSCP, CONCL, 5.5 MM, MTL HNDL, W/ THRD, NON-CANNULATED, RED, NS, LTX</t>
  </si>
  <si>
    <t>OBTURATOR, ENDOSCP, CONCL, 5.5 MM, MTL HNDL, NON-CANNULATED, RED</t>
  </si>
  <si>
    <t>5.5 MM</t>
  </si>
  <si>
    <t>METAL HANDLE, WITH THREADED, NON-CANNULATED</t>
  </si>
  <si>
    <t>http://docs.exhausmed.com/DOCS/SMITHNEPHEW/2012/CATALOGUES/2012_CATALOG_SCREEN.PDF, https://accessgudid.nlm.nih.gov/devices/03596010591074</t>
  </si>
  <si>
    <t>72200882</t>
  </si>
  <si>
    <t>SMITH_72200882</t>
  </si>
  <si>
    <t>OBT MTL HDL W/THRD SLV NON-CAN 5.0MM</t>
  </si>
  <si>
    <t>PRODIGO1072552</t>
  </si>
  <si>
    <t>5.0 MM OBTURATOR, CONICAL, BLUE</t>
  </si>
  <si>
    <t>5.0 mm Obturator, Conical, blue, used with REF 72201742 and 72202004</t>
  </si>
  <si>
    <t>OBTURATOR, ENDOSCOPIC, CONICAL, 5 MM, METAL HANDLE, WITH THREADED, NON-CANNULATED, BLUE, NON STERILE, LATEX</t>
  </si>
  <si>
    <t>OBTURATOR, ENDOSCP, CONCL, 5 MM, MTL HNDL, W/ THRD, NON-CANNULATED, BLU, NS, LTX</t>
  </si>
  <si>
    <t>OBTURATOR, ENDOSCP, CONCL, 5 MM, MTL HNDL, NON-CANNULATED, BLU</t>
  </si>
  <si>
    <t>http://docs.exhausmed.com/DOCS/SMITHNEPHEW/2012/CATALOGUES/2012_CATALOG_SCREEN.PDF, https://accessgudid.nlm.nih.gov/devices/03596010590442</t>
  </si>
  <si>
    <t>72200884</t>
  </si>
  <si>
    <t>SMITH_72200884</t>
  </si>
  <si>
    <t>OBTR MTL HNDL W/THRD SLV NON-CAN 4.5</t>
  </si>
  <si>
    <t>PRODIGO1072553</t>
  </si>
  <si>
    <t>4.5 MM OBTURATOR, CONICAL, GREEN</t>
  </si>
  <si>
    <t>4.5 mm Obturator, Conical, green, used with REF 72201741 and 72202003</t>
  </si>
  <si>
    <t>OBTURATOR, ENDOSCOPIC, CONICAL, 4.5 MM, METAL HANDLE, WITH THREADED, NON-CANNULATED, GREEN, NON STERILE, LATEX</t>
  </si>
  <si>
    <t>OBTURATOR, ENDOSCP, CONCL, 4.5 MM, MTL HNDL, W/ THRD, NON-CANNULATED, GRN, NS, LTX</t>
  </si>
  <si>
    <t>OBTURATOR, ENDOSCP, CONCL, 4.5 MM, MTL HNDL, NON-CANNULATED, GRN</t>
  </si>
  <si>
    <t>http://docs.exhausmed.com/DOCS/SMITHNEPHEW/2012/CATALOGUES/2012_CATALOG_SCREEN.PDF, https://accessgudid.nlm.nih.gov/devices/03596010590459</t>
  </si>
  <si>
    <t>72201355</t>
  </si>
  <si>
    <t>SMITH_72201355</t>
  </si>
  <si>
    <t>MTOOBTRTRCANNULATED DELRIN HDL 5.5MM</t>
  </si>
  <si>
    <t>PRODIGO1072554</t>
  </si>
  <si>
    <t>MTO REUSABLE OBTURATOR FOR 5.7 MM                                    FLEXIBLE CANNULA</t>
  </si>
  <si>
    <t>Reuseable Obturator for 5.7 mm Flexible Cannula (use with PN 7205360,
5.7 mm cannula)</t>
  </si>
  <si>
    <t>OBTURATOR, ENDOSCOPIC, 5.5 MM, FOR 5.7 MM FLEXIBLE CANNULA, CANNULATED, DELRIN HANDLE, MTO, NON STERILE, LATEX, REUSABLE</t>
  </si>
  <si>
    <t>OBTURATOR, ENDOSCP, 5.5 MM, FOR 5.7 MM FLX CANN, CANN, DELRIN HNDL, MTO, NS, LTX, REUSE</t>
  </si>
  <si>
    <t>OBTURATOR, ENDOSCP, 5.5 MM, FOR 5.7 MM FLX, CANN, DELRIN HNDL</t>
  </si>
  <si>
    <t>FOR 5.7 MM FLEXIBLE CANNULA, CANNULATED, DELRIN HANDLE, MTO</t>
  </si>
  <si>
    <t>http://docs.exhausmed.com/DOCS/SMITHNEPHEW/2012/CATALOGUES/2012_CATALOG_SCREEN.PDF, https://accessgudid.nlm.nih.gov/devices/03596010645579</t>
  </si>
  <si>
    <t>72201735</t>
  </si>
  <si>
    <t>SMITH_72201735</t>
  </si>
  <si>
    <t>PLUG BONE TUNNEL 5-6MM</t>
  </si>
  <si>
    <t>PRODIGO1072555</t>
  </si>
  <si>
    <t>5 - 6 MM BONE TUNNEL PLUG</t>
  </si>
  <si>
    <t>5–6 mm bone tunnel plug</t>
  </si>
  <si>
    <t>PLUG, TUNNEL, NON CANNULATED, XSMALL, 5-6 MM, FOR BONE CEMENT, POLYACETAL, NON STERILE, ACUFEX, LATEX</t>
  </si>
  <si>
    <t>PLUG, TUNN, N CANN, XS, 5-6 MM, FOR BNE CEMENT, POLYACETAL, NS, ACUFEX, LTX</t>
  </si>
  <si>
    <t>PLUG, TUNN, N CANN, XS, 5-6 MM, FOR BNE CEMENT, POLYACETAL, ACUFEX</t>
  </si>
  <si>
    <t>XSMALL</t>
  </si>
  <si>
    <t>5-6 MM</t>
  </si>
  <si>
    <t>FOR BONE CEMENT</t>
  </si>
  <si>
    <t>http://docs.exhausmed.com/DOCS/SMITHNEPHEW/2012/CATALOGUES/2012_CATALOG_SCREEN.PDF, https://accessgudid.nlm.nih.gov/devices/23596010607090</t>
  </si>
  <si>
    <t>72202053</t>
  </si>
  <si>
    <t>SMITH_72202053</t>
  </si>
  <si>
    <t>MTOOBTURTR ASSY 8.5MM X 45MM - 4.3 ID</t>
  </si>
  <si>
    <t>PRODIGO1072556</t>
  </si>
  <si>
    <t>MTO OBTURATOR ASSEMBLY 8.5 MM X 45                                    MM WITH 4.3 ID</t>
  </si>
  <si>
    <t>MTO OBTURATOR ASSEMBLY 8.5 MM X 45 MM WITH 4.3 ID</t>
  </si>
  <si>
    <t>OBTURATOR, ENDOSCOPIC, 8.5X45 MM, 4.3 MM, ASSEMBLY, MTO, NON STERILE, LATEX</t>
  </si>
  <si>
    <t>OBTURATOR, ENDOSCP, 8.5X45 MM, 4.3 MM, ASMBLY, MTO, NS, LTX</t>
  </si>
  <si>
    <t>8.5X45 MM</t>
  </si>
  <si>
    <t>4.3 MM</t>
  </si>
  <si>
    <t>ASSEMBLY, MTO</t>
  </si>
  <si>
    <t>https://accessgudid.nlm.nih.gov/devices/00885554015560</t>
  </si>
  <si>
    <t>72202507</t>
  </si>
  <si>
    <t>SMITH_72202507</t>
  </si>
  <si>
    <t>MTO SCREW SOFTSILK 1.5 10 X 20 STERILE</t>
  </si>
  <si>
    <t>PRODIGO1072557</t>
  </si>
  <si>
    <t>SCREW, INTERFERENCE, 10X20 MM, 1.5 MM, MTO, STERILE, SOFTSILK, LATEX</t>
  </si>
  <si>
    <t>SCREW, INTRF, 10X20 MM, 1.5 MM, MTO, STRL, SOFTSILK, LTX</t>
  </si>
  <si>
    <t>10X20 MM</t>
  </si>
  <si>
    <t>MTO</t>
  </si>
  <si>
    <t>https://accessgudid.nlm.nih.gov/devices/00885554016826</t>
  </si>
  <si>
    <t>72202807</t>
  </si>
  <si>
    <t>SMITH_72202807</t>
  </si>
  <si>
    <t>GUIDEWIRE CANNFLEX9 BLUNT TIP</t>
  </si>
  <si>
    <t>PRODIGO1072558</t>
  </si>
  <si>
    <t>GUIDEWIRE CANNFLEX 9 BLUNT TIP</t>
  </si>
  <si>
    <t>GUIDEWIRE, ORTHOPEDIC, BLUNT TIP, 9 IN, STERILE, CANNU-FLEX, LATEX</t>
  </si>
  <si>
    <t>GUIDEWIRE, ORTHOPEDIC, BLNT TIP, 9 IN, STRL, CANNFLX, LTX</t>
  </si>
  <si>
    <t>9 IN</t>
  </si>
  <si>
    <t>https://accessgudid.nlm.nih.gov/devices/00885554000153</t>
  </si>
  <si>
    <t>72202871</t>
  </si>
  <si>
    <t>SMITH_72202871</t>
  </si>
  <si>
    <t>PIN 2.4MM SHOULDER</t>
  </si>
  <si>
    <t>PRODIGO1072560</t>
  </si>
  <si>
    <t>PIN 2.4 MM SHOULDER</t>
  </si>
  <si>
    <t>42291701  Surgical hand or twist drills or drill kits</t>
  </si>
  <si>
    <t>PIN, DRILL, 2.4 MM, SHOULDER, STERILE, LATEX</t>
  </si>
  <si>
    <t>PIN, DRL, 2.4 MM, SHLDR, STRL, LTX</t>
  </si>
  <si>
    <t>PIN</t>
  </si>
  <si>
    <t>SHOULDER</t>
  </si>
  <si>
    <t>https://accessgudid.nlm.nih.gov/devices/00885554000320</t>
  </si>
  <si>
    <t>72202879</t>
  </si>
  <si>
    <t>SMITH_72202879</t>
  </si>
  <si>
    <t>DRILL FIXATION POST STER BX OF 1</t>
  </si>
  <si>
    <t>PRODIGO1072561</t>
  </si>
  <si>
    <t>DRILL FIXATION POSTERIOR STERILE                                    BX OF 1</t>
  </si>
  <si>
    <t>42295209  Surgical drill bits</t>
  </si>
  <si>
    <t>Drill Bit, Sterile, Single-Use, For 2.4 mm Fixation Posterior</t>
  </si>
  <si>
    <t>BIT, DRILL, FOR 2.4 MM FIXATION POSTERIOR, STERILE, LATEX, DISPOSABLE</t>
  </si>
  <si>
    <t>BIT, DRL, FOR 2.4 MM FIX POST, STRL, LTX, DISP</t>
  </si>
  <si>
    <t>BIT</t>
  </si>
  <si>
    <t>FOR 2.4 MM FIXATION POSTERIOR</t>
  </si>
  <si>
    <t>BX OF 1</t>
  </si>
  <si>
    <t>https://www.westcmr.com/72202879-we1-72202879, https://accessgudid.nlm.nih.gov/devices/00885554000306</t>
  </si>
  <si>
    <t>72202881</t>
  </si>
  <si>
    <t>SMITH_72202881</t>
  </si>
  <si>
    <t>WIRE GUIDE 2.0mm</t>
  </si>
  <si>
    <t>PRODIGO1072562</t>
  </si>
  <si>
    <t>SCREW GUIDE WIRE, 2 MM X 12 INCH                                    30CM, BLUNT TIP, STERILE 6 PER PACKAGE</t>
  </si>
  <si>
    <t>CANNU-FLEX Screw Guide Wire, 2 mm x 12 in (30 cm), blunt tip, sterile (6 per package</t>
  </si>
  <si>
    <t>GUIDEWIRE, ORTHOPEDIC, SCREW, 2 MMX12 IN, BLUNT TIP, STERILE, CANNU-FLEX, LATEX</t>
  </si>
  <si>
    <t>GUIDEWIRE, ORTHOPEDIC, SCREW, 2 MMX12 IN, BLNT TIP, STRL, CANNFLX, LTX</t>
  </si>
  <si>
    <t>GUIDEWIRE, ORTHOPEDIC, SCREW, 2 MMX12 IN, BLNT TIP, STRL, CANNFLX</t>
  </si>
  <si>
    <t>http://docs.exhausmed.com/DOCS/SMITHNEPHEW/2012/CATALOGUES/2012_CATALOG_SCREEN.PDF, https://accessgudid.nlm.nih.gov/devices/00885554000337</t>
  </si>
  <si>
    <t>72204134</t>
  </si>
  <si>
    <t>SMITH_72204134</t>
  </si>
  <si>
    <t>THIGH STABILIZATION KIT</t>
  </si>
  <si>
    <t>PRODIGO1072563</t>
  </si>
  <si>
    <t>THIGH STABILIZATION KIT CASE OF 10</t>
  </si>
  <si>
    <t>42295111  Operating room patient positioning devices for general use</t>
  </si>
  <si>
    <t>Thigh Stabilization Kit, case of 10</t>
  </si>
  <si>
    <t>STABILIZATION KIT, THIGH, STERILE, LATEX, DISPOSABLE</t>
  </si>
  <si>
    <t>STABILIZATION KIT, THGH, STRL, LTX, DISP</t>
  </si>
  <si>
    <t>STABILIZATION KIT</t>
  </si>
  <si>
    <t>THIGH</t>
  </si>
  <si>
    <t>CASE OF 10</t>
  </si>
  <si>
    <t>https://smith-nephew.stylelabs.cloud/api/public/content/9a90f50b785c418c8a4356788c8febe7?v=82c97959&amp;download=true, https://accessgudid.nlm.nih.gov/devices/00885554036541</t>
  </si>
  <si>
    <t>05277_V3_SPIDER2_Brochure_digital_0121_pdf_906460</t>
  </si>
  <si>
    <t>72204983</t>
  </si>
  <si>
    <t>SMITH_72204983</t>
  </si>
  <si>
    <t>MICRPTR RGNSRB STR ANCHR W/1ULTRBRDSTRBL</t>
  </si>
  <si>
    <t>PRODIGO1072564</t>
  </si>
  <si>
    <t>MICRORAPTOR REGENESORB SUTURE                                    ANCHOR WITH ONE ULTRABRAID No.1                                    SUTURE BLUE</t>
  </si>
  <si>
    <t>MICRORAPTOR</t>
  </si>
  <si>
    <t>42322203  Suture anchors</t>
  </si>
  <si>
    <t>MICRORAPTOR REGENESORB Suture Anchor with one ULTRABRAID (1) Suture (blue)</t>
  </si>
  <si>
    <t>ANCHOR, SUTURE, WITH ONE ULTRABRAID SUTURE, BLUE, STERILE, MICRORAPTOR REGENESORB, LATEX</t>
  </si>
  <si>
    <t>ANCHOR, SUTURE, W/ 1 ULTRABRAID SUTURE, BLU, STRL, MICRORAPTOR REGENESORB, LTX</t>
  </si>
  <si>
    <t>ANCHOR, SUTURE, BLU, MICRORAPTOR REGENESORB</t>
  </si>
  <si>
    <t>WITH ONE ULTRABRAID SUTURE</t>
  </si>
  <si>
    <t>MICRORAPTOR REGENESORB</t>
  </si>
  <si>
    <t>https://smith-nephew.stylelabs.cloud/api/public/content/e8fbad44ad914521acbae54dca6edd23?v=120894bf&amp;download=true, https://accessgudid.nlm.nih.gov/devices/00885556710302</t>
  </si>
  <si>
    <t>sho18_14599_v1_regenesorb_material_brochure</t>
  </si>
  <si>
    <t>72204984</t>
  </si>
  <si>
    <t>SMITH_72204984</t>
  </si>
  <si>
    <t>MICRORAPTOR RGNSB SA UB II #1 STR BL CB</t>
  </si>
  <si>
    <t>PRODIGO1072565</t>
  </si>
  <si>
    <t>MICRORAPTOR REGENESORB SUTURE                                    ANCHOR WITH ONE ULTRABRAID No.1                                    SUTURE BLUE COBRAID</t>
  </si>
  <si>
    <t>MICRORAPTOR REGENESORB Suture Anchor with one ULTRABRAID (1) Suture (blue cobraid)</t>
  </si>
  <si>
    <t>ANCHOR, SUTURE, WITH ONE ULTRABRAID SUTURE, COBRAID, BLUE, STERILE, MICRORAPTOR REGENESORB, LATEX</t>
  </si>
  <si>
    <t>ANCHOR, SUTURE, W/ 1 ULTRABRAID SUTURE, COBRAID, BLU, STRL, MICRORAPTOR REGENESORB, LTX</t>
  </si>
  <si>
    <t>ANCHOR, SUTURE, COBRAID, BLU, MICRORAPTOR REGENESORB</t>
  </si>
  <si>
    <t>WITH ONE ULTRABRAID SUTURE, COBRAID</t>
  </si>
  <si>
    <t>https://smith-nephew.stylelabs.cloud/api/public/content/e8fbad44ad914521acbae54dca6edd23?v=120894bf&amp;download=true, https://accessgudid.nlm.nih.gov/devices/00885556710319</t>
  </si>
  <si>
    <t>72204988</t>
  </si>
  <si>
    <t>SMITH_72204988</t>
  </si>
  <si>
    <t>MICRORAPTOR DRILL</t>
  </si>
  <si>
    <t>PRODIGO1072566</t>
  </si>
  <si>
    <t>42295202  Surgical pneumatic or battery or electric saws or drills or pin drivers</t>
  </si>
  <si>
    <t>MICRORAPTOR Drill, 1.6mm</t>
  </si>
  <si>
    <t>DRILL, SURGICAL, 1.6 MM, STERILE, MICRORAPTOR, LATEX</t>
  </si>
  <si>
    <t>DRILL, SURG, 1.6 MM, STRL, MICRORAPTOR, LTX</t>
  </si>
  <si>
    <t>1.6 MM</t>
  </si>
  <si>
    <t>https://smith-nephew-delivery.stylelabs.cloud/api/public/content/b5e7e71212564bafaab3a15672d62d43?v=82a7d879&amp;download=true, https://accessgudid.nlm.nih.gov/devices/00885556710296</t>
  </si>
  <si>
    <t>15213_V4_MICRORAPTOR_ReferenceGuide_Flo_1219</t>
  </si>
  <si>
    <t>72205012</t>
  </si>
  <si>
    <t>SMITH_72205012</t>
  </si>
  <si>
    <t>SLEEVE 5 X 12 STERILE</t>
  </si>
  <si>
    <t>PRODIGO1072567</t>
  </si>
  <si>
    <t>42131709  Surgical sleeves</t>
  </si>
  <si>
    <t>SLEEVE, SURGICAL, 5X12 MM, STERILE</t>
  </si>
  <si>
    <t>SLEEVE, SURG, 5X12 MM, STRL</t>
  </si>
  <si>
    <t>SLEEVE</t>
  </si>
  <si>
    <t>5X12 MM</t>
  </si>
  <si>
    <t>72205107</t>
  </si>
  <si>
    <t>SMITH_72205107</t>
  </si>
  <si>
    <t>3.5MM SYNOVATOR PLAT BLD</t>
  </si>
  <si>
    <t>PRODIGO1072568</t>
  </si>
  <si>
    <t>3.5MM SYNOVATOR PLATINUM BLADE</t>
  </si>
  <si>
    <t>DYONICS</t>
  </si>
  <si>
    <t>42294957  Endoscopic shaver blades</t>
  </si>
  <si>
    <t>BLADE, SHAVER, 3.5 MM, PLATINUM, STERILE, DYONICS, SYNOVATOR, LATEX</t>
  </si>
  <si>
    <t>BLADE, SHAVER, 3.5 MM, PLAT, STRL, DYONICS, SYNOVATOR, LTX</t>
  </si>
  <si>
    <t>SHAVER</t>
  </si>
  <si>
    <t>PLATINUM</t>
  </si>
  <si>
    <t>DYONICS, SYNOVATOR</t>
  </si>
  <si>
    <t>https://accessgudid.nlm.nih.gov/devices/00885556708880</t>
  </si>
  <si>
    <t>72205267</t>
  </si>
  <si>
    <t>SMITH_72205267</t>
  </si>
  <si>
    <t xml:space="preserve">MICRORAPTOR™ Drill Hard Bone </t>
  </si>
  <si>
    <t>PRODIGO1072570</t>
  </si>
  <si>
    <t>DRILL MICRORAPTOR HARD BONE 1.8MM</t>
  </si>
  <si>
    <t>MICRORAPTOR Drill, Hard Bone, 1.8mm</t>
  </si>
  <si>
    <t>DRILL, SURGICAL, 1.8 MM, HARD BONE, STERILE, MICRORAPTOR, LATEX</t>
  </si>
  <si>
    <t>DRILL, SURG, 1.8 MM, HRD BNE, STRL, MICRORAPTOR, LTX</t>
  </si>
  <si>
    <t>HARD BONE</t>
  </si>
  <si>
    <t>https://smith-nephew-delivery.stylelabs.cloud/api/public/content/b5e7e71212564bafaab3a15672d62d43?v=82a7d879&amp;download=true, https://accessgudid.nlm.nih.gov/devices/00885556736234</t>
  </si>
  <si>
    <t>72205315</t>
  </si>
  <si>
    <t>SMITH_72205315</t>
  </si>
  <si>
    <t>CAP-FIX BLADE CURVED HANDLE</t>
  </si>
  <si>
    <t>PRODIGO1072571</t>
  </si>
  <si>
    <t>CAP-FIX</t>
  </si>
  <si>
    <t>CAP-FIX Blade, Curved, with Handle</t>
  </si>
  <si>
    <t>BLADE, ENDOSCOPIC, CURVED, WITH HANDLE, STERILE, CAP-FIX, LATEX</t>
  </si>
  <si>
    <t>BLADE, ENDOSCP, CRV, W/ HNDL, STRL, CAP-FIX, LTX</t>
  </si>
  <si>
    <t>CURVED</t>
  </si>
  <si>
    <t>WITH HANDLE</t>
  </si>
  <si>
    <t>https://smith-nephew-delivery.stylelabs.cloud/api/public/content/31451-CAP-FIX?v=9861da8e&amp;download=true, https://accessgudid.nlm.nih.gov/devices/00885556760758</t>
  </si>
  <si>
    <t>31451-V1-CAPFIX-Family-BRO-digital-0921</t>
  </si>
  <si>
    <t>72205353</t>
  </si>
  <si>
    <t>SMITH_72205353</t>
  </si>
  <si>
    <t>DAY TUBE SET DOUBLEFLO PUMP</t>
  </si>
  <si>
    <t>PRODIGO1072573</t>
  </si>
  <si>
    <t>DOUBLEFLO DAY TUBE SET</t>
  </si>
  <si>
    <t>PATIENT TUBE SET, PUMP, DAY, STERILE, DOUBLEFLO, LATEX</t>
  </si>
  <si>
    <t>PATIENT TUBE SET, PMP, DAY, STRL, DOUBLEFLO, LTX</t>
  </si>
  <si>
    <t>PATIENT TUBE SET</t>
  </si>
  <si>
    <t>PUMP</t>
  </si>
  <si>
    <t>DAY</t>
  </si>
  <si>
    <t>DOUBLEFLO</t>
  </si>
  <si>
    <t>https://fda.report/GUDID/23661379195493</t>
  </si>
  <si>
    <t>72205354</t>
  </si>
  <si>
    <t>SMITH_72205354</t>
  </si>
  <si>
    <t>PATIENT INTERMEDIATE TUBE SET DBLFLO PMP</t>
  </si>
  <si>
    <t>PRODIGO1072574</t>
  </si>
  <si>
    <t>Patient Tube Set, Sterile, Single-Use, For Inflow/Outflow Pump DoubleFlo System, Simplify your Workflow with an Integrated Fluid Management System</t>
  </si>
  <si>
    <t>PATIENT TUBE SET, FOR INFLOW/OUTFLOW PUMP, STERILE, DOUBLEFLO, LATEX, DISPOSABLE</t>
  </si>
  <si>
    <t>PATIENT TUBE SET, FOR INFLO OUTFLO PMP, STRL, DOUBLEFLO, LTX, DISP</t>
  </si>
  <si>
    <t>PATIENT TUBE SET, FOR INFLO OUTFLO PMP, STRL, DOUBLEFLO, LTX</t>
  </si>
  <si>
    <t>FOR INFLOW/OUTFLOW PUMP</t>
  </si>
  <si>
    <t>https://www.westcmr.com/72205354-we1-72205354</t>
  </si>
  <si>
    <t>72205355</t>
  </si>
  <si>
    <t>SMITH_72205355</t>
  </si>
  <si>
    <t>COMPLETE INFLOW TUBE SET DBLFLO PUMP</t>
  </si>
  <si>
    <t>PRODIGO1072575</t>
  </si>
  <si>
    <t>DOUBLEFLO INFLOW TUBE SET</t>
  </si>
  <si>
    <t>TUBE SET, INFLOW PUMP, COMPLETE, STERILE, DOUBLEFLO, LATEX</t>
  </si>
  <si>
    <t>TUBE SET, INFLO PMP, COMPLETE, STRL, DOUBLEFLO, LTX</t>
  </si>
  <si>
    <t>TUBE SET</t>
  </si>
  <si>
    <t>INFLOW PUMP</t>
  </si>
  <si>
    <t>COMPLETE</t>
  </si>
  <si>
    <t>https://www.esutures.com/product/0-in-date/34-smith--nephew/566-tubing/46388121-smith--nephew-doubleflo-inflow-tube-set-72205355/</t>
  </si>
  <si>
    <t>72205356</t>
  </si>
  <si>
    <t>SMITH_72205356</t>
  </si>
  <si>
    <t>OUTFLOW TUBE SET DOUBLEFLO PUMP</t>
  </si>
  <si>
    <t>PRODIGO1072576</t>
  </si>
  <si>
    <t>DOUBLEFLO OUTFLOW TUBE SET</t>
  </si>
  <si>
    <t>TUBE SET, OUTFLOW PUMP, STERILE, DOUBLEFLO, LATEX</t>
  </si>
  <si>
    <t>TUBE SET, OUTFLO PMP, STRL, DOUBLEFLO, LTX</t>
  </si>
  <si>
    <t>OUTFLOW PUMP</t>
  </si>
  <si>
    <t>https://fda.report/GUDID/23661379195530</t>
  </si>
  <si>
    <t>72205428</t>
  </si>
  <si>
    <t>SMITH_72205428</t>
  </si>
  <si>
    <t>MINITAPE BLUE STR NDL ASSY</t>
  </si>
  <si>
    <t>PRODIGO1072577</t>
  </si>
  <si>
    <t>UHMWPE Size 2 blue braid 1 needle 40 in Smith and Nephew</t>
  </si>
  <si>
    <t>SUTURE, NONABSORBABLE, BRAIDED, 2, 40 IN, MINITAPE, STRAIGHT, ONE NEEDLE ASSEMBLY, HIGH STRENGTH, POLYETHYLENE, BLUE, STERILE, ULTRABRAID, LATEX</t>
  </si>
  <si>
    <t>SUTURE, NONABSORBABLE, BRAIDED, 2, 40 IN, MINITAPE, STR, 1 NDL ASMBLY, HI STRENGTH, POLYETH, BLU, STRL, ULTRABRAID, LTX</t>
  </si>
  <si>
    <t>SUTURE, NONABSORBABLE, BRAIDED, 2, 40 IN, MINITAPE, STR, ULTRABRAID</t>
  </si>
  <si>
    <t>BRAIDED</t>
  </si>
  <si>
    <t>40 IN</t>
  </si>
  <si>
    <t>MINITAPE, STRAIGHT, ONE NEEDLE ASSEMBLY, HIGH STRENGTH</t>
  </si>
  <si>
    <t>https://accessgudid.nlm.nih.gov/devices/24026704735185</t>
  </si>
  <si>
    <t>72205429</t>
  </si>
  <si>
    <t>SMITH_72205429</t>
  </si>
  <si>
    <t>ULTRABRAID (#5) CO-BRAID CVD NDL ASSY</t>
  </si>
  <si>
    <t>PRODIGO1072578</t>
  </si>
  <si>
    <t>UHMWPE size 5 white/blue multicolor braid 1 needle 40 in Smith and Nephew</t>
  </si>
  <si>
    <t>SUTURE, NONABSORBABLE, BRAIDED, 5, 40 IN, MINITAPE, CURVED, ONE NEEDLE ASSEMBLY, HIGH STRENGTH, POLYETHYLENE, WHITE/BLUE, CO-BRAID, STERILE, ULTRABRAID, LATEX</t>
  </si>
  <si>
    <t>SUTURE, NONABSORBABLE, BRAIDED, 5, 40 IN, MINITAPE, CRV, 1 NDL ASMBLY, HI STRENGTH, POLYETH, WHT BLU, CO-BRAID, STRL, ULTRABRAID, LTX</t>
  </si>
  <si>
    <t>SUTURE, NONABSORBABLE, BRAIDED, 5, 40 IN, MINITAPE, CRV, ULTRABRAID</t>
  </si>
  <si>
    <t>MINITAPE, CURVED, ONE NEEDLE ASSEMBLY, HIGH STRENGTH</t>
  </si>
  <si>
    <t>WHITE/BLUE, CO-BRAID</t>
  </si>
  <si>
    <t>https://accessgudid.nlm.nih.gov/devices/34026704735250</t>
  </si>
  <si>
    <t>72205430</t>
  </si>
  <si>
    <t>SMITH_72205430</t>
  </si>
  <si>
    <t>ULTRABRAID (#5) WHITE CVD NDL ASSY</t>
  </si>
  <si>
    <t>PRODIGO1072579</t>
  </si>
  <si>
    <t>UHMWPE size 5 white braid 1 needle 40 in Smith and Nephew</t>
  </si>
  <si>
    <t>SUTURE, NONABSORBABLE, BRAIDED, 5, 40 IN, MINITAPE, CURVED, ONE NEEDLE ASSEMBLY, HIGH STRENGTH, POLYETHYLENE, WHITE, CO-BRAID, STERILE, ULTRABRAID, LATEX</t>
  </si>
  <si>
    <t>SUTURE, NONABSORBABLE, BRAIDED, 5, 40 IN, MINITAPE, CRV, 1 NDL ASMBLY, HI STRENGTH, POLYETH, WHT, CO-BRAID, STRL, ULTRABRAID, LTX</t>
  </si>
  <si>
    <t>SUTURE, NONABSORBABLE, BRAIDED, 5, 40 IN, CRV, CO-BRAID, ULTRABRAID</t>
  </si>
  <si>
    <t>WHITE, CO-BRAID</t>
  </si>
  <si>
    <t>https://accessgudid.nlm.nih.gov/devices/24026704735260</t>
  </si>
  <si>
    <t>72205431</t>
  </si>
  <si>
    <t>SMITH_72205431</t>
  </si>
  <si>
    <t>ULTRABRAID (#5) CO-BRAID STR NDL ASSY</t>
  </si>
  <si>
    <t>PRODIGO1072580</t>
  </si>
  <si>
    <t>SUTURE, NONABSORBABLE, BRAIDED, 5, 40 IN, MINITAPE, STRAIGHT, ONE NEEDLE ASSEMBLY, HIGH STRENGTH, POLYETHYLENE, WHITE/BLUE, CO-BRAID, STERILE, ULTRABRAID, LATEX</t>
  </si>
  <si>
    <t>SUTURE, NONABSORBABLE, BRAIDED, 5, 40 IN, MINITAPE, STR, 1 NDL ASMBLY, HI STRENGTH, POLYETH, WHT BLU, CO-BRAID, STRL, ULTRABRAID, LTX</t>
  </si>
  <si>
    <t>SUTURE, NONABSORBABLE, BRAIDED, 5, 40 IN, MINITAPE, STR, ULTRABRAID</t>
  </si>
  <si>
    <t>https://accessgudid.nlm.nih.gov/devices/24026704735277</t>
  </si>
  <si>
    <t>72205432</t>
  </si>
  <si>
    <t>SMITH_72205432</t>
  </si>
  <si>
    <t>ULTRABRAID (#5) WHITE STR NDL ASSY</t>
  </si>
  <si>
    <t>PRODIGO1072581</t>
  </si>
  <si>
    <t>SUTURE, NONABSORBABLE, BRAIDED, 5, 40 IN, MINITAPE, STRAIGHT, ONE NEEDLE ASSEMBLY, HIGH STRENGTH, POLYETHYLENE, WHITE, CO-BRAID, STERILE, ULTRABRAID, LATEX</t>
  </si>
  <si>
    <t>SUTURE, NONABSORBABLE, BRAIDED, 5, 40 IN, MINITAPE, STR, 1 NDL ASMBLY, HI STRENGTH, POLYETH, WHT, CO-BRAID, STRL, ULTRABRAID, LTX</t>
  </si>
  <si>
    <t>SUTURE, NONABSORBABLE, BRAIDED, 5, 40 IN, STR, CO-BRAID, ULTRABRAID</t>
  </si>
  <si>
    <t>https://accessgudid.nlm.nih.gov/devices/24026704735284</t>
  </si>
  <si>
    <t>72205435</t>
  </si>
  <si>
    <t>SMITH_72205435</t>
  </si>
  <si>
    <t>LOOPED MINITAPE CO-BRAID CVD NDL ASSY</t>
  </si>
  <si>
    <t>PRODIGO1072582</t>
  </si>
  <si>
    <t>UHMWPE Size 2 white/blue multicolor braid 1 needle 40 in Looped Smith and Nephew</t>
  </si>
  <si>
    <t>SUTURE, NONABSORBABLE, BRAIDED, 2, 40 IN, MINITAPE, LOOPED, CURVED, ONE NEEDLE ASSEMBLY, HIGH STRENGTH, POLYETHYLENE, WHITE/BLUE, CO-BRAID, STERILE, LATEX</t>
  </si>
  <si>
    <t>SUTURE, NONABSORBABLE, BRAIDED, 2, 40 IN, MINITAPE, LOOPED, CRV, 1 NDL ASMBLY, HI STRENGTH, POLYETH, WHT BLU, CO-BRAID, STRL, LTX</t>
  </si>
  <si>
    <t>SUTURE, NONABSORBABLE, BRAIDED, 2, 40 IN, WHT BLU, CO-BRAID</t>
  </si>
  <si>
    <t>MINITAPE, LOOPED, CURVED, ONE NEEDLE ASSEMBLY, HIGH STRENGTH</t>
  </si>
  <si>
    <t>https://accessgudid.nlm.nih.gov/devices/34026704735212</t>
  </si>
  <si>
    <t>72205436</t>
  </si>
  <si>
    <t>SMITH_72205436</t>
  </si>
  <si>
    <t>LOOPED MINITAPE BLUE CVD NDL ASSY</t>
  </si>
  <si>
    <t>PRODIGO1072583</t>
  </si>
  <si>
    <t>UHMWPE Size 2 blue braid 1 needle 40 in Looped Smith and Nephew</t>
  </si>
  <si>
    <t>SUTURE, NONABSORBABLE, BRAIDED, 2, 40 IN, MINITAPE, LOOPED, CURVED, ONE NEEDLE ASSEMBLY, HIGH STRENGTH, POLYETHYLENE, BLUE, STERILE, LATEX</t>
  </si>
  <si>
    <t>SUTURE, NONABSORBABLE, BRAIDED, 2, 40 IN, MINITAPE, LOOPED, CRV, 1 NDL ASMBLY, HI STRENGTH, POLYETH, BLU, STRL, LTX</t>
  </si>
  <si>
    <t>SUTURE, NONABSORBABLE, BRAIDED, 2, 40 IN, MINITAPE, POLYETH, BLU</t>
  </si>
  <si>
    <t>https://accessgudid.nlm.nih.gov/devices/24026704735222</t>
  </si>
  <si>
    <t>72205437</t>
  </si>
  <si>
    <t>SMITH_72205437</t>
  </si>
  <si>
    <t>LOOPED MINITAPE CO-BRAID STR NDL ASSY</t>
  </si>
  <si>
    <t>PRODIGO1072584</t>
  </si>
  <si>
    <t>SUTURE, NONABSORBABLE, BRAIDED, 2, 40 IN, MINITAPE, LOOPED, STRAIGHT, ONE NEEDLE ASSEMBLY, HIGH STRENGTH, POLYETHYLENE, WHITE/BLUE, STERILE, LATEX</t>
  </si>
  <si>
    <t>SUTURE, NONABSORBABLE, BRAIDED, 2, 40 IN, MINITAPE, LOOPED, STR, 1 NDL ASMBLY, HI STRENGTH, POLYETH, WHT BLU, STRL, LTX</t>
  </si>
  <si>
    <t>SUTURE, NONABSORBABLE, BRAIDED, 2, 40 IN, MINITAPE, LOOPED, STR</t>
  </si>
  <si>
    <t>MINITAPE, LOOPED, STRAIGHT, ONE NEEDLE ASSEMBLY, HIGH STRENGTH</t>
  </si>
  <si>
    <t>WHITE/BLUE</t>
  </si>
  <si>
    <t>https://accessgudid.nlm.nih.gov/devices/24026704735239</t>
  </si>
  <si>
    <t>72205438</t>
  </si>
  <si>
    <t>SMITH_72205438</t>
  </si>
  <si>
    <t>LOOPED MINITAPE BLUE STR NDL ASSY</t>
  </si>
  <si>
    <t>PRODIGO1072585</t>
  </si>
  <si>
    <t>SUTURE, NONABSORBABLE, BRAIDED, 2, 40 IN, MINITAPE, LOOPED STRAIGHT, ONE NEEDLE ASSEMBLY, HIGH STRENGTH, POLYETHYLENE, BLUE, STERILE, LATEX</t>
  </si>
  <si>
    <t>SUTURE, NONABSORBABLE, BRAIDED, 2, 40 IN, MINITAPE, LOOPED STR, 1 NDL ASMBLY, HI STRENGTH, POLYETH, BLU, STRL, LTX</t>
  </si>
  <si>
    <t>SUTURE, NONABSORBABLE, BRAIDED, 2, 40 IN, MINITAPE, LOOPED STR</t>
  </si>
  <si>
    <t>MINITAPE, LOOPED STRAIGHT, ONE NEEDLE ASSEMBLY, HIGH STRENGTH</t>
  </si>
  <si>
    <t>https://accessgudid.nlm.nih.gov/devices/24026704735246</t>
  </si>
  <si>
    <t>72205440</t>
  </si>
  <si>
    <t>SMITH_72205440</t>
  </si>
  <si>
    <t>HS FIBER ULTRAGRAB 2 UHMWPE BLUE</t>
  </si>
  <si>
    <t>PRODIGO1072586</t>
  </si>
  <si>
    <t>6 UHMWPE 72205440 HS-FIBER BLUE NON-ABSORBABLE 48 in SUTURE</t>
  </si>
  <si>
    <t>SUTURE, NONABSORBABLE, BRAIDED, 6, 48 IN, HS FIBER, POLYETHYLENE, BLUE</t>
  </si>
  <si>
    <t>SUTURE, NONABSORBABLE, BRAIDED, 6, 48 IN, HS FIBER, POLYETH, BLU</t>
  </si>
  <si>
    <t>HS FIBER, POLYETHYLENE</t>
  </si>
  <si>
    <t>https://www.mdgsales.com/riverpoint-medical-uhmwpe-72205440-hs-fiber-blue-non-absorbable-48-suture-esh022x32x090222</t>
  </si>
  <si>
    <t>72205443</t>
  </si>
  <si>
    <t>SMITH_72205443</t>
  </si>
  <si>
    <t>ULTRABUTTON QUAD ADJ FIXATION DEV</t>
  </si>
  <si>
    <t>PRODIGO1072587</t>
  </si>
  <si>
    <t>ULTRABUTTON QUAD ADJUSTABLE                                    FIXATION DEVICE</t>
  </si>
  <si>
    <t>ULTRABUTTON</t>
  </si>
  <si>
    <t>ULTRABUTTON QUAD ADJUSTABLE FIXATION DEVICE</t>
  </si>
  <si>
    <t>DEVICE, FIXATION, QUAD ADJUSTABLE, STERILE, ULTRABUTTON, LATEX</t>
  </si>
  <si>
    <t>DEVICE, FIX, QUAD ADJ, STRL, ULTRABUTTON, LTX</t>
  </si>
  <si>
    <t>QUAD ADJUSTABLE</t>
  </si>
  <si>
    <t>https://accessgudid.nlm.nih.gov/devices/00885556817179</t>
  </si>
  <si>
    <t>72205444</t>
  </si>
  <si>
    <t>SMITH_72205444</t>
  </si>
  <si>
    <t>ULTRABUTTON BB ADJ FIXATION DEV</t>
  </si>
  <si>
    <t>PRODIGO1072588</t>
  </si>
  <si>
    <t>ULTRABUTTON BB BONE BLOCK                                    ADJUSTABLE FIXATION DEVICE</t>
  </si>
  <si>
    <t>ULTRABUTTON BB BONE BLOCK ADJUSTABLE FIXATION DEVICE</t>
  </si>
  <si>
    <t>DEVICE, FIXATION, BB BONE BLOCK ADJUSTABLE, STERILE, ULTRABUTTON, LATEX</t>
  </si>
  <si>
    <t>DEVICE, FIX, BB BNE BLOCK ADJ, STRL, ULTRABUTTON, LTX</t>
  </si>
  <si>
    <t>BB BONE BLOCK ADJUSTABLE</t>
  </si>
  <si>
    <t>https://accessgudid.nlm.nih.gov/devices/00885556817193</t>
  </si>
  <si>
    <t>72205580</t>
  </si>
  <si>
    <t>SMITH_72205580</t>
  </si>
  <si>
    <t>QUADTRAC DISPOSABLE KIT</t>
  </si>
  <si>
    <t>PRODIGO1072589</t>
  </si>
  <si>
    <t>QUADTRAC QUADRICEPS TENDON HARVEST                                    GUIDE SYSTEM DISP KIT</t>
  </si>
  <si>
    <t>QUADTRAC</t>
  </si>
  <si>
    <t>42294211  Surgical custom or specialty instrument or procedure sets</t>
  </si>
  <si>
    <t>QUADTRAC QUADRICEPS TENDON HARVEST GUIDE SYSTEM DISP KIT</t>
  </si>
  <si>
    <t>SURGICAL PROCEDURE KIT, QUADRICEP TENDON HARVEST GUIDE SYSTEM, STERILE, QUADTRAC, LATEX, DISPOSABLE</t>
  </si>
  <si>
    <t>SURGICAL PROCEDURE KIT, QUADRICEP TEND HARV GUIDE SYS, STRL, QUADTRAC, LTX, DISP</t>
  </si>
  <si>
    <t>SURGICAL PROCEDURE KIT, QUADRICEP TEND HARV GUIDE, QUADTRAC</t>
  </si>
  <si>
    <t>SURGICAL PROCEDURE KIT</t>
  </si>
  <si>
    <t>QUADRICEP TENDON HARVEST GUIDE SYSTEM</t>
  </si>
  <si>
    <t>https://accessgudid.nlm.nih.gov/devices/00885556818282</t>
  </si>
  <si>
    <t>72205600</t>
  </si>
  <si>
    <t>SMITH_72205600</t>
  </si>
  <si>
    <t>ULTRABUTTON TIB SM ADJ FIXATION DEV</t>
  </si>
  <si>
    <t>PRODIGO1072590</t>
  </si>
  <si>
    <t>ULTRABUTTON TIB ADJUSTABLE                                    FIXATION DEVICE, SMALL</t>
  </si>
  <si>
    <t>ULTRABUTTON TIB ADJUSTABLE FIXATION DEVICE, SMALL</t>
  </si>
  <si>
    <t>DEVICE, FIXATION, TIBIAL, SMALL, ADJUSTABLE, STERILE, ULTRABUTTON, LATEX</t>
  </si>
  <si>
    <t>DEVICE, FIX, TIB, SM, ADJ, STRL, ULTRABUTTON, LTX</t>
  </si>
  <si>
    <t>TIBIAL</t>
  </si>
  <si>
    <t>ADJUSTABLE</t>
  </si>
  <si>
    <t>https://accessgudid.nlm.nih.gov/devices/00885556817209</t>
  </si>
  <si>
    <t>72205601</t>
  </si>
  <si>
    <t>SMITH_72205601</t>
  </si>
  <si>
    <t>ULTRABUTTON TIB MED ADJ FIXATION DEV</t>
  </si>
  <si>
    <t>PRODIGO1072591</t>
  </si>
  <si>
    <t>ULTRABUTTON TIB ADJUSTABLE                                    FIXATION DEVICE, MEDIUM</t>
  </si>
  <si>
    <t>ULTRABUTTON TIB ADJUSTABLE FIXATION DEVICE, MEDIUM</t>
  </si>
  <si>
    <t>DEVICE, FIXATION, TIBIAL, MEDIUM, ADJUSTABLE, STERILE, ULTRABUTTON, LATEX</t>
  </si>
  <si>
    <t>DEVICE, FIX, TIB, MED, ADJ, STRL, ULTRABUTTON, LTX</t>
  </si>
  <si>
    <t>https://accessgudid.nlm.nih.gov/devices/00885556817216</t>
  </si>
  <si>
    <t>72205602</t>
  </si>
  <si>
    <t>SMITH_72205602</t>
  </si>
  <si>
    <t>ULTRABUTTON TIB LG ADJ FIXATION DEV</t>
  </si>
  <si>
    <t>PRODIGO1072592</t>
  </si>
  <si>
    <t>ULTRABUTTON TIB ADJUSTABLE                                    FIXATION DEVICE, LARGE</t>
  </si>
  <si>
    <t>ULTRABUTTON TIB ADJUSTABLE FIXATION DEVICE, LARGE</t>
  </si>
  <si>
    <t>DEVICE, FIXATION, TIBIAL, LARGE, ADJUSTABLE, STERILE, ULTRABUTTON, LATEX</t>
  </si>
  <si>
    <t>DEVICE, FIX, TIB, LG, ADJ, STRL, ULTRABUTTON, LTX</t>
  </si>
  <si>
    <t>https://accessgudid.nlm.nih.gov/devices/00885556817223</t>
  </si>
  <si>
    <t>72205676</t>
  </si>
  <si>
    <t>SMITH_72205676</t>
  </si>
  <si>
    <t>FAST-FIX? FLEX Curved Inserter</t>
  </si>
  <si>
    <t>PRODIGO1072593</t>
  </si>
  <si>
    <t>FF FLEX CRVD INSTR</t>
  </si>
  <si>
    <t>FAST-FIX</t>
  </si>
  <si>
    <t>42292101  Surgical inserters or inserters kits</t>
  </si>
  <si>
    <t>INSERTER, SURGICAL, CURVED, FLEX, STERILE, FAST-FIX, LATEX</t>
  </si>
  <si>
    <t>INSERTER, SURG, CRV, FLX, STRL, FAST-FIX, LTX</t>
  </si>
  <si>
    <t>INSERTER</t>
  </si>
  <si>
    <t>FLEX</t>
  </si>
  <si>
    <t>https://accessgudid.nlm.nih.gov/devices/00885556804704</t>
  </si>
  <si>
    <t>72205677</t>
  </si>
  <si>
    <t>SMITH_72205677</t>
  </si>
  <si>
    <t>FAST-FIX? FLEX Reverse Curved Inserter</t>
  </si>
  <si>
    <t>PRODIGO1072594</t>
  </si>
  <si>
    <t>FF FLEX RVRS CRVD INSTR</t>
  </si>
  <si>
    <t>INSERTER, SURGICAL, CURVED, FLEX, REVERSE, STERILE, FAST-FIX, LATEX</t>
  </si>
  <si>
    <t>INSERTER, SURG, CRV, FLX, RVS, STRL, FAST-FIX, LTX</t>
  </si>
  <si>
    <t>FLEX, REVERSE</t>
  </si>
  <si>
    <t>https://accessgudid.nlm.nih.gov/devices/00885556804711</t>
  </si>
  <si>
    <t>72290030</t>
  </si>
  <si>
    <t>SMITH_72290030</t>
  </si>
  <si>
    <t>DISPOSABLE 1.8MM Q-FIX DRILL</t>
  </si>
  <si>
    <t>PRODIGO1072595</t>
  </si>
  <si>
    <t xml:space="preserve">1.8mm Q-FIX Straight Drill, disposable </t>
  </si>
  <si>
    <t>DRILL, SURGICAL, 1.8 MM, Q-FIX</t>
  </si>
  <si>
    <t>DRILL, SURG, 1.8 MM, Q-FIX</t>
  </si>
  <si>
    <t>Q-FIX</t>
  </si>
  <si>
    <t>https://www.artromedikal.com/picture/brosur-q-fixsupsup-span-classhero__product-descriptorall-suture-anchor-shoulderspan-1015.pdf</t>
  </si>
  <si>
    <t>brosur-q-fixsupsup-span-classhero__product-descriptorall-suture-anchor-shoulderspan-1015</t>
  </si>
  <si>
    <t>72290031</t>
  </si>
  <si>
    <t>SMITH_72290031</t>
  </si>
  <si>
    <t>DISPOSABLE 2.8MM Q-FIX DRILL</t>
  </si>
  <si>
    <t>PRODIGO1072596</t>
  </si>
  <si>
    <t>2.8mm Q-FIX Straight Drill, disposable</t>
  </si>
  <si>
    <t>DRILL, SURGICAL, 2.8 MM, Q-FIX</t>
  </si>
  <si>
    <t>DRILL, SURG, 2.8 MM, Q-FIX</t>
  </si>
  <si>
    <t>http://docs.exhausmed.com/docs/Smith_Nephew/Catalogue/CAT_q-fix_ALL%20SUTURE%20ANCHOR_SMITH-NEPHEW_2018.pdf</t>
  </si>
  <si>
    <t>CAT_q-fix_ALL SUTURE ANCHOR_SMITH-NEPHEW_2018</t>
  </si>
  <si>
    <t>72290124</t>
  </si>
  <si>
    <t>SMITH_72290124</t>
  </si>
  <si>
    <t>QFIX 1.8 MINI SUTURE ANCHOR DRILL</t>
  </si>
  <si>
    <t>PRODIGO1072597</t>
  </si>
  <si>
    <t>QFIX 1.8 MINI  SUTURE</t>
  </si>
  <si>
    <t>Q-FIX MINI All-Suture Anchor Twist Drill, 1.8mm, sterile, disposable</t>
  </si>
  <si>
    <t>DRILL, SURGICAL, TWIST, 1.8 MM, ALL-SUTURE ANCHOR, STERILE, Q-FIX MINI, LATEX, DISPOSABLE</t>
  </si>
  <si>
    <t>DRILL, SURG, TWST, 1.8 MM, ALL-SUTURE ANCHR, STRL, Q-FIX MINI, LTX, DISP</t>
  </si>
  <si>
    <t>DRILL, SURG, TWST, 1.8 MM, ALL-SUTURE ANCHR, STRL, Q-FIX MINI, LTX</t>
  </si>
  <si>
    <t>TWIST</t>
  </si>
  <si>
    <t>ALL-SUTURE ANCHOR</t>
  </si>
  <si>
    <t>Q-FIX MINI</t>
  </si>
  <si>
    <t>https://smith-nephew.stylelabs.cloud/api/public/content/a453f718879041f08a96350c06dd0eb2?v=3b298370&amp;download=true, https://accessgudid.nlm.nih.gov/devices/00885556662625</t>
  </si>
  <si>
    <t>11907-V3-Q-FIX-Reference-Guide-digital-0623</t>
  </si>
  <si>
    <t>72290178</t>
  </si>
  <si>
    <t>SMITH_72290178</t>
  </si>
  <si>
    <t>WEREWOLF+ POWER CORD/MANUAL US ENGLISH</t>
  </si>
  <si>
    <t>PRODIGO1072598</t>
  </si>
  <si>
    <t>WEREWOLF+</t>
  </si>
  <si>
    <t>55101516  Operation or instruction manuals</t>
  </si>
  <si>
    <t>MANUAL, INSTRUCTION, POWER CORD, US ENGLISH, NON STERILE, WEREWOLF PLUS, LATEX</t>
  </si>
  <si>
    <t>MANUAL, INSTRUCTION, PWR CRD, US ENG, NS, WEREWOLF +, LTX</t>
  </si>
  <si>
    <t>MANUAL</t>
  </si>
  <si>
    <t>INSTRUCTION</t>
  </si>
  <si>
    <t>POWER CORD, US ENGLISH</t>
  </si>
  <si>
    <t>WEREWOLF PLUS</t>
  </si>
  <si>
    <t>https://accessgudid.nlm.nih.gov/devices/00885556804490</t>
  </si>
  <si>
    <t>QC User</t>
  </si>
  <si>
    <t>QC Comments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</si>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</sst>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0" fillId="6" borderId="0" xfId="0" applyFill="1" applyAlignment="1">
      <alignment horizontal="left"/>
    </xf>
    <xf numFmtId="0" fontId="2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9" borderId="0" xfId="0" applyFont="1" applyFill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NumberFormat="1" applyFont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0" xfId="0" quotePrefix="1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1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6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3" max="24" width="9.28515625" bestFit="1" customWidth="1"/>
    <col min="30" max="30" width="10" bestFit="1" customWidth="1"/>
    <col min="32" max="33" width="10" bestFit="1" customWidth="1"/>
    <col min="34" max="34" width="14.5703125" bestFit="1" customWidth="1"/>
    <col min="35" max="35" width="9.28515625" bestFit="1" customWidth="1"/>
    <col min="40" max="40" width="9.28515625" bestFit="1" customWidth="1"/>
    <col min="56" max="56" width="9.28515625" bestFit="1" customWidth="1"/>
    <col min="60" max="60" width="9.28515625" bestFit="1" customWidth="1"/>
    <col min="75" max="75" width="9.28515625" bestFit="1" customWidth="1"/>
  </cols>
  <sheetData>
    <row r="1" spans="1:106" s="1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10344</v>
      </c>
      <c r="I1" s="1" t="s">
        <v>10345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2" t="s">
        <v>20</v>
      </c>
      <c r="X1" s="2" t="s">
        <v>21</v>
      </c>
      <c r="Y1" s="3" t="s">
        <v>22</v>
      </c>
      <c r="Z1" s="4" t="s">
        <v>23</v>
      </c>
      <c r="AA1" s="5" t="s">
        <v>24</v>
      </c>
      <c r="AB1" s="3" t="s">
        <v>25</v>
      </c>
      <c r="AC1" s="4" t="s">
        <v>26</v>
      </c>
      <c r="AD1" s="5" t="s">
        <v>27</v>
      </c>
      <c r="AE1" s="1" t="s">
        <v>28</v>
      </c>
      <c r="AF1" s="1" t="s">
        <v>29</v>
      </c>
      <c r="AG1" s="6" t="s">
        <v>30</v>
      </c>
      <c r="AH1" s="1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5" t="s">
        <v>45</v>
      </c>
      <c r="AW1" s="1" t="s">
        <v>46</v>
      </c>
      <c r="AX1" s="1" t="s">
        <v>47</v>
      </c>
      <c r="AY1" s="8" t="s">
        <v>48</v>
      </c>
      <c r="AZ1" s="5" t="s">
        <v>49</v>
      </c>
      <c r="BA1" s="5" t="s">
        <v>50</v>
      </c>
      <c r="BB1" s="9" t="s">
        <v>51</v>
      </c>
      <c r="BC1" s="9" t="s">
        <v>52</v>
      </c>
      <c r="BD1" s="10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8" t="s">
        <v>61</v>
      </c>
      <c r="BM1" s="8" t="s">
        <v>62</v>
      </c>
      <c r="BN1" s="8" t="s">
        <v>63</v>
      </c>
      <c r="BO1" s="8" t="s">
        <v>64</v>
      </c>
      <c r="BP1" s="8" t="s">
        <v>65</v>
      </c>
      <c r="BQ1" s="8" t="s">
        <v>66</v>
      </c>
      <c r="BR1" s="8" t="s">
        <v>67</v>
      </c>
      <c r="BS1" s="8" t="s">
        <v>68</v>
      </c>
      <c r="BT1" s="8" t="s">
        <v>69</v>
      </c>
      <c r="BU1" s="8" t="s">
        <v>70</v>
      </c>
      <c r="BV1" s="8" t="s">
        <v>71</v>
      </c>
      <c r="BW1" s="8" t="s">
        <v>72</v>
      </c>
      <c r="BX1" s="5" t="s">
        <v>73</v>
      </c>
      <c r="BY1" s="5" t="s">
        <v>74</v>
      </c>
      <c r="BZ1" s="8" t="s">
        <v>75</v>
      </c>
      <c r="CA1" s="8" t="s">
        <v>76</v>
      </c>
      <c r="CB1" s="8" t="s">
        <v>77</v>
      </c>
      <c r="CC1" s="8" t="s">
        <v>78</v>
      </c>
      <c r="CD1" s="8" t="s">
        <v>79</v>
      </c>
      <c r="CE1" s="8" t="s">
        <v>80</v>
      </c>
      <c r="CF1" s="8" t="s">
        <v>81</v>
      </c>
      <c r="CG1" s="8" t="s">
        <v>82</v>
      </c>
      <c r="CH1" s="11" t="s">
        <v>83</v>
      </c>
      <c r="CI1" s="11" t="s">
        <v>84</v>
      </c>
      <c r="CJ1" s="11" t="s">
        <v>85</v>
      </c>
      <c r="CK1" s="11" t="s">
        <v>86</v>
      </c>
      <c r="CL1" s="11" t="s">
        <v>87</v>
      </c>
      <c r="CM1" s="11" t="s">
        <v>88</v>
      </c>
      <c r="CN1" s="11" t="s">
        <v>89</v>
      </c>
      <c r="CO1" s="11" t="s">
        <v>90</v>
      </c>
      <c r="CP1" s="11" t="s">
        <v>91</v>
      </c>
      <c r="CQ1" s="11" t="s">
        <v>92</v>
      </c>
      <c r="CR1" s="11" t="s">
        <v>93</v>
      </c>
      <c r="CS1" s="11" t="s">
        <v>94</v>
      </c>
      <c r="CT1" s="11" t="s">
        <v>95</v>
      </c>
      <c r="CU1" s="11" t="s">
        <v>96</v>
      </c>
      <c r="CV1" s="11" t="s">
        <v>97</v>
      </c>
      <c r="CW1" s="11" t="s">
        <v>98</v>
      </c>
      <c r="CX1" s="11" t="s">
        <v>99</v>
      </c>
      <c r="CY1" s="11" t="s">
        <v>100</v>
      </c>
      <c r="CZ1" s="11" t="s">
        <v>101</v>
      </c>
      <c r="DA1" s="12" t="s">
        <v>10346</v>
      </c>
      <c r="DB1" s="12" t="s">
        <v>10347</v>
      </c>
    </row>
    <row r="2" spans="1:106" s="13" customFormat="1" ht="12.75" customHeight="1" x14ac:dyDescent="0.2">
      <c r="A2" s="13" t="s">
        <v>102</v>
      </c>
      <c r="B2" s="13" t="s">
        <v>103</v>
      </c>
      <c r="D2" s="13" t="s">
        <v>104</v>
      </c>
      <c r="E2" s="13" t="s">
        <v>105</v>
      </c>
      <c r="F2" s="13" t="s">
        <v>104</v>
      </c>
      <c r="G2" s="13" t="s">
        <v>105</v>
      </c>
      <c r="H2" s="13" t="s">
        <v>227</v>
      </c>
      <c r="J2" s="13" t="s">
        <v>106</v>
      </c>
      <c r="W2" s="13">
        <v>235</v>
      </c>
      <c r="X2" s="13">
        <v>235</v>
      </c>
      <c r="Y2" s="13" t="s">
        <v>107</v>
      </c>
      <c r="Z2" s="13" t="s">
        <v>108</v>
      </c>
      <c r="AA2" s="13" t="s">
        <v>107</v>
      </c>
      <c r="AB2" s="13" t="s">
        <v>2833</v>
      </c>
      <c r="AC2" s="13" t="s">
        <v>2833</v>
      </c>
      <c r="AD2" s="13" t="s">
        <v>2833</v>
      </c>
      <c r="AE2" s="14" t="s">
        <v>112</v>
      </c>
      <c r="AF2" s="13" t="s">
        <v>2833</v>
      </c>
      <c r="AG2" s="13" t="s">
        <v>2833</v>
      </c>
      <c r="AH2" s="13" t="s">
        <v>2834</v>
      </c>
      <c r="AL2" s="13" t="s">
        <v>2835</v>
      </c>
      <c r="AN2" s="13">
        <v>329</v>
      </c>
      <c r="AO2" s="13" t="s">
        <v>2836</v>
      </c>
      <c r="AV2" s="14" t="s">
        <v>2837</v>
      </c>
      <c r="AY2" s="21" t="s">
        <v>2838</v>
      </c>
      <c r="AZ2" s="17" t="s">
        <v>2839</v>
      </c>
      <c r="BA2" s="17" t="s">
        <v>2839</v>
      </c>
      <c r="BB2" s="17" t="s">
        <v>2840</v>
      </c>
      <c r="BC2" s="17" t="s">
        <v>2840</v>
      </c>
      <c r="BD2" s="27">
        <f>LEN(SUBSTITUTE(BC2,", ",","))</f>
        <v>41</v>
      </c>
      <c r="BE2" s="17" t="s">
        <v>2841</v>
      </c>
      <c r="BF2" s="18" t="s">
        <v>2842</v>
      </c>
      <c r="BG2" s="17" t="s">
        <v>2843</v>
      </c>
      <c r="BH2" s="17"/>
      <c r="BI2" s="17"/>
      <c r="BJ2" s="17" t="s">
        <v>2844</v>
      </c>
      <c r="BK2" s="17"/>
      <c r="BL2" s="17"/>
      <c r="BM2" s="17"/>
      <c r="BN2" s="17"/>
      <c r="BO2" s="17"/>
      <c r="BP2" s="17"/>
      <c r="BQ2" s="17"/>
      <c r="BR2" s="17"/>
      <c r="BS2" s="17"/>
      <c r="BT2" s="17" t="s">
        <v>2845</v>
      </c>
      <c r="BU2" s="17"/>
      <c r="BV2" s="17"/>
      <c r="BW2" s="17"/>
      <c r="BX2" s="13" t="s">
        <v>2846</v>
      </c>
      <c r="DA2" s="13" t="s">
        <v>10348</v>
      </c>
      <c r="DB2" s="13" t="s">
        <v>10348</v>
      </c>
    </row>
    <row r="3" spans="1:106" s="13" customFormat="1" ht="12.75" customHeight="1" x14ac:dyDescent="0.2">
      <c r="A3" s="13" t="s">
        <v>102</v>
      </c>
      <c r="B3" s="13" t="s">
        <v>103</v>
      </c>
      <c r="D3" s="13" t="s">
        <v>937</v>
      </c>
      <c r="E3" s="17" t="s">
        <v>228</v>
      </c>
      <c r="F3" s="13" t="s">
        <v>937</v>
      </c>
      <c r="G3" s="17" t="s">
        <v>229</v>
      </c>
      <c r="H3" s="13" t="s">
        <v>227</v>
      </c>
      <c r="I3" s="17"/>
      <c r="J3" s="13" t="s">
        <v>106</v>
      </c>
      <c r="W3" s="13">
        <v>636</v>
      </c>
      <c r="X3" s="13">
        <v>636</v>
      </c>
      <c r="Y3" s="13" t="s">
        <v>107</v>
      </c>
      <c r="Z3" s="13" t="s">
        <v>108</v>
      </c>
      <c r="AA3" s="29" t="s">
        <v>107</v>
      </c>
      <c r="AB3" s="13" t="s">
        <v>6929</v>
      </c>
      <c r="AC3" s="13" t="s">
        <v>6929</v>
      </c>
      <c r="AD3" s="13" t="s">
        <v>6929</v>
      </c>
      <c r="AE3" s="14" t="s">
        <v>112</v>
      </c>
      <c r="AF3" s="13" t="s">
        <v>6929</v>
      </c>
      <c r="AG3" s="32" t="s">
        <v>6929</v>
      </c>
      <c r="AH3" s="13" t="s">
        <v>6930</v>
      </c>
      <c r="AL3" s="13" t="s">
        <v>6931</v>
      </c>
      <c r="AN3" s="13">
        <v>329</v>
      </c>
      <c r="AO3" s="13" t="s">
        <v>6932</v>
      </c>
      <c r="AQ3" s="13" t="s">
        <v>6929</v>
      </c>
      <c r="AR3" s="13" t="s">
        <v>6929</v>
      </c>
      <c r="AS3" s="13" t="s">
        <v>116</v>
      </c>
      <c r="AT3" s="13" t="s">
        <v>6933</v>
      </c>
      <c r="AU3" s="13" t="s">
        <v>6933</v>
      </c>
      <c r="AV3" s="13" t="s">
        <v>2204</v>
      </c>
      <c r="AW3" s="24" t="s">
        <v>1691</v>
      </c>
      <c r="AX3" s="24" t="s">
        <v>1692</v>
      </c>
      <c r="AY3" s="13" t="s">
        <v>6934</v>
      </c>
      <c r="AZ3" s="13" t="s">
        <v>6935</v>
      </c>
      <c r="BA3" s="13" t="s">
        <v>6935</v>
      </c>
      <c r="BB3" s="13" t="s">
        <v>6936</v>
      </c>
      <c r="BC3" s="13" t="s">
        <v>6937</v>
      </c>
      <c r="BD3" s="16">
        <f>LEN(SUBSTITUTE(BC3, ", "," "))</f>
        <v>60</v>
      </c>
      <c r="BE3" s="13" t="s">
        <v>1697</v>
      </c>
      <c r="BF3" s="13" t="s">
        <v>951</v>
      </c>
      <c r="BG3" s="13" t="s">
        <v>6505</v>
      </c>
      <c r="BO3" s="13" t="s">
        <v>6938</v>
      </c>
      <c r="BS3" s="13" t="s">
        <v>6939</v>
      </c>
      <c r="BT3" s="13" t="s">
        <v>6785</v>
      </c>
      <c r="BU3" s="13" t="s">
        <v>129</v>
      </c>
      <c r="BV3" s="13" t="s">
        <v>6940</v>
      </c>
      <c r="BX3" s="13" t="s">
        <v>6941</v>
      </c>
      <c r="DA3" s="13" t="s">
        <v>10348</v>
      </c>
      <c r="DB3" s="13" t="s">
        <v>10348</v>
      </c>
    </row>
    <row r="4" spans="1:106" s="13" customFormat="1" ht="12.75" customHeight="1" x14ac:dyDescent="0.2">
      <c r="A4" s="13" t="s">
        <v>102</v>
      </c>
      <c r="B4" s="13" t="s">
        <v>103</v>
      </c>
      <c r="D4" s="13" t="s">
        <v>104</v>
      </c>
      <c r="E4" s="13" t="s">
        <v>105</v>
      </c>
      <c r="F4" s="13" t="s">
        <v>104</v>
      </c>
      <c r="G4" s="13" t="s">
        <v>105</v>
      </c>
      <c r="H4" s="13" t="s">
        <v>227</v>
      </c>
      <c r="J4" s="13" t="s">
        <v>106</v>
      </c>
      <c r="W4" s="13">
        <v>1</v>
      </c>
      <c r="X4" s="13">
        <v>1</v>
      </c>
      <c r="Y4" s="13" t="s">
        <v>107</v>
      </c>
      <c r="Z4" s="13" t="s">
        <v>108</v>
      </c>
      <c r="AA4" s="13" t="s">
        <v>107</v>
      </c>
      <c r="AB4" s="13" t="s">
        <v>109</v>
      </c>
      <c r="AC4" s="13" t="s">
        <v>110</v>
      </c>
      <c r="AD4" s="13" t="s">
        <v>111</v>
      </c>
      <c r="AE4" s="14" t="s">
        <v>112</v>
      </c>
      <c r="AF4" s="13" t="s">
        <v>111</v>
      </c>
      <c r="AG4" s="25" t="s">
        <v>109</v>
      </c>
      <c r="AH4" s="13" t="s">
        <v>113</v>
      </c>
      <c r="AL4" s="13" t="s">
        <v>114</v>
      </c>
      <c r="AN4" s="13">
        <v>329</v>
      </c>
      <c r="AO4" s="13" t="s">
        <v>115</v>
      </c>
      <c r="AQ4" s="13" t="s">
        <v>111</v>
      </c>
      <c r="AR4" s="13" t="s">
        <v>111</v>
      </c>
      <c r="AS4" s="13" t="s">
        <v>116</v>
      </c>
      <c r="AT4" s="13" t="s">
        <v>117</v>
      </c>
      <c r="AU4" s="13" t="s">
        <v>117</v>
      </c>
      <c r="AV4" s="14" t="s">
        <v>118</v>
      </c>
      <c r="AY4" s="21" t="s">
        <v>119</v>
      </c>
      <c r="AZ4" s="17" t="s">
        <v>120</v>
      </c>
      <c r="BA4" s="17" t="s">
        <v>120</v>
      </c>
      <c r="BB4" s="17" t="s">
        <v>121</v>
      </c>
      <c r="BC4" s="17" t="s">
        <v>121</v>
      </c>
      <c r="BD4" s="27">
        <f>LEN(SUBSTITUTE(BC4,", ",","))</f>
        <v>49</v>
      </c>
      <c r="BE4" s="17" t="s">
        <v>122</v>
      </c>
      <c r="BF4" s="17" t="s">
        <v>123</v>
      </c>
      <c r="BG4" s="17" t="s">
        <v>124</v>
      </c>
      <c r="BH4" s="17" t="s">
        <v>125</v>
      </c>
      <c r="BI4" s="17"/>
      <c r="BJ4" s="17"/>
      <c r="BK4" s="17"/>
      <c r="BL4" s="17"/>
      <c r="BM4" s="17"/>
      <c r="BN4" s="17"/>
      <c r="BO4" s="17"/>
      <c r="BP4" s="17"/>
      <c r="BQ4" s="17"/>
      <c r="BR4" s="17" t="s">
        <v>126</v>
      </c>
      <c r="BS4" s="17" t="s">
        <v>127</v>
      </c>
      <c r="BT4" s="17" t="s">
        <v>128</v>
      </c>
      <c r="BU4" s="17" t="s">
        <v>129</v>
      </c>
      <c r="BV4" s="17" t="s">
        <v>130</v>
      </c>
      <c r="BW4" s="17"/>
      <c r="BX4" s="13" t="s">
        <v>131</v>
      </c>
      <c r="BY4" s="13" t="s">
        <v>132</v>
      </c>
      <c r="DA4" s="13" t="s">
        <v>10348</v>
      </c>
      <c r="DB4" s="13" t="s">
        <v>10348</v>
      </c>
    </row>
    <row r="5" spans="1:106" s="13" customFormat="1" ht="12.75" customHeight="1" x14ac:dyDescent="0.2">
      <c r="A5" s="13" t="s">
        <v>102</v>
      </c>
      <c r="B5" s="13" t="s">
        <v>103</v>
      </c>
      <c r="D5" s="13" t="s">
        <v>104</v>
      </c>
      <c r="E5" s="13" t="s">
        <v>105</v>
      </c>
      <c r="F5" s="13" t="s">
        <v>104</v>
      </c>
      <c r="G5" s="13" t="s">
        <v>105</v>
      </c>
      <c r="H5" s="13" t="s">
        <v>227</v>
      </c>
      <c r="J5" s="13" t="s">
        <v>106</v>
      </c>
      <c r="W5" s="13">
        <v>2</v>
      </c>
      <c r="X5" s="13">
        <v>2</v>
      </c>
      <c r="Y5" s="13" t="s">
        <v>107</v>
      </c>
      <c r="Z5" s="13" t="s">
        <v>108</v>
      </c>
      <c r="AA5" s="13" t="s">
        <v>107</v>
      </c>
      <c r="AB5" s="13" t="s">
        <v>133</v>
      </c>
      <c r="AC5" s="13" t="s">
        <v>134</v>
      </c>
      <c r="AD5" s="13" t="s">
        <v>135</v>
      </c>
      <c r="AE5" s="14" t="s">
        <v>112</v>
      </c>
      <c r="AF5" s="13" t="s">
        <v>135</v>
      </c>
      <c r="AG5" s="25" t="s">
        <v>133</v>
      </c>
      <c r="AH5" s="13" t="s">
        <v>136</v>
      </c>
      <c r="AL5" s="13" t="s">
        <v>137</v>
      </c>
      <c r="AN5" s="13">
        <v>329</v>
      </c>
      <c r="AO5" s="13" t="s">
        <v>138</v>
      </c>
      <c r="AQ5" s="13" t="s">
        <v>135</v>
      </c>
      <c r="AR5" s="13" t="s">
        <v>135</v>
      </c>
      <c r="AS5" s="13" t="s">
        <v>116</v>
      </c>
      <c r="AT5" s="13" t="s">
        <v>139</v>
      </c>
      <c r="AU5" s="13" t="s">
        <v>139</v>
      </c>
      <c r="AV5" s="14" t="s">
        <v>118</v>
      </c>
      <c r="AY5" s="21" t="s">
        <v>140</v>
      </c>
      <c r="AZ5" s="17" t="s">
        <v>141</v>
      </c>
      <c r="BA5" s="17" t="s">
        <v>141</v>
      </c>
      <c r="BB5" s="17" t="s">
        <v>142</v>
      </c>
      <c r="BC5" s="17" t="s">
        <v>142</v>
      </c>
      <c r="BD5" s="27">
        <f>LEN(SUBSTITUTE(BC5,", ",","))</f>
        <v>49</v>
      </c>
      <c r="BE5" s="17" t="s">
        <v>122</v>
      </c>
      <c r="BF5" s="17" t="s">
        <v>123</v>
      </c>
      <c r="BG5" s="17" t="s">
        <v>124</v>
      </c>
      <c r="BH5" s="17" t="s">
        <v>143</v>
      </c>
      <c r="BI5" s="17"/>
      <c r="BJ5" s="17"/>
      <c r="BK5" s="17"/>
      <c r="BL5" s="17"/>
      <c r="BM5" s="17"/>
      <c r="BN5" s="17"/>
      <c r="BO5" s="17"/>
      <c r="BP5" s="17"/>
      <c r="BQ5" s="17"/>
      <c r="BR5" s="17" t="s">
        <v>144</v>
      </c>
      <c r="BS5" s="17" t="s">
        <v>127</v>
      </c>
      <c r="BT5" s="17" t="s">
        <v>128</v>
      </c>
      <c r="BU5" s="17" t="s">
        <v>129</v>
      </c>
      <c r="BV5" s="17" t="s">
        <v>130</v>
      </c>
      <c r="BW5" s="17"/>
      <c r="BX5" s="13" t="s">
        <v>145</v>
      </c>
      <c r="DA5" s="13" t="s">
        <v>10348</v>
      </c>
      <c r="DB5" s="13" t="s">
        <v>10348</v>
      </c>
    </row>
    <row r="6" spans="1:106" s="13" customFormat="1" ht="12.75" customHeight="1" x14ac:dyDescent="0.2">
      <c r="A6" s="13" t="s">
        <v>102</v>
      </c>
      <c r="B6" s="13" t="s">
        <v>103</v>
      </c>
      <c r="D6" s="13" t="s">
        <v>937</v>
      </c>
      <c r="E6" s="17" t="s">
        <v>228</v>
      </c>
      <c r="F6" s="13" t="s">
        <v>937</v>
      </c>
      <c r="G6" s="17" t="s">
        <v>229</v>
      </c>
      <c r="H6" s="13" t="s">
        <v>227</v>
      </c>
      <c r="I6" s="17"/>
      <c r="J6" s="13" t="s">
        <v>106</v>
      </c>
      <c r="W6" s="13">
        <v>64</v>
      </c>
      <c r="X6" s="13">
        <v>64</v>
      </c>
      <c r="Y6" s="13" t="s">
        <v>107</v>
      </c>
      <c r="Z6" s="13" t="s">
        <v>108</v>
      </c>
      <c r="AA6" s="29" t="s">
        <v>107</v>
      </c>
      <c r="AB6" s="13" t="s">
        <v>938</v>
      </c>
      <c r="AC6" s="13" t="s">
        <v>938</v>
      </c>
      <c r="AD6" s="13" t="s">
        <v>938</v>
      </c>
      <c r="AE6" s="14" t="s">
        <v>112</v>
      </c>
      <c r="AF6" s="13" t="s">
        <v>938</v>
      </c>
      <c r="AG6" s="32" t="s">
        <v>938</v>
      </c>
      <c r="AH6" s="13" t="s">
        <v>939</v>
      </c>
      <c r="AL6" s="13" t="s">
        <v>940</v>
      </c>
      <c r="AN6" s="13">
        <v>329</v>
      </c>
      <c r="AO6" s="13" t="s">
        <v>941</v>
      </c>
      <c r="AQ6" s="13" t="s">
        <v>938</v>
      </c>
      <c r="AR6" s="13" t="s">
        <v>938</v>
      </c>
      <c r="AS6" s="13" t="s">
        <v>116</v>
      </c>
      <c r="AT6" s="13" t="s">
        <v>942</v>
      </c>
      <c r="AU6" s="13" t="s">
        <v>943</v>
      </c>
      <c r="AV6" s="13" t="s">
        <v>944</v>
      </c>
      <c r="AY6" s="13" t="s">
        <v>945</v>
      </c>
      <c r="AZ6" s="13" t="s">
        <v>946</v>
      </c>
      <c r="BA6" s="13" t="s">
        <v>946</v>
      </c>
      <c r="BB6" s="13" t="s">
        <v>947</v>
      </c>
      <c r="BC6" s="13" t="s">
        <v>948</v>
      </c>
      <c r="BD6" s="16">
        <f t="shared" ref="BD6:BD18" si="0">LEN(SUBSTITUTE(BC6, ", "," "))</f>
        <v>59</v>
      </c>
      <c r="BE6" s="13" t="s">
        <v>949</v>
      </c>
      <c r="BF6" s="13" t="s">
        <v>950</v>
      </c>
      <c r="BG6" s="13" t="s">
        <v>951</v>
      </c>
      <c r="BJ6" s="13" t="s">
        <v>952</v>
      </c>
      <c r="BK6" s="13" t="s">
        <v>953</v>
      </c>
      <c r="BN6" s="13" t="s">
        <v>954</v>
      </c>
      <c r="BO6" s="13" t="s">
        <v>955</v>
      </c>
      <c r="BP6" s="13" t="s">
        <v>956</v>
      </c>
      <c r="BS6" s="13" t="s">
        <v>127</v>
      </c>
      <c r="BT6" s="13" t="s">
        <v>957</v>
      </c>
      <c r="BU6" s="13" t="s">
        <v>129</v>
      </c>
      <c r="BX6" s="13" t="s">
        <v>958</v>
      </c>
      <c r="DA6" s="13" t="s">
        <v>10348</v>
      </c>
      <c r="DB6" s="13" t="s">
        <v>10348</v>
      </c>
    </row>
    <row r="7" spans="1:106" s="13" customFormat="1" ht="12.75" customHeight="1" x14ac:dyDescent="0.2">
      <c r="A7" s="13" t="s">
        <v>102</v>
      </c>
      <c r="B7" s="13" t="s">
        <v>103</v>
      </c>
      <c r="D7" s="13" t="s">
        <v>937</v>
      </c>
      <c r="E7" s="17" t="s">
        <v>228</v>
      </c>
      <c r="F7" s="13" t="s">
        <v>937</v>
      </c>
      <c r="G7" s="17" t="s">
        <v>229</v>
      </c>
      <c r="H7" s="13" t="s">
        <v>227</v>
      </c>
      <c r="I7" s="17"/>
      <c r="J7" s="13" t="s">
        <v>106</v>
      </c>
      <c r="W7" s="13">
        <v>65</v>
      </c>
      <c r="X7" s="13">
        <v>65</v>
      </c>
      <c r="Y7" s="13" t="s">
        <v>107</v>
      </c>
      <c r="Z7" s="13" t="s">
        <v>108</v>
      </c>
      <c r="AA7" s="29" t="s">
        <v>107</v>
      </c>
      <c r="AB7" s="13" t="s">
        <v>959</v>
      </c>
      <c r="AC7" s="13" t="s">
        <v>959</v>
      </c>
      <c r="AD7" s="13" t="s">
        <v>959</v>
      </c>
      <c r="AE7" s="14" t="s">
        <v>112</v>
      </c>
      <c r="AF7" s="13" t="s">
        <v>959</v>
      </c>
      <c r="AG7" s="32" t="s">
        <v>959</v>
      </c>
      <c r="AH7" s="13" t="s">
        <v>960</v>
      </c>
      <c r="AL7" s="13" t="s">
        <v>961</v>
      </c>
      <c r="AN7" s="13">
        <v>329</v>
      </c>
      <c r="AO7" s="13" t="s">
        <v>962</v>
      </c>
      <c r="AQ7" s="13" t="s">
        <v>959</v>
      </c>
      <c r="AR7" s="13" t="s">
        <v>959</v>
      </c>
      <c r="AS7" s="13" t="s">
        <v>116</v>
      </c>
      <c r="AT7" s="13" t="s">
        <v>963</v>
      </c>
      <c r="AU7" s="13" t="s">
        <v>943</v>
      </c>
      <c r="AV7" s="13" t="s">
        <v>944</v>
      </c>
      <c r="AY7" s="13" t="s">
        <v>964</v>
      </c>
      <c r="AZ7" s="13" t="s">
        <v>965</v>
      </c>
      <c r="BA7" s="13" t="s">
        <v>965</v>
      </c>
      <c r="BB7" s="13" t="s">
        <v>966</v>
      </c>
      <c r="BC7" s="13" t="s">
        <v>967</v>
      </c>
      <c r="BD7" s="16">
        <f t="shared" si="0"/>
        <v>60</v>
      </c>
      <c r="BE7" s="13" t="s">
        <v>949</v>
      </c>
      <c r="BF7" s="13" t="s">
        <v>950</v>
      </c>
      <c r="BG7" s="13" t="s">
        <v>951</v>
      </c>
      <c r="BJ7" s="13" t="s">
        <v>952</v>
      </c>
      <c r="BK7" s="13" t="s">
        <v>953</v>
      </c>
      <c r="BN7" s="13" t="s">
        <v>954</v>
      </c>
      <c r="BO7" s="13" t="s">
        <v>968</v>
      </c>
      <c r="BP7" s="13" t="s">
        <v>969</v>
      </c>
      <c r="BS7" s="13" t="s">
        <v>127</v>
      </c>
      <c r="BT7" s="13" t="s">
        <v>957</v>
      </c>
      <c r="BU7" s="13" t="s">
        <v>129</v>
      </c>
      <c r="BX7" s="13" t="s">
        <v>970</v>
      </c>
      <c r="DA7" s="13" t="s">
        <v>10348</v>
      </c>
      <c r="DB7" s="13" t="s">
        <v>10348</v>
      </c>
    </row>
    <row r="8" spans="1:106" s="13" customFormat="1" ht="12.75" customHeight="1" x14ac:dyDescent="0.2">
      <c r="A8" s="13" t="s">
        <v>102</v>
      </c>
      <c r="B8" s="13" t="s">
        <v>103</v>
      </c>
      <c r="D8" s="13" t="s">
        <v>937</v>
      </c>
      <c r="E8" s="17" t="s">
        <v>228</v>
      </c>
      <c r="F8" s="13" t="s">
        <v>937</v>
      </c>
      <c r="G8" s="17" t="s">
        <v>229</v>
      </c>
      <c r="H8" s="13" t="s">
        <v>227</v>
      </c>
      <c r="I8" s="17"/>
      <c r="J8" s="13" t="s">
        <v>106</v>
      </c>
      <c r="W8" s="13">
        <v>66</v>
      </c>
      <c r="X8" s="13">
        <v>66</v>
      </c>
      <c r="Y8" s="13" t="s">
        <v>107</v>
      </c>
      <c r="Z8" s="13" t="s">
        <v>108</v>
      </c>
      <c r="AA8" s="29" t="s">
        <v>107</v>
      </c>
      <c r="AB8" s="13" t="s">
        <v>971</v>
      </c>
      <c r="AC8" s="13" t="s">
        <v>971</v>
      </c>
      <c r="AD8" s="13" t="s">
        <v>971</v>
      </c>
      <c r="AE8" s="14" t="s">
        <v>112</v>
      </c>
      <c r="AF8" s="13" t="s">
        <v>971</v>
      </c>
      <c r="AG8" s="32" t="s">
        <v>971</v>
      </c>
      <c r="AH8" s="13" t="s">
        <v>972</v>
      </c>
      <c r="AL8" s="13" t="s">
        <v>973</v>
      </c>
      <c r="AN8" s="13">
        <v>329</v>
      </c>
      <c r="AO8" s="13" t="s">
        <v>974</v>
      </c>
      <c r="AQ8" s="13" t="s">
        <v>971</v>
      </c>
      <c r="AR8" s="13" t="s">
        <v>971</v>
      </c>
      <c r="AS8" s="13" t="s">
        <v>116</v>
      </c>
      <c r="AT8" s="13" t="s">
        <v>975</v>
      </c>
      <c r="AU8" s="13" t="s">
        <v>943</v>
      </c>
      <c r="AV8" s="13" t="s">
        <v>944</v>
      </c>
      <c r="AY8" s="13" t="s">
        <v>976</v>
      </c>
      <c r="AZ8" s="13" t="s">
        <v>977</v>
      </c>
      <c r="BA8" s="13" t="s">
        <v>977</v>
      </c>
      <c r="BB8" s="13" t="s">
        <v>978</v>
      </c>
      <c r="BC8" s="13" t="s">
        <v>979</v>
      </c>
      <c r="BD8" s="16">
        <f t="shared" si="0"/>
        <v>57</v>
      </c>
      <c r="BE8" s="13" t="s">
        <v>949</v>
      </c>
      <c r="BF8" s="13" t="s">
        <v>950</v>
      </c>
      <c r="BG8" s="13" t="s">
        <v>951</v>
      </c>
      <c r="BJ8" s="13" t="s">
        <v>952</v>
      </c>
      <c r="BK8" s="13" t="s">
        <v>953</v>
      </c>
      <c r="BN8" s="13" t="s">
        <v>954</v>
      </c>
      <c r="BO8" s="13" t="s">
        <v>980</v>
      </c>
      <c r="BP8" s="13" t="s">
        <v>969</v>
      </c>
      <c r="BS8" s="13" t="s">
        <v>127</v>
      </c>
      <c r="BT8" s="13" t="s">
        <v>957</v>
      </c>
      <c r="BU8" s="13" t="s">
        <v>129</v>
      </c>
      <c r="BX8" s="13" t="s">
        <v>981</v>
      </c>
      <c r="DA8" s="13" t="s">
        <v>10348</v>
      </c>
      <c r="DB8" s="13" t="s">
        <v>10348</v>
      </c>
    </row>
    <row r="9" spans="1:106" s="13" customFormat="1" ht="12.75" customHeight="1" x14ac:dyDescent="0.2">
      <c r="A9" s="13" t="s">
        <v>102</v>
      </c>
      <c r="B9" s="13" t="s">
        <v>103</v>
      </c>
      <c r="D9" s="13" t="s">
        <v>937</v>
      </c>
      <c r="E9" s="17" t="s">
        <v>228</v>
      </c>
      <c r="F9" s="13" t="s">
        <v>937</v>
      </c>
      <c r="G9" s="17" t="s">
        <v>229</v>
      </c>
      <c r="H9" s="13" t="s">
        <v>227</v>
      </c>
      <c r="I9" s="17"/>
      <c r="J9" s="13" t="s">
        <v>106</v>
      </c>
      <c r="W9" s="13">
        <v>67</v>
      </c>
      <c r="X9" s="13">
        <v>67</v>
      </c>
      <c r="Y9" s="13" t="s">
        <v>107</v>
      </c>
      <c r="Z9" s="13" t="s">
        <v>108</v>
      </c>
      <c r="AA9" s="29" t="s">
        <v>107</v>
      </c>
      <c r="AB9" s="13" t="s">
        <v>982</v>
      </c>
      <c r="AC9" s="13" t="s">
        <v>982</v>
      </c>
      <c r="AD9" s="13" t="s">
        <v>982</v>
      </c>
      <c r="AE9" s="14" t="s">
        <v>112</v>
      </c>
      <c r="AF9" s="13" t="s">
        <v>982</v>
      </c>
      <c r="AG9" s="32" t="s">
        <v>982</v>
      </c>
      <c r="AH9" s="13" t="s">
        <v>983</v>
      </c>
      <c r="AL9" s="13" t="s">
        <v>984</v>
      </c>
      <c r="AN9" s="13">
        <v>329</v>
      </c>
      <c r="AO9" s="13" t="s">
        <v>985</v>
      </c>
      <c r="AQ9" s="13" t="s">
        <v>982</v>
      </c>
      <c r="AR9" s="13" t="s">
        <v>982</v>
      </c>
      <c r="AS9" s="13" t="s">
        <v>116</v>
      </c>
      <c r="AT9" s="13" t="s">
        <v>986</v>
      </c>
      <c r="AU9" s="13" t="s">
        <v>943</v>
      </c>
      <c r="AV9" s="13" t="s">
        <v>944</v>
      </c>
      <c r="AY9" s="13" t="s">
        <v>987</v>
      </c>
      <c r="AZ9" s="13" t="s">
        <v>988</v>
      </c>
      <c r="BA9" s="13" t="s">
        <v>988</v>
      </c>
      <c r="BB9" s="13" t="s">
        <v>989</v>
      </c>
      <c r="BC9" s="13" t="s">
        <v>990</v>
      </c>
      <c r="BD9" s="16">
        <f t="shared" si="0"/>
        <v>60</v>
      </c>
      <c r="BE9" s="13" t="s">
        <v>949</v>
      </c>
      <c r="BF9" s="13" t="s">
        <v>950</v>
      </c>
      <c r="BG9" s="13" t="s">
        <v>951</v>
      </c>
      <c r="BJ9" s="13" t="s">
        <v>991</v>
      </c>
      <c r="BK9" s="13" t="s">
        <v>953</v>
      </c>
      <c r="BN9" s="13" t="s">
        <v>954</v>
      </c>
      <c r="BO9" s="13" t="s">
        <v>955</v>
      </c>
      <c r="BP9" s="13" t="s">
        <v>956</v>
      </c>
      <c r="BS9" s="13" t="s">
        <v>127</v>
      </c>
      <c r="BT9" s="13" t="s">
        <v>957</v>
      </c>
      <c r="BU9" s="13" t="s">
        <v>129</v>
      </c>
      <c r="BX9" s="13" t="s">
        <v>992</v>
      </c>
      <c r="DA9" s="13" t="s">
        <v>10348</v>
      </c>
      <c r="DB9" s="13" t="s">
        <v>10348</v>
      </c>
    </row>
    <row r="10" spans="1:106" s="13" customFormat="1" ht="12.75" customHeight="1" x14ac:dyDescent="0.2">
      <c r="A10" s="13" t="s">
        <v>102</v>
      </c>
      <c r="B10" s="13" t="s">
        <v>103</v>
      </c>
      <c r="D10" s="13" t="s">
        <v>937</v>
      </c>
      <c r="E10" s="17" t="s">
        <v>228</v>
      </c>
      <c r="F10" s="13" t="s">
        <v>937</v>
      </c>
      <c r="G10" s="17" t="s">
        <v>993</v>
      </c>
      <c r="H10" s="13" t="s">
        <v>227</v>
      </c>
      <c r="I10" s="17"/>
      <c r="J10" s="13" t="s">
        <v>106</v>
      </c>
      <c r="W10" s="13">
        <v>68</v>
      </c>
      <c r="X10" s="13">
        <v>68</v>
      </c>
      <c r="Y10" s="13" t="s">
        <v>107</v>
      </c>
      <c r="Z10" s="13" t="s">
        <v>108</v>
      </c>
      <c r="AA10" s="29" t="s">
        <v>107</v>
      </c>
      <c r="AB10" s="13" t="s">
        <v>994</v>
      </c>
      <c r="AC10" s="13" t="s">
        <v>994</v>
      </c>
      <c r="AD10" s="13" t="s">
        <v>994</v>
      </c>
      <c r="AE10" s="14" t="s">
        <v>112</v>
      </c>
      <c r="AF10" s="13" t="s">
        <v>994</v>
      </c>
      <c r="AG10" s="32" t="s">
        <v>994</v>
      </c>
      <c r="AH10" s="13" t="s">
        <v>995</v>
      </c>
      <c r="AL10" s="13" t="s">
        <v>996</v>
      </c>
      <c r="AN10" s="13">
        <v>329</v>
      </c>
      <c r="AO10" s="13" t="s">
        <v>997</v>
      </c>
      <c r="AQ10" s="13" t="s">
        <v>994</v>
      </c>
      <c r="AR10" s="13" t="s">
        <v>994</v>
      </c>
      <c r="AS10" s="13" t="s">
        <v>116</v>
      </c>
      <c r="AT10" s="13" t="s">
        <v>998</v>
      </c>
      <c r="AU10" s="13" t="s">
        <v>943</v>
      </c>
      <c r="AV10" s="13" t="s">
        <v>944</v>
      </c>
      <c r="AY10" s="13" t="s">
        <v>999</v>
      </c>
      <c r="AZ10" s="13" t="s">
        <v>1000</v>
      </c>
      <c r="BA10" s="13" t="s">
        <v>1000</v>
      </c>
      <c r="BB10" s="13" t="s">
        <v>1001</v>
      </c>
      <c r="BC10" s="13" t="s">
        <v>1002</v>
      </c>
      <c r="BD10" s="16">
        <f t="shared" si="0"/>
        <v>59</v>
      </c>
      <c r="BE10" s="13" t="s">
        <v>949</v>
      </c>
      <c r="BF10" s="13" t="s">
        <v>950</v>
      </c>
      <c r="BG10" s="13" t="s">
        <v>951</v>
      </c>
      <c r="BJ10" s="13" t="s">
        <v>1003</v>
      </c>
      <c r="BK10" s="13" t="s">
        <v>1004</v>
      </c>
      <c r="BN10" s="13" t="s">
        <v>954</v>
      </c>
      <c r="BO10" s="13" t="s">
        <v>980</v>
      </c>
      <c r="BP10" s="13" t="s">
        <v>969</v>
      </c>
      <c r="BS10" s="13" t="s">
        <v>127</v>
      </c>
      <c r="BT10" s="13" t="s">
        <v>957</v>
      </c>
      <c r="BU10" s="13" t="s">
        <v>129</v>
      </c>
      <c r="BW10" s="13" t="s">
        <v>1005</v>
      </c>
      <c r="BX10" s="13" t="s">
        <v>1006</v>
      </c>
      <c r="DA10" s="13" t="s">
        <v>10348</v>
      </c>
      <c r="DB10" s="13" t="s">
        <v>10348</v>
      </c>
    </row>
    <row r="11" spans="1:106" s="13" customFormat="1" ht="12.75" customHeight="1" x14ac:dyDescent="0.2">
      <c r="A11" s="13" t="s">
        <v>102</v>
      </c>
      <c r="B11" s="13" t="s">
        <v>103</v>
      </c>
      <c r="D11" s="13" t="s">
        <v>937</v>
      </c>
      <c r="E11" s="17" t="s">
        <v>228</v>
      </c>
      <c r="F11" s="13" t="s">
        <v>937</v>
      </c>
      <c r="G11" s="17" t="s">
        <v>993</v>
      </c>
      <c r="H11" s="13" t="s">
        <v>227</v>
      </c>
      <c r="I11" s="17"/>
      <c r="J11" s="13" t="s">
        <v>106</v>
      </c>
      <c r="W11" s="13">
        <v>69</v>
      </c>
      <c r="X11" s="13">
        <v>69</v>
      </c>
      <c r="Y11" s="13" t="s">
        <v>107</v>
      </c>
      <c r="Z11" s="13" t="s">
        <v>108</v>
      </c>
      <c r="AA11" s="29" t="s">
        <v>107</v>
      </c>
      <c r="AB11" s="13" t="s">
        <v>1007</v>
      </c>
      <c r="AC11" s="13" t="s">
        <v>1007</v>
      </c>
      <c r="AD11" s="13" t="s">
        <v>1007</v>
      </c>
      <c r="AE11" s="14" t="s">
        <v>112</v>
      </c>
      <c r="AF11" s="13" t="s">
        <v>1007</v>
      </c>
      <c r="AG11" s="32" t="s">
        <v>1007</v>
      </c>
      <c r="AH11" s="13" t="s">
        <v>1008</v>
      </c>
      <c r="AL11" s="13" t="s">
        <v>1009</v>
      </c>
      <c r="AN11" s="13">
        <v>329</v>
      </c>
      <c r="AO11" s="13" t="s">
        <v>1010</v>
      </c>
      <c r="AQ11" s="13" t="s">
        <v>1007</v>
      </c>
      <c r="AR11" s="13" t="s">
        <v>1007</v>
      </c>
      <c r="AS11" s="13" t="s">
        <v>116</v>
      </c>
      <c r="AT11" s="13" t="s">
        <v>1011</v>
      </c>
      <c r="AU11" s="13" t="s">
        <v>943</v>
      </c>
      <c r="AV11" s="13" t="s">
        <v>944</v>
      </c>
      <c r="AY11" s="13" t="s">
        <v>1012</v>
      </c>
      <c r="AZ11" s="13" t="s">
        <v>1013</v>
      </c>
      <c r="BA11" s="13" t="s">
        <v>1013</v>
      </c>
      <c r="BB11" s="13" t="s">
        <v>1014</v>
      </c>
      <c r="BC11" s="13" t="s">
        <v>1015</v>
      </c>
      <c r="BD11" s="16">
        <f t="shared" si="0"/>
        <v>57</v>
      </c>
      <c r="BE11" s="13" t="s">
        <v>949</v>
      </c>
      <c r="BF11" s="13" t="s">
        <v>950</v>
      </c>
      <c r="BG11" s="13" t="s">
        <v>951</v>
      </c>
      <c r="BJ11" s="13" t="s">
        <v>1003</v>
      </c>
      <c r="BK11" s="13" t="s">
        <v>1004</v>
      </c>
      <c r="BN11" s="13" t="s">
        <v>954</v>
      </c>
      <c r="BO11" s="13" t="s">
        <v>955</v>
      </c>
      <c r="BP11" s="13" t="s">
        <v>956</v>
      </c>
      <c r="BS11" s="13" t="s">
        <v>127</v>
      </c>
      <c r="BT11" s="13" t="s">
        <v>957</v>
      </c>
      <c r="BU11" s="13" t="s">
        <v>129</v>
      </c>
      <c r="BW11" s="13" t="s">
        <v>1005</v>
      </c>
      <c r="BX11" s="13" t="s">
        <v>1016</v>
      </c>
      <c r="DA11" s="13" t="s">
        <v>10348</v>
      </c>
      <c r="DB11" s="13" t="s">
        <v>10348</v>
      </c>
    </row>
    <row r="12" spans="1:106" s="13" customFormat="1" ht="12.75" customHeight="1" x14ac:dyDescent="0.2">
      <c r="A12" s="13" t="s">
        <v>102</v>
      </c>
      <c r="B12" s="13" t="s">
        <v>103</v>
      </c>
      <c r="D12" s="13" t="s">
        <v>937</v>
      </c>
      <c r="E12" s="17" t="s">
        <v>228</v>
      </c>
      <c r="F12" s="13" t="s">
        <v>937</v>
      </c>
      <c r="G12" s="17" t="s">
        <v>993</v>
      </c>
      <c r="H12" s="13" t="s">
        <v>227</v>
      </c>
      <c r="I12" s="17"/>
      <c r="J12" s="13" t="s">
        <v>106</v>
      </c>
      <c r="W12" s="13">
        <v>70</v>
      </c>
      <c r="X12" s="13">
        <v>70</v>
      </c>
      <c r="Y12" s="13" t="s">
        <v>107</v>
      </c>
      <c r="Z12" s="13" t="s">
        <v>108</v>
      </c>
      <c r="AA12" s="29" t="s">
        <v>107</v>
      </c>
      <c r="AB12" s="13" t="s">
        <v>1017</v>
      </c>
      <c r="AC12" s="13" t="s">
        <v>1017</v>
      </c>
      <c r="AD12" s="13" t="s">
        <v>1017</v>
      </c>
      <c r="AE12" s="14" t="s">
        <v>112</v>
      </c>
      <c r="AF12" s="13" t="s">
        <v>1017</v>
      </c>
      <c r="AG12" s="32" t="s">
        <v>1017</v>
      </c>
      <c r="AH12" s="13" t="s">
        <v>1018</v>
      </c>
      <c r="AL12" s="13" t="s">
        <v>1019</v>
      </c>
      <c r="AN12" s="13">
        <v>329</v>
      </c>
      <c r="AO12" s="13" t="s">
        <v>1020</v>
      </c>
      <c r="AQ12" s="13" t="s">
        <v>1017</v>
      </c>
      <c r="AR12" s="13" t="s">
        <v>1017</v>
      </c>
      <c r="AS12" s="13" t="s">
        <v>116</v>
      </c>
      <c r="AT12" s="13" t="s">
        <v>1011</v>
      </c>
      <c r="AU12" s="13" t="s">
        <v>1021</v>
      </c>
      <c r="AV12" s="13" t="s">
        <v>944</v>
      </c>
      <c r="AY12" s="13" t="s">
        <v>1022</v>
      </c>
      <c r="AZ12" s="13" t="s">
        <v>1023</v>
      </c>
      <c r="BA12" s="13" t="s">
        <v>1023</v>
      </c>
      <c r="BB12" s="13" t="s">
        <v>1024</v>
      </c>
      <c r="BC12" s="13" t="s">
        <v>1025</v>
      </c>
      <c r="BD12" s="16">
        <f t="shared" si="0"/>
        <v>59</v>
      </c>
      <c r="BE12" s="13" t="s">
        <v>949</v>
      </c>
      <c r="BF12" s="13" t="s">
        <v>950</v>
      </c>
      <c r="BG12" s="13" t="s">
        <v>951</v>
      </c>
      <c r="BJ12" s="13" t="s">
        <v>1003</v>
      </c>
      <c r="BK12" s="13" t="s">
        <v>1004</v>
      </c>
      <c r="BN12" s="13" t="s">
        <v>954</v>
      </c>
      <c r="BO12" s="13" t="s">
        <v>1026</v>
      </c>
      <c r="BP12" s="13" t="s">
        <v>956</v>
      </c>
      <c r="BS12" s="13" t="s">
        <v>127</v>
      </c>
      <c r="BT12" s="13" t="s">
        <v>957</v>
      </c>
      <c r="BU12" s="13" t="s">
        <v>129</v>
      </c>
      <c r="BW12" s="13" t="s">
        <v>1005</v>
      </c>
      <c r="BX12" s="13" t="s">
        <v>1027</v>
      </c>
      <c r="DA12" s="13" t="s">
        <v>10348</v>
      </c>
      <c r="DB12" s="13" t="s">
        <v>10348</v>
      </c>
    </row>
    <row r="13" spans="1:106" s="13" customFormat="1" ht="12.75" customHeight="1" x14ac:dyDescent="0.2">
      <c r="A13" s="13" t="s">
        <v>102</v>
      </c>
      <c r="B13" s="13" t="s">
        <v>103</v>
      </c>
      <c r="D13" s="13" t="s">
        <v>937</v>
      </c>
      <c r="E13" s="17" t="s">
        <v>228</v>
      </c>
      <c r="F13" s="13" t="s">
        <v>937</v>
      </c>
      <c r="G13" s="17" t="s">
        <v>229</v>
      </c>
      <c r="H13" s="13" t="s">
        <v>227</v>
      </c>
      <c r="I13" s="17"/>
      <c r="J13" s="13" t="s">
        <v>106</v>
      </c>
      <c r="W13" s="13">
        <v>71</v>
      </c>
      <c r="X13" s="13">
        <v>71</v>
      </c>
      <c r="Y13" s="13" t="s">
        <v>107</v>
      </c>
      <c r="Z13" s="13" t="s">
        <v>108</v>
      </c>
      <c r="AA13" s="29" t="s">
        <v>107</v>
      </c>
      <c r="AB13" s="13" t="s">
        <v>1028</v>
      </c>
      <c r="AC13" s="13" t="s">
        <v>1028</v>
      </c>
      <c r="AD13" s="13" t="s">
        <v>1028</v>
      </c>
      <c r="AE13" s="14" t="s">
        <v>112</v>
      </c>
      <c r="AF13" s="13" t="s">
        <v>1028</v>
      </c>
      <c r="AG13" s="32" t="s">
        <v>1028</v>
      </c>
      <c r="AH13" s="13" t="s">
        <v>1029</v>
      </c>
      <c r="AL13" s="13" t="s">
        <v>1030</v>
      </c>
      <c r="AN13" s="13">
        <v>329</v>
      </c>
      <c r="AO13" s="13" t="s">
        <v>1031</v>
      </c>
      <c r="AQ13" s="13" t="s">
        <v>1028</v>
      </c>
      <c r="AR13" s="13" t="s">
        <v>1028</v>
      </c>
      <c r="AS13" s="13" t="s">
        <v>116</v>
      </c>
      <c r="AT13" s="13" t="s">
        <v>1032</v>
      </c>
      <c r="AU13" s="13" t="s">
        <v>943</v>
      </c>
      <c r="AV13" s="13" t="s">
        <v>944</v>
      </c>
      <c r="AY13" s="13" t="s">
        <v>1033</v>
      </c>
      <c r="AZ13" s="13" t="s">
        <v>1034</v>
      </c>
      <c r="BA13" s="13" t="s">
        <v>1034</v>
      </c>
      <c r="BB13" s="13" t="s">
        <v>1035</v>
      </c>
      <c r="BC13" s="13" t="s">
        <v>1036</v>
      </c>
      <c r="BD13" s="16">
        <f t="shared" si="0"/>
        <v>59</v>
      </c>
      <c r="BE13" s="13" t="s">
        <v>949</v>
      </c>
      <c r="BF13" s="13" t="s">
        <v>950</v>
      </c>
      <c r="BG13" s="13" t="s">
        <v>951</v>
      </c>
      <c r="BJ13" s="13" t="s">
        <v>1037</v>
      </c>
      <c r="BK13" s="13" t="s">
        <v>1004</v>
      </c>
      <c r="BN13" s="13" t="s">
        <v>954</v>
      </c>
      <c r="BO13" s="13" t="s">
        <v>955</v>
      </c>
      <c r="BP13" s="13" t="s">
        <v>969</v>
      </c>
      <c r="BS13" s="13" t="s">
        <v>127</v>
      </c>
      <c r="BT13" s="13" t="s">
        <v>957</v>
      </c>
      <c r="BU13" s="13" t="s">
        <v>129</v>
      </c>
      <c r="BX13" s="13" t="s">
        <v>1038</v>
      </c>
      <c r="DA13" s="13" t="s">
        <v>10348</v>
      </c>
      <c r="DB13" s="13" t="s">
        <v>10348</v>
      </c>
    </row>
    <row r="14" spans="1:106" s="13" customFormat="1" ht="12.75" customHeight="1" x14ac:dyDescent="0.2">
      <c r="A14" s="13" t="s">
        <v>102</v>
      </c>
      <c r="B14" s="13" t="s">
        <v>103</v>
      </c>
      <c r="D14" s="13" t="s">
        <v>937</v>
      </c>
      <c r="E14" s="17" t="s">
        <v>228</v>
      </c>
      <c r="F14" s="13" t="s">
        <v>937</v>
      </c>
      <c r="G14" s="17" t="s">
        <v>993</v>
      </c>
      <c r="H14" s="13" t="s">
        <v>227</v>
      </c>
      <c r="I14" s="17"/>
      <c r="J14" s="13" t="s">
        <v>106</v>
      </c>
      <c r="W14" s="13">
        <v>72</v>
      </c>
      <c r="X14" s="13">
        <v>72</v>
      </c>
      <c r="Y14" s="13" t="s">
        <v>107</v>
      </c>
      <c r="Z14" s="13" t="s">
        <v>108</v>
      </c>
      <c r="AA14" s="29" t="s">
        <v>107</v>
      </c>
      <c r="AB14" s="13" t="s">
        <v>1039</v>
      </c>
      <c r="AC14" s="13" t="s">
        <v>1039</v>
      </c>
      <c r="AD14" s="13" t="s">
        <v>1039</v>
      </c>
      <c r="AE14" s="14" t="s">
        <v>112</v>
      </c>
      <c r="AF14" s="13" t="s">
        <v>1039</v>
      </c>
      <c r="AG14" s="32" t="s">
        <v>1039</v>
      </c>
      <c r="AH14" s="13" t="s">
        <v>1040</v>
      </c>
      <c r="AL14" s="13" t="s">
        <v>1041</v>
      </c>
      <c r="AN14" s="13">
        <v>329</v>
      </c>
      <c r="AO14" s="13" t="s">
        <v>1042</v>
      </c>
      <c r="AQ14" s="13" t="s">
        <v>1039</v>
      </c>
      <c r="AR14" s="13" t="s">
        <v>1039</v>
      </c>
      <c r="AS14" s="13" t="s">
        <v>116</v>
      </c>
      <c r="AT14" s="13" t="s">
        <v>1043</v>
      </c>
      <c r="AU14" s="13" t="s">
        <v>943</v>
      </c>
      <c r="AV14" s="13" t="s">
        <v>944</v>
      </c>
      <c r="AY14" s="13" t="s">
        <v>1044</v>
      </c>
      <c r="AZ14" s="13" t="s">
        <v>1045</v>
      </c>
      <c r="BA14" s="13" t="s">
        <v>1045</v>
      </c>
      <c r="BB14" s="13" t="s">
        <v>1046</v>
      </c>
      <c r="BC14" s="13" t="s">
        <v>1047</v>
      </c>
      <c r="BD14" s="16">
        <f t="shared" si="0"/>
        <v>58</v>
      </c>
      <c r="BE14" s="13" t="s">
        <v>949</v>
      </c>
      <c r="BF14" s="13" t="s">
        <v>950</v>
      </c>
      <c r="BG14" s="13" t="s">
        <v>951</v>
      </c>
      <c r="BJ14" s="13" t="s">
        <v>1048</v>
      </c>
      <c r="BK14" s="13" t="s">
        <v>1004</v>
      </c>
      <c r="BN14" s="13" t="s">
        <v>954</v>
      </c>
      <c r="BO14" s="13" t="s">
        <v>955</v>
      </c>
      <c r="BP14" s="13" t="s">
        <v>956</v>
      </c>
      <c r="BS14" s="13" t="s">
        <v>127</v>
      </c>
      <c r="BT14" s="13" t="s">
        <v>957</v>
      </c>
      <c r="BU14" s="13" t="s">
        <v>129</v>
      </c>
      <c r="BW14" s="13" t="s">
        <v>1005</v>
      </c>
      <c r="BX14" s="13" t="s">
        <v>1049</v>
      </c>
      <c r="DA14" s="13" t="s">
        <v>10348</v>
      </c>
      <c r="DB14" s="13" t="s">
        <v>10348</v>
      </c>
    </row>
    <row r="15" spans="1:106" s="13" customFormat="1" ht="12.75" customHeight="1" x14ac:dyDescent="0.2">
      <c r="A15" s="13" t="s">
        <v>102</v>
      </c>
      <c r="B15" s="13" t="s">
        <v>103</v>
      </c>
      <c r="D15" s="13" t="s">
        <v>937</v>
      </c>
      <c r="E15" s="17" t="s">
        <v>228</v>
      </c>
      <c r="F15" s="13" t="s">
        <v>937</v>
      </c>
      <c r="G15" s="17" t="s">
        <v>993</v>
      </c>
      <c r="H15" s="13" t="s">
        <v>227</v>
      </c>
      <c r="I15" s="17"/>
      <c r="J15" s="13" t="s">
        <v>106</v>
      </c>
      <c r="W15" s="13">
        <v>73</v>
      </c>
      <c r="X15" s="13">
        <v>73</v>
      </c>
      <c r="Y15" s="13" t="s">
        <v>107</v>
      </c>
      <c r="Z15" s="13" t="s">
        <v>108</v>
      </c>
      <c r="AA15" s="29" t="s">
        <v>107</v>
      </c>
      <c r="AB15" s="13" t="s">
        <v>1050</v>
      </c>
      <c r="AC15" s="13" t="s">
        <v>1050</v>
      </c>
      <c r="AD15" s="13" t="s">
        <v>1050</v>
      </c>
      <c r="AE15" s="14" t="s">
        <v>112</v>
      </c>
      <c r="AF15" s="13" t="s">
        <v>1050</v>
      </c>
      <c r="AG15" s="32" t="s">
        <v>1050</v>
      </c>
      <c r="AH15" s="13" t="s">
        <v>1051</v>
      </c>
      <c r="AL15" s="13" t="s">
        <v>1052</v>
      </c>
      <c r="AN15" s="13">
        <v>329</v>
      </c>
      <c r="AO15" s="13" t="s">
        <v>1053</v>
      </c>
      <c r="AQ15" s="13" t="s">
        <v>1050</v>
      </c>
      <c r="AR15" s="13" t="s">
        <v>1050</v>
      </c>
      <c r="AS15" s="13" t="s">
        <v>116</v>
      </c>
      <c r="AT15" s="13" t="s">
        <v>1054</v>
      </c>
      <c r="AU15" s="13" t="s">
        <v>943</v>
      </c>
      <c r="AV15" s="13" t="s">
        <v>944</v>
      </c>
      <c r="AY15" s="13" t="s">
        <v>1055</v>
      </c>
      <c r="AZ15" s="13" t="s">
        <v>1056</v>
      </c>
      <c r="BA15" s="13" t="s">
        <v>1056</v>
      </c>
      <c r="BB15" s="13" t="s">
        <v>1057</v>
      </c>
      <c r="BC15" s="13" t="s">
        <v>1058</v>
      </c>
      <c r="BD15" s="16">
        <f t="shared" si="0"/>
        <v>60</v>
      </c>
      <c r="BE15" s="13" t="s">
        <v>949</v>
      </c>
      <c r="BF15" s="13" t="s">
        <v>950</v>
      </c>
      <c r="BG15" s="13" t="s">
        <v>951</v>
      </c>
      <c r="BJ15" s="13" t="s">
        <v>1048</v>
      </c>
      <c r="BK15" s="13" t="s">
        <v>1004</v>
      </c>
      <c r="BN15" s="13" t="s">
        <v>954</v>
      </c>
      <c r="BO15" s="13" t="s">
        <v>1026</v>
      </c>
      <c r="BP15" s="13" t="s">
        <v>956</v>
      </c>
      <c r="BS15" s="13" t="s">
        <v>127</v>
      </c>
      <c r="BT15" s="13" t="s">
        <v>957</v>
      </c>
      <c r="BU15" s="13" t="s">
        <v>129</v>
      </c>
      <c r="BW15" s="13" t="s">
        <v>1005</v>
      </c>
      <c r="BX15" s="13" t="s">
        <v>1059</v>
      </c>
      <c r="DA15" s="13" t="s">
        <v>10348</v>
      </c>
      <c r="DB15" s="13" t="s">
        <v>10348</v>
      </c>
    </row>
    <row r="16" spans="1:106" s="13" customFormat="1" ht="12.75" customHeight="1" x14ac:dyDescent="0.2">
      <c r="A16" s="13" t="s">
        <v>102</v>
      </c>
      <c r="B16" s="13" t="s">
        <v>103</v>
      </c>
      <c r="D16" s="13" t="s">
        <v>937</v>
      </c>
      <c r="E16" s="17" t="s">
        <v>228</v>
      </c>
      <c r="F16" s="13" t="s">
        <v>937</v>
      </c>
      <c r="G16" s="17" t="s">
        <v>229</v>
      </c>
      <c r="H16" s="13" t="s">
        <v>227</v>
      </c>
      <c r="I16" s="17"/>
      <c r="J16" s="13" t="s">
        <v>106</v>
      </c>
      <c r="W16" s="13">
        <v>74</v>
      </c>
      <c r="X16" s="13">
        <v>74</v>
      </c>
      <c r="Y16" s="13" t="s">
        <v>107</v>
      </c>
      <c r="Z16" s="13" t="s">
        <v>108</v>
      </c>
      <c r="AA16" s="29" t="s">
        <v>107</v>
      </c>
      <c r="AB16" s="13" t="s">
        <v>1060</v>
      </c>
      <c r="AC16" s="13" t="s">
        <v>1060</v>
      </c>
      <c r="AD16" s="13" t="s">
        <v>1060</v>
      </c>
      <c r="AE16" s="14" t="s">
        <v>112</v>
      </c>
      <c r="AF16" s="13" t="s">
        <v>1060</v>
      </c>
      <c r="AG16" s="32" t="s">
        <v>1060</v>
      </c>
      <c r="AH16" s="13" t="s">
        <v>1061</v>
      </c>
      <c r="AL16" s="13" t="s">
        <v>1062</v>
      </c>
      <c r="AN16" s="13">
        <v>329</v>
      </c>
      <c r="AO16" s="13" t="s">
        <v>1063</v>
      </c>
      <c r="AQ16" s="13" t="s">
        <v>1060</v>
      </c>
      <c r="AR16" s="13" t="s">
        <v>1060</v>
      </c>
      <c r="AS16" s="13" t="s">
        <v>116</v>
      </c>
      <c r="AT16" s="13" t="s">
        <v>1064</v>
      </c>
      <c r="AU16" s="13" t="s">
        <v>943</v>
      </c>
      <c r="AV16" s="13" t="s">
        <v>944</v>
      </c>
      <c r="AY16" s="13" t="s">
        <v>1065</v>
      </c>
      <c r="AZ16" s="13" t="s">
        <v>1066</v>
      </c>
      <c r="BA16" s="13" t="s">
        <v>1066</v>
      </c>
      <c r="BB16" s="13" t="s">
        <v>1067</v>
      </c>
      <c r="BC16" s="13" t="s">
        <v>1068</v>
      </c>
      <c r="BD16" s="16">
        <f t="shared" si="0"/>
        <v>58</v>
      </c>
      <c r="BE16" s="13" t="s">
        <v>949</v>
      </c>
      <c r="BF16" s="13" t="s">
        <v>950</v>
      </c>
      <c r="BG16" s="13" t="s">
        <v>951</v>
      </c>
      <c r="BJ16" s="13" t="s">
        <v>1069</v>
      </c>
      <c r="BK16" s="13" t="s">
        <v>1070</v>
      </c>
      <c r="BN16" s="13" t="s">
        <v>954</v>
      </c>
      <c r="BO16" s="13" t="s">
        <v>955</v>
      </c>
      <c r="BP16" s="13" t="s">
        <v>956</v>
      </c>
      <c r="BS16" s="13" t="s">
        <v>127</v>
      </c>
      <c r="BT16" s="13" t="s">
        <v>957</v>
      </c>
      <c r="BU16" s="13" t="s">
        <v>129</v>
      </c>
      <c r="BX16" s="13" t="s">
        <v>1071</v>
      </c>
      <c r="DA16" s="13" t="s">
        <v>10348</v>
      </c>
      <c r="DB16" s="13" t="s">
        <v>10348</v>
      </c>
    </row>
    <row r="17" spans="1:106" s="13" customFormat="1" ht="12.75" customHeight="1" x14ac:dyDescent="0.2">
      <c r="A17" s="13" t="s">
        <v>102</v>
      </c>
      <c r="B17" s="13" t="s">
        <v>103</v>
      </c>
      <c r="D17" s="13" t="s">
        <v>937</v>
      </c>
      <c r="E17" s="17" t="s">
        <v>228</v>
      </c>
      <c r="F17" s="13" t="s">
        <v>937</v>
      </c>
      <c r="G17" s="17" t="s">
        <v>229</v>
      </c>
      <c r="H17" s="13" t="s">
        <v>227</v>
      </c>
      <c r="I17" s="17"/>
      <c r="J17" s="13" t="s">
        <v>106</v>
      </c>
      <c r="W17" s="13">
        <v>75</v>
      </c>
      <c r="X17" s="13">
        <v>75</v>
      </c>
      <c r="Y17" s="13" t="s">
        <v>107</v>
      </c>
      <c r="Z17" s="13" t="s">
        <v>108</v>
      </c>
      <c r="AA17" s="29" t="s">
        <v>107</v>
      </c>
      <c r="AB17" s="13" t="s">
        <v>1072</v>
      </c>
      <c r="AC17" s="13" t="s">
        <v>1072</v>
      </c>
      <c r="AD17" s="13" t="s">
        <v>1072</v>
      </c>
      <c r="AE17" s="14" t="s">
        <v>112</v>
      </c>
      <c r="AF17" s="13" t="s">
        <v>1072</v>
      </c>
      <c r="AG17" s="32" t="s">
        <v>1072</v>
      </c>
      <c r="AH17" s="13" t="s">
        <v>1073</v>
      </c>
      <c r="AL17" s="13" t="s">
        <v>1074</v>
      </c>
      <c r="AN17" s="13">
        <v>329</v>
      </c>
      <c r="AO17" s="13" t="s">
        <v>1075</v>
      </c>
      <c r="AQ17" s="13" t="s">
        <v>1072</v>
      </c>
      <c r="AR17" s="13" t="s">
        <v>1072</v>
      </c>
      <c r="AS17" s="13" t="s">
        <v>116</v>
      </c>
      <c r="AT17" s="13" t="s">
        <v>1076</v>
      </c>
      <c r="AU17" s="13" t="s">
        <v>1021</v>
      </c>
      <c r="AV17" s="13" t="s">
        <v>944</v>
      </c>
      <c r="AY17" s="13" t="s">
        <v>1077</v>
      </c>
      <c r="AZ17" s="13" t="s">
        <v>1078</v>
      </c>
      <c r="BA17" s="13" t="s">
        <v>1078</v>
      </c>
      <c r="BB17" s="13" t="s">
        <v>1079</v>
      </c>
      <c r="BC17" s="13" t="s">
        <v>1080</v>
      </c>
      <c r="BD17" s="16">
        <f t="shared" si="0"/>
        <v>57</v>
      </c>
      <c r="BE17" s="13" t="s">
        <v>949</v>
      </c>
      <c r="BF17" s="13" t="s">
        <v>950</v>
      </c>
      <c r="BG17" s="13" t="s">
        <v>951</v>
      </c>
      <c r="BJ17" s="13" t="s">
        <v>1081</v>
      </c>
      <c r="BK17" s="13" t="s">
        <v>1082</v>
      </c>
      <c r="BN17" s="13" t="s">
        <v>954</v>
      </c>
      <c r="BO17" s="13" t="s">
        <v>955</v>
      </c>
      <c r="BP17" s="13" t="s">
        <v>956</v>
      </c>
      <c r="BS17" s="13" t="s">
        <v>127</v>
      </c>
      <c r="BT17" s="13" t="s">
        <v>957</v>
      </c>
      <c r="BU17" s="13" t="s">
        <v>129</v>
      </c>
      <c r="BX17" s="13" t="s">
        <v>1083</v>
      </c>
      <c r="DA17" s="13" t="s">
        <v>10348</v>
      </c>
      <c r="DB17" s="13" t="s">
        <v>10348</v>
      </c>
    </row>
    <row r="18" spans="1:106" s="13" customFormat="1" ht="12.75" customHeight="1" x14ac:dyDescent="0.2">
      <c r="A18" s="13" t="s">
        <v>102</v>
      </c>
      <c r="B18" s="13" t="s">
        <v>103</v>
      </c>
      <c r="D18" s="13" t="s">
        <v>937</v>
      </c>
      <c r="E18" s="17" t="s">
        <v>228</v>
      </c>
      <c r="F18" s="13" t="s">
        <v>937</v>
      </c>
      <c r="G18" s="17" t="s">
        <v>229</v>
      </c>
      <c r="H18" s="13" t="s">
        <v>227</v>
      </c>
      <c r="I18" s="17"/>
      <c r="J18" s="13" t="s">
        <v>106</v>
      </c>
      <c r="W18" s="13">
        <v>76</v>
      </c>
      <c r="X18" s="13">
        <v>76</v>
      </c>
      <c r="Y18" s="13" t="s">
        <v>107</v>
      </c>
      <c r="Z18" s="13" t="s">
        <v>108</v>
      </c>
      <c r="AA18" s="29" t="s">
        <v>107</v>
      </c>
      <c r="AB18" s="13" t="s">
        <v>1084</v>
      </c>
      <c r="AC18" s="13" t="s">
        <v>1084</v>
      </c>
      <c r="AD18" s="13" t="s">
        <v>1084</v>
      </c>
      <c r="AE18" s="14" t="s">
        <v>112</v>
      </c>
      <c r="AF18" s="13" t="s">
        <v>1084</v>
      </c>
      <c r="AG18" s="32" t="s">
        <v>1084</v>
      </c>
      <c r="AH18" s="13" t="s">
        <v>1085</v>
      </c>
      <c r="AL18" s="13" t="s">
        <v>1086</v>
      </c>
      <c r="AN18" s="13">
        <v>329</v>
      </c>
      <c r="AO18" s="13" t="s">
        <v>1087</v>
      </c>
      <c r="AQ18" s="13" t="s">
        <v>1084</v>
      </c>
      <c r="AR18" s="13" t="s">
        <v>1084</v>
      </c>
      <c r="AS18" s="13" t="s">
        <v>116</v>
      </c>
      <c r="AT18" s="13" t="s">
        <v>1088</v>
      </c>
      <c r="AU18" s="13" t="s">
        <v>1021</v>
      </c>
      <c r="AV18" s="13" t="s">
        <v>944</v>
      </c>
      <c r="AY18" s="13" t="s">
        <v>1089</v>
      </c>
      <c r="AZ18" s="13" t="s">
        <v>1090</v>
      </c>
      <c r="BA18" s="13" t="s">
        <v>1090</v>
      </c>
      <c r="BB18" s="13" t="s">
        <v>1091</v>
      </c>
      <c r="BC18" s="13" t="s">
        <v>1092</v>
      </c>
      <c r="BD18" s="16">
        <f t="shared" si="0"/>
        <v>58</v>
      </c>
      <c r="BE18" s="13" t="s">
        <v>949</v>
      </c>
      <c r="BF18" s="13" t="s">
        <v>950</v>
      </c>
      <c r="BG18" s="13" t="s">
        <v>951</v>
      </c>
      <c r="BJ18" s="13" t="s">
        <v>1093</v>
      </c>
      <c r="BK18" s="13" t="s">
        <v>1082</v>
      </c>
      <c r="BN18" s="13" t="s">
        <v>954</v>
      </c>
      <c r="BO18" s="13" t="s">
        <v>955</v>
      </c>
      <c r="BP18" s="13" t="s">
        <v>956</v>
      </c>
      <c r="BS18" s="13" t="s">
        <v>127</v>
      </c>
      <c r="BT18" s="13" t="s">
        <v>957</v>
      </c>
      <c r="BU18" s="13" t="s">
        <v>129</v>
      </c>
      <c r="BX18" s="13" t="s">
        <v>1094</v>
      </c>
      <c r="DA18" s="13" t="s">
        <v>10348</v>
      </c>
      <c r="DB18" s="13" t="s">
        <v>10348</v>
      </c>
    </row>
    <row r="19" spans="1:106" s="13" customFormat="1" ht="12.75" customHeight="1" x14ac:dyDescent="0.2">
      <c r="A19" s="13" t="s">
        <v>102</v>
      </c>
      <c r="B19" s="13" t="s">
        <v>103</v>
      </c>
      <c r="D19" s="13" t="s">
        <v>227</v>
      </c>
      <c r="E19" s="13" t="s">
        <v>228</v>
      </c>
      <c r="F19" s="13" t="s">
        <v>227</v>
      </c>
      <c r="G19" s="13" t="s">
        <v>229</v>
      </c>
      <c r="H19" s="13" t="s">
        <v>227</v>
      </c>
      <c r="J19" s="13" t="s">
        <v>106</v>
      </c>
      <c r="W19" s="13">
        <v>79</v>
      </c>
      <c r="X19" s="13">
        <v>79</v>
      </c>
      <c r="Y19" s="13" t="s">
        <v>107</v>
      </c>
      <c r="Z19" s="13" t="s">
        <v>108</v>
      </c>
      <c r="AA19" s="29" t="s">
        <v>107</v>
      </c>
      <c r="AB19" s="13" t="s">
        <v>1121</v>
      </c>
      <c r="AC19" s="13" t="s">
        <v>1121</v>
      </c>
      <c r="AD19" s="13" t="s">
        <v>1121</v>
      </c>
      <c r="AE19" s="14" t="s">
        <v>112</v>
      </c>
      <c r="AF19" s="13" t="s">
        <v>1121</v>
      </c>
      <c r="AG19" s="13" t="s">
        <v>1121</v>
      </c>
      <c r="AH19" s="14" t="s">
        <v>1122</v>
      </c>
      <c r="AL19" s="13" t="s">
        <v>1123</v>
      </c>
      <c r="AN19" s="13">
        <v>329</v>
      </c>
      <c r="AO19" s="13" t="s">
        <v>1124</v>
      </c>
      <c r="AQ19" s="13" t="s">
        <v>1121</v>
      </c>
      <c r="AR19" s="13" t="s">
        <v>1121</v>
      </c>
      <c r="AS19" s="13" t="s">
        <v>116</v>
      </c>
      <c r="AT19" s="13" t="s">
        <v>1125</v>
      </c>
      <c r="AU19" s="13" t="s">
        <v>1126</v>
      </c>
      <c r="AV19" s="14" t="s">
        <v>1127</v>
      </c>
      <c r="AY19" s="13" t="s">
        <v>1128</v>
      </c>
      <c r="AZ19" s="13" t="s">
        <v>1129</v>
      </c>
      <c r="BA19" s="13" t="s">
        <v>1129</v>
      </c>
      <c r="BB19" s="13" t="s">
        <v>1130</v>
      </c>
      <c r="BC19" s="13" t="s">
        <v>1131</v>
      </c>
      <c r="BD19" s="30">
        <f t="shared" ref="BD19:BD64" si="1">LEN(SUBSTITUTE(BC19, ", ",","))</f>
        <v>57</v>
      </c>
      <c r="BE19" s="13" t="s">
        <v>1132</v>
      </c>
      <c r="BF19" s="13" t="s">
        <v>1133</v>
      </c>
      <c r="BG19" s="13" t="s">
        <v>1134</v>
      </c>
      <c r="BH19" s="13" t="s">
        <v>1135</v>
      </c>
      <c r="BJ19" s="13" t="s">
        <v>1136</v>
      </c>
      <c r="BO19" s="13" t="s">
        <v>1137</v>
      </c>
      <c r="BS19" s="13" t="s">
        <v>127</v>
      </c>
      <c r="BU19" s="13" t="s">
        <v>129</v>
      </c>
      <c r="BX19" s="13" t="s">
        <v>1138</v>
      </c>
      <c r="DA19" s="13" t="s">
        <v>10348</v>
      </c>
      <c r="DB19" s="13" t="s">
        <v>10348</v>
      </c>
    </row>
    <row r="20" spans="1:106" s="13" customFormat="1" ht="12.75" customHeight="1" x14ac:dyDescent="0.2">
      <c r="A20" s="13" t="s">
        <v>102</v>
      </c>
      <c r="B20" s="13" t="s">
        <v>103</v>
      </c>
      <c r="D20" s="13" t="s">
        <v>227</v>
      </c>
      <c r="E20" s="13" t="s">
        <v>228</v>
      </c>
      <c r="F20" s="13" t="s">
        <v>227</v>
      </c>
      <c r="G20" s="13" t="s">
        <v>229</v>
      </c>
      <c r="H20" s="13" t="s">
        <v>227</v>
      </c>
      <c r="J20" s="13" t="s">
        <v>106</v>
      </c>
      <c r="W20" s="13">
        <v>80</v>
      </c>
      <c r="X20" s="13">
        <v>80</v>
      </c>
      <c r="Y20" s="13" t="s">
        <v>107</v>
      </c>
      <c r="Z20" s="13" t="s">
        <v>108</v>
      </c>
      <c r="AA20" s="29" t="s">
        <v>107</v>
      </c>
      <c r="AB20" s="13" t="s">
        <v>1139</v>
      </c>
      <c r="AC20" s="13" t="s">
        <v>1139</v>
      </c>
      <c r="AD20" s="13" t="s">
        <v>1139</v>
      </c>
      <c r="AE20" s="14" t="s">
        <v>112</v>
      </c>
      <c r="AF20" s="13" t="s">
        <v>1139</v>
      </c>
      <c r="AG20" s="13" t="s">
        <v>1139</v>
      </c>
      <c r="AH20" s="14" t="s">
        <v>1140</v>
      </c>
      <c r="AL20" s="13" t="s">
        <v>1141</v>
      </c>
      <c r="AN20" s="13">
        <v>329</v>
      </c>
      <c r="AO20" s="13" t="s">
        <v>1142</v>
      </c>
      <c r="AQ20" s="13" t="s">
        <v>1139</v>
      </c>
      <c r="AR20" s="13" t="s">
        <v>1139</v>
      </c>
      <c r="AS20" s="13" t="s">
        <v>116</v>
      </c>
      <c r="AT20" s="13" t="s">
        <v>1143</v>
      </c>
      <c r="AU20" s="13" t="s">
        <v>1126</v>
      </c>
      <c r="AV20" s="14" t="s">
        <v>1127</v>
      </c>
      <c r="AY20" s="13" t="s">
        <v>1144</v>
      </c>
      <c r="AZ20" s="13" t="s">
        <v>1145</v>
      </c>
      <c r="BA20" s="13" t="s">
        <v>1145</v>
      </c>
      <c r="BB20" s="13" t="s">
        <v>1146</v>
      </c>
      <c r="BC20" s="13" t="s">
        <v>1147</v>
      </c>
      <c r="BD20" s="30">
        <f t="shared" si="1"/>
        <v>59</v>
      </c>
      <c r="BE20" s="13" t="s">
        <v>1132</v>
      </c>
      <c r="BF20" s="13" t="s">
        <v>1133</v>
      </c>
      <c r="BG20" s="13" t="s">
        <v>1134</v>
      </c>
      <c r="BH20" s="13" t="s">
        <v>1135</v>
      </c>
      <c r="BJ20" s="13" t="s">
        <v>1148</v>
      </c>
      <c r="BO20" s="13" t="s">
        <v>1137</v>
      </c>
      <c r="BS20" s="13" t="s">
        <v>127</v>
      </c>
      <c r="BU20" s="13" t="s">
        <v>129</v>
      </c>
      <c r="BX20" s="13" t="s">
        <v>1149</v>
      </c>
      <c r="DA20" s="13" t="s">
        <v>10348</v>
      </c>
      <c r="DB20" s="13" t="s">
        <v>10348</v>
      </c>
    </row>
    <row r="21" spans="1:106" s="13" customFormat="1" ht="12.75" customHeight="1" x14ac:dyDescent="0.2">
      <c r="A21" s="13" t="s">
        <v>102</v>
      </c>
      <c r="B21" s="13" t="s">
        <v>103</v>
      </c>
      <c r="D21" s="13" t="s">
        <v>227</v>
      </c>
      <c r="E21" s="13" t="s">
        <v>228</v>
      </c>
      <c r="F21" s="13" t="s">
        <v>227</v>
      </c>
      <c r="G21" s="13" t="s">
        <v>229</v>
      </c>
      <c r="H21" s="13" t="s">
        <v>227</v>
      </c>
      <c r="J21" s="13" t="s">
        <v>106</v>
      </c>
      <c r="W21" s="13">
        <v>81</v>
      </c>
      <c r="X21" s="13">
        <v>81</v>
      </c>
      <c r="Y21" s="13" t="s">
        <v>107</v>
      </c>
      <c r="Z21" s="13" t="s">
        <v>108</v>
      </c>
      <c r="AA21" s="29" t="s">
        <v>107</v>
      </c>
      <c r="AB21" s="13" t="s">
        <v>1150</v>
      </c>
      <c r="AC21" s="13" t="s">
        <v>1150</v>
      </c>
      <c r="AD21" s="13" t="s">
        <v>1150</v>
      </c>
      <c r="AE21" s="14" t="s">
        <v>112</v>
      </c>
      <c r="AF21" s="13" t="s">
        <v>1150</v>
      </c>
      <c r="AG21" s="13" t="s">
        <v>1150</v>
      </c>
      <c r="AH21" s="14" t="s">
        <v>1151</v>
      </c>
      <c r="AL21" s="13" t="s">
        <v>1152</v>
      </c>
      <c r="AN21" s="13">
        <v>329</v>
      </c>
      <c r="AO21" s="13" t="s">
        <v>1153</v>
      </c>
      <c r="AQ21" s="13" t="s">
        <v>1150</v>
      </c>
      <c r="AR21" s="13" t="s">
        <v>1150</v>
      </c>
      <c r="AS21" s="13" t="s">
        <v>116</v>
      </c>
      <c r="AT21" s="13" t="s">
        <v>1154</v>
      </c>
      <c r="AU21" s="13" t="s">
        <v>1155</v>
      </c>
      <c r="AV21" s="14" t="s">
        <v>1127</v>
      </c>
      <c r="AY21" s="13" t="s">
        <v>1156</v>
      </c>
      <c r="AZ21" s="13" t="s">
        <v>1157</v>
      </c>
      <c r="BA21" s="13" t="s">
        <v>1157</v>
      </c>
      <c r="BB21" s="13" t="s">
        <v>1158</v>
      </c>
      <c r="BC21" s="13" t="s">
        <v>1159</v>
      </c>
      <c r="BD21" s="30">
        <f t="shared" si="1"/>
        <v>56</v>
      </c>
      <c r="BE21" s="13" t="s">
        <v>1132</v>
      </c>
      <c r="BF21" s="13" t="s">
        <v>1133</v>
      </c>
      <c r="BG21" s="13" t="s">
        <v>1160</v>
      </c>
      <c r="BH21" s="13" t="s">
        <v>1161</v>
      </c>
      <c r="BJ21" s="13" t="s">
        <v>1162</v>
      </c>
      <c r="BN21" s="13" t="s">
        <v>1163</v>
      </c>
      <c r="BO21" s="13" t="s">
        <v>1164</v>
      </c>
      <c r="BR21" s="13" t="s">
        <v>1165</v>
      </c>
      <c r="BS21" s="13" t="s">
        <v>127</v>
      </c>
      <c r="BT21" s="13" t="s">
        <v>1166</v>
      </c>
      <c r="BU21" s="13" t="s">
        <v>129</v>
      </c>
      <c r="BX21" s="13" t="s">
        <v>1167</v>
      </c>
      <c r="DA21" s="13" t="s">
        <v>10348</v>
      </c>
      <c r="DB21" s="13" t="s">
        <v>10348</v>
      </c>
    </row>
    <row r="22" spans="1:106" s="13" customFormat="1" ht="12.75" customHeight="1" x14ac:dyDescent="0.2">
      <c r="A22" s="13" t="s">
        <v>102</v>
      </c>
      <c r="B22" s="13" t="s">
        <v>103</v>
      </c>
      <c r="D22" s="13" t="s">
        <v>227</v>
      </c>
      <c r="E22" s="13" t="s">
        <v>228</v>
      </c>
      <c r="F22" s="13" t="s">
        <v>227</v>
      </c>
      <c r="G22" s="13" t="s">
        <v>229</v>
      </c>
      <c r="H22" s="13" t="s">
        <v>227</v>
      </c>
      <c r="J22" s="13" t="s">
        <v>106</v>
      </c>
      <c r="W22" s="13">
        <v>82</v>
      </c>
      <c r="X22" s="13">
        <v>82</v>
      </c>
      <c r="Y22" s="13" t="s">
        <v>107</v>
      </c>
      <c r="Z22" s="13" t="s">
        <v>108</v>
      </c>
      <c r="AA22" s="29" t="s">
        <v>107</v>
      </c>
      <c r="AB22" s="13" t="s">
        <v>1168</v>
      </c>
      <c r="AC22" s="13" t="s">
        <v>1168</v>
      </c>
      <c r="AD22" s="13" t="s">
        <v>1168</v>
      </c>
      <c r="AE22" s="14" t="s">
        <v>112</v>
      </c>
      <c r="AF22" s="13" t="s">
        <v>1168</v>
      </c>
      <c r="AG22" s="13" t="s">
        <v>1168</v>
      </c>
      <c r="AH22" s="14" t="s">
        <v>1169</v>
      </c>
      <c r="AL22" s="13" t="s">
        <v>1170</v>
      </c>
      <c r="AN22" s="13">
        <v>329</v>
      </c>
      <c r="AO22" s="13" t="s">
        <v>1171</v>
      </c>
      <c r="AQ22" s="13" t="s">
        <v>1168</v>
      </c>
      <c r="AR22" s="13" t="s">
        <v>1168</v>
      </c>
      <c r="AS22" s="13" t="s">
        <v>116</v>
      </c>
      <c r="AT22" s="13" t="s">
        <v>1172</v>
      </c>
      <c r="AU22" s="13" t="s">
        <v>1155</v>
      </c>
      <c r="AV22" s="14" t="s">
        <v>1127</v>
      </c>
      <c r="AY22" s="13" t="s">
        <v>1173</v>
      </c>
      <c r="AZ22" s="13" t="s">
        <v>1174</v>
      </c>
      <c r="BA22" s="13" t="s">
        <v>1174</v>
      </c>
      <c r="BB22" s="13" t="s">
        <v>1175</v>
      </c>
      <c r="BC22" s="13" t="s">
        <v>1176</v>
      </c>
      <c r="BD22" s="30">
        <f t="shared" si="1"/>
        <v>56</v>
      </c>
      <c r="BE22" s="13" t="s">
        <v>1132</v>
      </c>
      <c r="BF22" s="13" t="s">
        <v>1133</v>
      </c>
      <c r="BG22" s="13" t="s">
        <v>1160</v>
      </c>
      <c r="BH22" s="13" t="s">
        <v>1161</v>
      </c>
      <c r="BJ22" s="13" t="s">
        <v>1136</v>
      </c>
      <c r="BN22" s="13" t="s">
        <v>1163</v>
      </c>
      <c r="BO22" s="13" t="s">
        <v>1164</v>
      </c>
      <c r="BR22" s="13" t="s">
        <v>1177</v>
      </c>
      <c r="BS22" s="13" t="s">
        <v>127</v>
      </c>
      <c r="BT22" s="13" t="s">
        <v>1166</v>
      </c>
      <c r="BU22" s="13" t="s">
        <v>129</v>
      </c>
      <c r="BX22" s="13" t="s">
        <v>1178</v>
      </c>
      <c r="DA22" s="13" t="s">
        <v>10348</v>
      </c>
      <c r="DB22" s="13" t="s">
        <v>10348</v>
      </c>
    </row>
    <row r="23" spans="1:106" s="13" customFormat="1" ht="12.75" customHeight="1" x14ac:dyDescent="0.2">
      <c r="A23" s="13" t="s">
        <v>102</v>
      </c>
      <c r="B23" s="13" t="s">
        <v>103</v>
      </c>
      <c r="D23" s="13" t="s">
        <v>227</v>
      </c>
      <c r="E23" s="13" t="s">
        <v>228</v>
      </c>
      <c r="F23" s="13" t="s">
        <v>227</v>
      </c>
      <c r="G23" s="13" t="s">
        <v>229</v>
      </c>
      <c r="H23" s="13" t="s">
        <v>227</v>
      </c>
      <c r="J23" s="13" t="s">
        <v>106</v>
      </c>
      <c r="W23" s="13">
        <v>83</v>
      </c>
      <c r="X23" s="13">
        <v>83</v>
      </c>
      <c r="Y23" s="13" t="s">
        <v>107</v>
      </c>
      <c r="Z23" s="13" t="s">
        <v>108</v>
      </c>
      <c r="AA23" s="29" t="s">
        <v>107</v>
      </c>
      <c r="AB23" s="13" t="s">
        <v>1179</v>
      </c>
      <c r="AC23" s="13" t="s">
        <v>1179</v>
      </c>
      <c r="AD23" s="13" t="s">
        <v>1179</v>
      </c>
      <c r="AE23" s="14" t="s">
        <v>112</v>
      </c>
      <c r="AF23" s="13" t="s">
        <v>1179</v>
      </c>
      <c r="AG23" s="13" t="s">
        <v>1179</v>
      </c>
      <c r="AH23" s="14" t="s">
        <v>1180</v>
      </c>
      <c r="AL23" s="13" t="s">
        <v>1181</v>
      </c>
      <c r="AN23" s="13">
        <v>329</v>
      </c>
      <c r="AO23" s="13" t="s">
        <v>1182</v>
      </c>
      <c r="AQ23" s="13" t="s">
        <v>1179</v>
      </c>
      <c r="AR23" s="13" t="s">
        <v>1179</v>
      </c>
      <c r="AS23" s="13" t="s">
        <v>116</v>
      </c>
      <c r="AT23" s="13" t="s">
        <v>1183</v>
      </c>
      <c r="AU23" s="13" t="s">
        <v>1155</v>
      </c>
      <c r="AV23" s="14" t="s">
        <v>1127</v>
      </c>
      <c r="AY23" s="13" t="s">
        <v>1184</v>
      </c>
      <c r="AZ23" s="13" t="s">
        <v>1185</v>
      </c>
      <c r="BA23" s="13" t="s">
        <v>1185</v>
      </c>
      <c r="BB23" s="13" t="s">
        <v>1186</v>
      </c>
      <c r="BC23" s="13" t="s">
        <v>1187</v>
      </c>
      <c r="BD23" s="30">
        <f t="shared" si="1"/>
        <v>56</v>
      </c>
      <c r="BE23" s="13" t="s">
        <v>1132</v>
      </c>
      <c r="BF23" s="13" t="s">
        <v>1133</v>
      </c>
      <c r="BG23" s="13" t="s">
        <v>1160</v>
      </c>
      <c r="BH23" s="13" t="s">
        <v>1161</v>
      </c>
      <c r="BJ23" s="13" t="s">
        <v>1188</v>
      </c>
      <c r="BN23" s="13" t="s">
        <v>1163</v>
      </c>
      <c r="BO23" s="13" t="s">
        <v>1164</v>
      </c>
      <c r="BR23" s="13" t="s">
        <v>1189</v>
      </c>
      <c r="BS23" s="13" t="s">
        <v>127</v>
      </c>
      <c r="BT23" s="13" t="s">
        <v>1166</v>
      </c>
      <c r="BU23" s="13" t="s">
        <v>129</v>
      </c>
      <c r="BX23" s="13" t="s">
        <v>1190</v>
      </c>
      <c r="DA23" s="13" t="s">
        <v>10348</v>
      </c>
      <c r="DB23" s="13" t="s">
        <v>10348</v>
      </c>
    </row>
    <row r="24" spans="1:106" s="13" customFormat="1" ht="12.75" customHeight="1" x14ac:dyDescent="0.2">
      <c r="A24" s="13" t="s">
        <v>102</v>
      </c>
      <c r="B24" s="13" t="s">
        <v>103</v>
      </c>
      <c r="D24" s="13" t="s">
        <v>227</v>
      </c>
      <c r="E24" s="13" t="s">
        <v>228</v>
      </c>
      <c r="F24" s="13" t="s">
        <v>227</v>
      </c>
      <c r="G24" s="13" t="s">
        <v>229</v>
      </c>
      <c r="H24" s="13" t="s">
        <v>227</v>
      </c>
      <c r="J24" s="13" t="s">
        <v>106</v>
      </c>
      <c r="W24" s="13">
        <v>84</v>
      </c>
      <c r="X24" s="13">
        <v>84</v>
      </c>
      <c r="Y24" s="13" t="s">
        <v>107</v>
      </c>
      <c r="Z24" s="13" t="s">
        <v>108</v>
      </c>
      <c r="AA24" s="29" t="s">
        <v>107</v>
      </c>
      <c r="AB24" s="13" t="s">
        <v>1191</v>
      </c>
      <c r="AC24" s="13" t="s">
        <v>1191</v>
      </c>
      <c r="AD24" s="13" t="s">
        <v>1191</v>
      </c>
      <c r="AE24" s="14" t="s">
        <v>112</v>
      </c>
      <c r="AF24" s="13" t="s">
        <v>1191</v>
      </c>
      <c r="AG24" s="13" t="s">
        <v>1191</v>
      </c>
      <c r="AH24" s="14" t="s">
        <v>1192</v>
      </c>
      <c r="AL24" s="13" t="s">
        <v>1193</v>
      </c>
      <c r="AN24" s="13">
        <v>329</v>
      </c>
      <c r="AO24" s="13" t="s">
        <v>1194</v>
      </c>
      <c r="AQ24" s="13" t="s">
        <v>1191</v>
      </c>
      <c r="AR24" s="13" t="s">
        <v>1191</v>
      </c>
      <c r="AS24" s="13" t="s">
        <v>116</v>
      </c>
      <c r="AT24" s="13" t="s">
        <v>1195</v>
      </c>
      <c r="AU24" s="13" t="s">
        <v>1155</v>
      </c>
      <c r="AV24" s="14" t="s">
        <v>1127</v>
      </c>
      <c r="AY24" s="13" t="s">
        <v>1196</v>
      </c>
      <c r="AZ24" s="13" t="s">
        <v>1197</v>
      </c>
      <c r="BA24" s="13" t="s">
        <v>1197</v>
      </c>
      <c r="BB24" s="13" t="s">
        <v>1198</v>
      </c>
      <c r="BC24" s="13" t="s">
        <v>1199</v>
      </c>
      <c r="BD24" s="30">
        <f t="shared" si="1"/>
        <v>56</v>
      </c>
      <c r="BE24" s="13" t="s">
        <v>1132</v>
      </c>
      <c r="BF24" s="13" t="s">
        <v>1133</v>
      </c>
      <c r="BG24" s="13" t="s">
        <v>1160</v>
      </c>
      <c r="BH24" s="13" t="s">
        <v>1161</v>
      </c>
      <c r="BJ24" s="13" t="s">
        <v>1200</v>
      </c>
      <c r="BN24" s="13" t="s">
        <v>1163</v>
      </c>
      <c r="BO24" s="13" t="s">
        <v>1164</v>
      </c>
      <c r="BR24" s="13" t="s">
        <v>1189</v>
      </c>
      <c r="BS24" s="13" t="s">
        <v>127</v>
      </c>
      <c r="BT24" s="13" t="s">
        <v>1166</v>
      </c>
      <c r="BU24" s="13" t="s">
        <v>129</v>
      </c>
      <c r="BX24" s="13" t="s">
        <v>1201</v>
      </c>
      <c r="DA24" s="13" t="s">
        <v>10348</v>
      </c>
      <c r="DB24" s="13" t="s">
        <v>10348</v>
      </c>
    </row>
    <row r="25" spans="1:106" s="13" customFormat="1" ht="12.75" customHeight="1" x14ac:dyDescent="0.2">
      <c r="A25" s="13" t="s">
        <v>102</v>
      </c>
      <c r="B25" s="13" t="s">
        <v>103</v>
      </c>
      <c r="D25" s="13" t="s">
        <v>227</v>
      </c>
      <c r="E25" s="13" t="s">
        <v>228</v>
      </c>
      <c r="F25" s="13" t="s">
        <v>227</v>
      </c>
      <c r="G25" s="13" t="s">
        <v>229</v>
      </c>
      <c r="H25" s="13" t="s">
        <v>227</v>
      </c>
      <c r="J25" s="13" t="s">
        <v>106</v>
      </c>
      <c r="W25" s="13">
        <v>85</v>
      </c>
      <c r="X25" s="13">
        <v>85</v>
      </c>
      <c r="Y25" s="13" t="s">
        <v>107</v>
      </c>
      <c r="Z25" s="13" t="s">
        <v>108</v>
      </c>
      <c r="AA25" s="29" t="s">
        <v>107</v>
      </c>
      <c r="AB25" s="13" t="s">
        <v>1202</v>
      </c>
      <c r="AC25" s="13" t="s">
        <v>1202</v>
      </c>
      <c r="AD25" s="13" t="s">
        <v>1202</v>
      </c>
      <c r="AE25" s="14" t="s">
        <v>112</v>
      </c>
      <c r="AF25" s="13" t="s">
        <v>1202</v>
      </c>
      <c r="AG25" s="13" t="s">
        <v>1202</v>
      </c>
      <c r="AH25" s="14" t="s">
        <v>1203</v>
      </c>
      <c r="AL25" s="13" t="s">
        <v>1204</v>
      </c>
      <c r="AN25" s="13">
        <v>329</v>
      </c>
      <c r="AO25" s="13" t="s">
        <v>1205</v>
      </c>
      <c r="AQ25" s="13" t="s">
        <v>1202</v>
      </c>
      <c r="AR25" s="13" t="s">
        <v>1202</v>
      </c>
      <c r="AS25" s="13" t="s">
        <v>116</v>
      </c>
      <c r="AT25" s="13" t="s">
        <v>1204</v>
      </c>
      <c r="AU25" s="13" t="s">
        <v>783</v>
      </c>
      <c r="AV25" s="14" t="s">
        <v>784</v>
      </c>
      <c r="AY25" s="13" t="s">
        <v>1206</v>
      </c>
      <c r="AZ25" s="14" t="s">
        <v>1207</v>
      </c>
      <c r="BA25" s="14" t="s">
        <v>1207</v>
      </c>
      <c r="BB25" s="13" t="s">
        <v>1208</v>
      </c>
      <c r="BC25" s="13" t="s">
        <v>1209</v>
      </c>
      <c r="BD25" s="30">
        <f t="shared" si="1"/>
        <v>57</v>
      </c>
      <c r="BE25" s="14" t="s">
        <v>641</v>
      </c>
      <c r="BF25" s="14" t="s">
        <v>789</v>
      </c>
      <c r="BG25" s="13" t="s">
        <v>1210</v>
      </c>
      <c r="BH25" s="13" t="s">
        <v>1211</v>
      </c>
      <c r="BO25" s="17" t="s">
        <v>1212</v>
      </c>
      <c r="BS25" s="13" t="s">
        <v>127</v>
      </c>
      <c r="BU25" s="13" t="s">
        <v>129</v>
      </c>
      <c r="BX25" s="13" t="s">
        <v>1213</v>
      </c>
      <c r="DA25" s="13" t="s">
        <v>10348</v>
      </c>
      <c r="DB25" s="13" t="s">
        <v>10348</v>
      </c>
    </row>
    <row r="26" spans="1:106" s="13" customFormat="1" ht="12.75" customHeight="1" x14ac:dyDescent="0.2">
      <c r="A26" s="13" t="s">
        <v>102</v>
      </c>
      <c r="B26" s="13" t="s">
        <v>103</v>
      </c>
      <c r="D26" s="13" t="s">
        <v>227</v>
      </c>
      <c r="E26" s="13" t="s">
        <v>228</v>
      </c>
      <c r="F26" s="13" t="s">
        <v>227</v>
      </c>
      <c r="G26" s="13" t="s">
        <v>229</v>
      </c>
      <c r="H26" s="13" t="s">
        <v>227</v>
      </c>
      <c r="J26" s="13" t="s">
        <v>106</v>
      </c>
      <c r="W26" s="13">
        <v>86</v>
      </c>
      <c r="X26" s="13">
        <v>86</v>
      </c>
      <c r="Y26" s="13" t="s">
        <v>107</v>
      </c>
      <c r="Z26" s="13" t="s">
        <v>108</v>
      </c>
      <c r="AA26" s="29" t="s">
        <v>107</v>
      </c>
      <c r="AB26" s="13" t="s">
        <v>1214</v>
      </c>
      <c r="AC26" s="13" t="s">
        <v>1214</v>
      </c>
      <c r="AD26" s="13" t="s">
        <v>1214</v>
      </c>
      <c r="AE26" s="14" t="s">
        <v>112</v>
      </c>
      <c r="AF26" s="13" t="s">
        <v>1214</v>
      </c>
      <c r="AG26" s="13" t="s">
        <v>1214</v>
      </c>
      <c r="AH26" s="14" t="s">
        <v>1215</v>
      </c>
      <c r="AL26" s="13" t="s">
        <v>1216</v>
      </c>
      <c r="AN26" s="13">
        <v>329</v>
      </c>
      <c r="AO26" s="13" t="s">
        <v>1217</v>
      </c>
      <c r="AQ26" s="13" t="s">
        <v>1214</v>
      </c>
      <c r="AR26" s="13" t="s">
        <v>1214</v>
      </c>
      <c r="AS26" s="13" t="s">
        <v>116</v>
      </c>
      <c r="AT26" s="13" t="s">
        <v>1216</v>
      </c>
      <c r="AU26" s="13" t="s">
        <v>783</v>
      </c>
      <c r="AV26" s="14" t="s">
        <v>784</v>
      </c>
      <c r="AY26" s="13" t="s">
        <v>1218</v>
      </c>
      <c r="AZ26" s="14" t="s">
        <v>1219</v>
      </c>
      <c r="BA26" s="14" t="s">
        <v>1219</v>
      </c>
      <c r="BB26" s="13" t="s">
        <v>1220</v>
      </c>
      <c r="BC26" s="13" t="s">
        <v>1221</v>
      </c>
      <c r="BD26" s="30">
        <f t="shared" si="1"/>
        <v>58</v>
      </c>
      <c r="BE26" s="14" t="s">
        <v>641</v>
      </c>
      <c r="BF26" s="14" t="s">
        <v>789</v>
      </c>
      <c r="BG26" s="13" t="s">
        <v>1210</v>
      </c>
      <c r="BH26" s="13" t="s">
        <v>1211</v>
      </c>
      <c r="BO26" s="17" t="s">
        <v>1222</v>
      </c>
      <c r="BS26" s="13" t="s">
        <v>127</v>
      </c>
      <c r="BU26" s="13" t="s">
        <v>129</v>
      </c>
      <c r="BX26" s="13" t="s">
        <v>1223</v>
      </c>
      <c r="DA26" s="13" t="s">
        <v>10348</v>
      </c>
      <c r="DB26" s="13" t="s">
        <v>10348</v>
      </c>
    </row>
    <row r="27" spans="1:106" s="13" customFormat="1" ht="12.75" customHeight="1" x14ac:dyDescent="0.2">
      <c r="A27" s="13" t="s">
        <v>102</v>
      </c>
      <c r="B27" s="13" t="s">
        <v>103</v>
      </c>
      <c r="D27" s="13" t="s">
        <v>227</v>
      </c>
      <c r="E27" s="13" t="s">
        <v>228</v>
      </c>
      <c r="F27" s="13" t="s">
        <v>227</v>
      </c>
      <c r="G27" s="13" t="s">
        <v>229</v>
      </c>
      <c r="H27" s="13" t="s">
        <v>227</v>
      </c>
      <c r="J27" s="13" t="s">
        <v>106</v>
      </c>
      <c r="W27" s="13">
        <v>87</v>
      </c>
      <c r="X27" s="13">
        <v>87</v>
      </c>
      <c r="Y27" s="13" t="s">
        <v>107</v>
      </c>
      <c r="Z27" s="13" t="s">
        <v>108</v>
      </c>
      <c r="AA27" s="29" t="s">
        <v>107</v>
      </c>
      <c r="AB27" s="13" t="s">
        <v>1224</v>
      </c>
      <c r="AC27" s="13" t="s">
        <v>1224</v>
      </c>
      <c r="AD27" s="13" t="s">
        <v>1224</v>
      </c>
      <c r="AE27" s="14" t="s">
        <v>112</v>
      </c>
      <c r="AF27" s="13" t="s">
        <v>1224</v>
      </c>
      <c r="AG27" s="13" t="s">
        <v>1224</v>
      </c>
      <c r="AH27" s="14" t="s">
        <v>1225</v>
      </c>
      <c r="AL27" s="13" t="s">
        <v>1226</v>
      </c>
      <c r="AN27" s="13">
        <v>329</v>
      </c>
      <c r="AO27" s="13" t="s">
        <v>1227</v>
      </c>
      <c r="AQ27" s="13" t="s">
        <v>1224</v>
      </c>
      <c r="AR27" s="13" t="s">
        <v>1224</v>
      </c>
      <c r="AS27" s="13" t="s">
        <v>116</v>
      </c>
      <c r="AT27" s="13" t="s">
        <v>1228</v>
      </c>
      <c r="AU27" s="13" t="s">
        <v>783</v>
      </c>
      <c r="AV27" s="14" t="s">
        <v>784</v>
      </c>
      <c r="AY27" s="13" t="s">
        <v>1229</v>
      </c>
      <c r="AZ27" s="14" t="s">
        <v>1230</v>
      </c>
      <c r="BA27" s="14" t="s">
        <v>1230</v>
      </c>
      <c r="BB27" s="13" t="s">
        <v>1231</v>
      </c>
      <c r="BC27" s="13" t="s">
        <v>1232</v>
      </c>
      <c r="BD27" s="30">
        <f t="shared" si="1"/>
        <v>60</v>
      </c>
      <c r="BE27" s="14" t="s">
        <v>641</v>
      </c>
      <c r="BF27" s="14" t="s">
        <v>789</v>
      </c>
      <c r="BG27" s="13" t="s">
        <v>1210</v>
      </c>
      <c r="BH27" s="13" t="s">
        <v>1211</v>
      </c>
      <c r="BO27" s="17" t="s">
        <v>1233</v>
      </c>
      <c r="BS27" s="13" t="s">
        <v>127</v>
      </c>
      <c r="BU27" s="13" t="s">
        <v>129</v>
      </c>
      <c r="BX27" s="13" t="s">
        <v>1234</v>
      </c>
      <c r="DA27" s="13" t="s">
        <v>10348</v>
      </c>
      <c r="DB27" s="13" t="s">
        <v>10348</v>
      </c>
    </row>
    <row r="28" spans="1:106" s="13" customFormat="1" ht="12.75" customHeight="1" x14ac:dyDescent="0.2">
      <c r="A28" s="13" t="s">
        <v>102</v>
      </c>
      <c r="B28" s="13" t="s">
        <v>103</v>
      </c>
      <c r="D28" s="13" t="s">
        <v>227</v>
      </c>
      <c r="E28" s="13" t="s">
        <v>228</v>
      </c>
      <c r="F28" s="13" t="s">
        <v>227</v>
      </c>
      <c r="G28" s="13" t="s">
        <v>229</v>
      </c>
      <c r="H28" s="13" t="s">
        <v>227</v>
      </c>
      <c r="J28" s="13" t="s">
        <v>106</v>
      </c>
      <c r="W28" s="13">
        <v>88</v>
      </c>
      <c r="X28" s="13">
        <v>88</v>
      </c>
      <c r="Y28" s="13" t="s">
        <v>107</v>
      </c>
      <c r="Z28" s="13" t="s">
        <v>108</v>
      </c>
      <c r="AA28" s="29" t="s">
        <v>107</v>
      </c>
      <c r="AB28" s="13" t="s">
        <v>1235</v>
      </c>
      <c r="AC28" s="13" t="s">
        <v>1235</v>
      </c>
      <c r="AD28" s="13" t="s">
        <v>1235</v>
      </c>
      <c r="AE28" s="14" t="s">
        <v>112</v>
      </c>
      <c r="AF28" s="13" t="s">
        <v>1235</v>
      </c>
      <c r="AG28" s="13" t="s">
        <v>1235</v>
      </c>
      <c r="AH28" s="14" t="s">
        <v>1236</v>
      </c>
      <c r="AL28" s="13" t="s">
        <v>1237</v>
      </c>
      <c r="AN28" s="13">
        <v>329</v>
      </c>
      <c r="AO28" s="13" t="s">
        <v>1238</v>
      </c>
      <c r="AQ28" s="13" t="s">
        <v>1235</v>
      </c>
      <c r="AR28" s="13" t="s">
        <v>1235</v>
      </c>
      <c r="AS28" s="13" t="s">
        <v>116</v>
      </c>
      <c r="AT28" s="13" t="s">
        <v>1237</v>
      </c>
      <c r="AU28" s="13" t="s">
        <v>783</v>
      </c>
      <c r="AV28" s="14" t="s">
        <v>784</v>
      </c>
      <c r="AY28" s="13" t="s">
        <v>1239</v>
      </c>
      <c r="AZ28" s="14" t="s">
        <v>1240</v>
      </c>
      <c r="BA28" s="14" t="s">
        <v>1240</v>
      </c>
      <c r="BB28" s="13" t="s">
        <v>1241</v>
      </c>
      <c r="BC28" s="13" t="s">
        <v>1242</v>
      </c>
      <c r="BD28" s="30">
        <f t="shared" si="1"/>
        <v>58</v>
      </c>
      <c r="BE28" s="14" t="s">
        <v>641</v>
      </c>
      <c r="BF28" s="14" t="s">
        <v>789</v>
      </c>
      <c r="BG28" s="13" t="s">
        <v>642</v>
      </c>
      <c r="BH28" s="13" t="s">
        <v>1211</v>
      </c>
      <c r="BO28" s="17" t="s">
        <v>1243</v>
      </c>
      <c r="BS28" s="13" t="s">
        <v>127</v>
      </c>
      <c r="BU28" s="13" t="s">
        <v>129</v>
      </c>
      <c r="BX28" s="13" t="s">
        <v>1244</v>
      </c>
      <c r="DA28" s="13" t="s">
        <v>10348</v>
      </c>
      <c r="DB28" s="13" t="s">
        <v>10348</v>
      </c>
    </row>
    <row r="29" spans="1:106" s="13" customFormat="1" ht="12.75" customHeight="1" x14ac:dyDescent="0.2">
      <c r="A29" s="13" t="s">
        <v>102</v>
      </c>
      <c r="B29" s="13" t="s">
        <v>103</v>
      </c>
      <c r="D29" s="13" t="s">
        <v>227</v>
      </c>
      <c r="E29" s="13" t="s">
        <v>228</v>
      </c>
      <c r="F29" s="13" t="s">
        <v>227</v>
      </c>
      <c r="G29" s="13" t="s">
        <v>229</v>
      </c>
      <c r="H29" s="13" t="s">
        <v>227</v>
      </c>
      <c r="J29" s="13" t="s">
        <v>106</v>
      </c>
      <c r="W29" s="13">
        <v>89</v>
      </c>
      <c r="X29" s="13">
        <v>89</v>
      </c>
      <c r="Y29" s="13" t="s">
        <v>107</v>
      </c>
      <c r="Z29" s="13" t="s">
        <v>108</v>
      </c>
      <c r="AA29" s="29" t="s">
        <v>107</v>
      </c>
      <c r="AB29" s="13" t="s">
        <v>1245</v>
      </c>
      <c r="AC29" s="13" t="s">
        <v>1245</v>
      </c>
      <c r="AD29" s="13" t="s">
        <v>1245</v>
      </c>
      <c r="AE29" s="14" t="s">
        <v>112</v>
      </c>
      <c r="AF29" s="13" t="s">
        <v>1245</v>
      </c>
      <c r="AG29" s="13" t="s">
        <v>1245</v>
      </c>
      <c r="AH29" s="14" t="s">
        <v>1246</v>
      </c>
      <c r="AL29" s="13" t="s">
        <v>1247</v>
      </c>
      <c r="AN29" s="13">
        <v>329</v>
      </c>
      <c r="AO29" s="13" t="s">
        <v>1248</v>
      </c>
      <c r="AQ29" s="13" t="s">
        <v>1245</v>
      </c>
      <c r="AR29" s="13" t="s">
        <v>1245</v>
      </c>
      <c r="AS29" s="13" t="s">
        <v>116</v>
      </c>
      <c r="AT29" s="13" t="s">
        <v>1247</v>
      </c>
      <c r="AU29" s="13" t="s">
        <v>783</v>
      </c>
      <c r="AV29" s="14" t="s">
        <v>784</v>
      </c>
      <c r="AY29" s="13" t="s">
        <v>1249</v>
      </c>
      <c r="AZ29" s="14" t="s">
        <v>1250</v>
      </c>
      <c r="BA29" s="14" t="s">
        <v>1250</v>
      </c>
      <c r="BB29" s="13" t="s">
        <v>1251</v>
      </c>
      <c r="BC29" s="13" t="s">
        <v>1252</v>
      </c>
      <c r="BD29" s="30">
        <f t="shared" si="1"/>
        <v>57</v>
      </c>
      <c r="BE29" s="14" t="s">
        <v>641</v>
      </c>
      <c r="BF29" s="14" t="s">
        <v>789</v>
      </c>
      <c r="BG29" s="13" t="s">
        <v>642</v>
      </c>
      <c r="BH29" s="13" t="s">
        <v>1211</v>
      </c>
      <c r="BO29" s="17" t="s">
        <v>1253</v>
      </c>
      <c r="BS29" s="13" t="s">
        <v>127</v>
      </c>
      <c r="BU29" s="13" t="s">
        <v>129</v>
      </c>
      <c r="BX29" s="13" t="s">
        <v>1254</v>
      </c>
      <c r="DA29" s="13" t="s">
        <v>10348</v>
      </c>
      <c r="DB29" s="13" t="s">
        <v>10348</v>
      </c>
    </row>
    <row r="30" spans="1:106" s="13" customFormat="1" ht="12.75" customHeight="1" x14ac:dyDescent="0.2">
      <c r="A30" s="13" t="s">
        <v>102</v>
      </c>
      <c r="B30" s="13" t="s">
        <v>103</v>
      </c>
      <c r="D30" s="13" t="s">
        <v>227</v>
      </c>
      <c r="E30" s="13" t="s">
        <v>228</v>
      </c>
      <c r="F30" s="13" t="s">
        <v>227</v>
      </c>
      <c r="G30" s="13" t="s">
        <v>229</v>
      </c>
      <c r="H30" s="13" t="s">
        <v>227</v>
      </c>
      <c r="J30" s="13" t="s">
        <v>106</v>
      </c>
      <c r="W30" s="13">
        <v>90</v>
      </c>
      <c r="X30" s="13">
        <v>90</v>
      </c>
      <c r="Y30" s="13" t="s">
        <v>107</v>
      </c>
      <c r="Z30" s="13" t="s">
        <v>108</v>
      </c>
      <c r="AA30" s="29" t="s">
        <v>107</v>
      </c>
      <c r="AB30" s="13" t="s">
        <v>1255</v>
      </c>
      <c r="AC30" s="13" t="s">
        <v>1255</v>
      </c>
      <c r="AD30" s="13" t="s">
        <v>1255</v>
      </c>
      <c r="AE30" s="14" t="s">
        <v>112</v>
      </c>
      <c r="AF30" s="13" t="s">
        <v>1255</v>
      </c>
      <c r="AG30" s="13" t="s">
        <v>1255</v>
      </c>
      <c r="AH30" s="14" t="s">
        <v>1256</v>
      </c>
      <c r="AL30" s="13" t="s">
        <v>1257</v>
      </c>
      <c r="AN30" s="13">
        <v>329</v>
      </c>
      <c r="AO30" s="13" t="s">
        <v>1258</v>
      </c>
      <c r="AQ30" s="13" t="s">
        <v>1255</v>
      </c>
      <c r="AR30" s="13" t="s">
        <v>1255</v>
      </c>
      <c r="AS30" s="13" t="s">
        <v>116</v>
      </c>
      <c r="AT30" s="13" t="s">
        <v>1257</v>
      </c>
      <c r="AU30" s="13" t="s">
        <v>783</v>
      </c>
      <c r="AV30" s="14" t="s">
        <v>784</v>
      </c>
      <c r="AY30" s="13" t="s">
        <v>1259</v>
      </c>
      <c r="AZ30" s="14" t="s">
        <v>1260</v>
      </c>
      <c r="BA30" s="14" t="s">
        <v>1260</v>
      </c>
      <c r="BB30" s="13" t="s">
        <v>1261</v>
      </c>
      <c r="BC30" s="13" t="s">
        <v>1262</v>
      </c>
      <c r="BD30" s="30">
        <f t="shared" si="1"/>
        <v>60</v>
      </c>
      <c r="BE30" s="14" t="s">
        <v>641</v>
      </c>
      <c r="BF30" s="14" t="s">
        <v>789</v>
      </c>
      <c r="BG30" s="13" t="s">
        <v>642</v>
      </c>
      <c r="BH30" s="13" t="s">
        <v>1211</v>
      </c>
      <c r="BO30" s="17" t="s">
        <v>1263</v>
      </c>
      <c r="BS30" s="13" t="s">
        <v>127</v>
      </c>
      <c r="BU30" s="13" t="s">
        <v>129</v>
      </c>
      <c r="BX30" s="13" t="s">
        <v>1264</v>
      </c>
      <c r="DA30" s="13" t="s">
        <v>10348</v>
      </c>
      <c r="DB30" s="13" t="s">
        <v>10348</v>
      </c>
    </row>
    <row r="31" spans="1:106" s="13" customFormat="1" ht="12.75" customHeight="1" x14ac:dyDescent="0.2">
      <c r="A31" s="13" t="s">
        <v>102</v>
      </c>
      <c r="B31" s="13" t="s">
        <v>103</v>
      </c>
      <c r="D31" s="13" t="s">
        <v>227</v>
      </c>
      <c r="E31" s="13" t="s">
        <v>228</v>
      </c>
      <c r="F31" s="13" t="s">
        <v>227</v>
      </c>
      <c r="G31" s="13" t="s">
        <v>229</v>
      </c>
      <c r="H31" s="13" t="s">
        <v>227</v>
      </c>
      <c r="J31" s="13" t="s">
        <v>106</v>
      </c>
      <c r="W31" s="13">
        <v>91</v>
      </c>
      <c r="X31" s="13">
        <v>91</v>
      </c>
      <c r="Y31" s="13" t="s">
        <v>107</v>
      </c>
      <c r="Z31" s="13" t="s">
        <v>108</v>
      </c>
      <c r="AA31" s="29" t="s">
        <v>107</v>
      </c>
      <c r="AB31" s="13" t="s">
        <v>1265</v>
      </c>
      <c r="AC31" s="13" t="s">
        <v>1265</v>
      </c>
      <c r="AD31" s="13" t="s">
        <v>1265</v>
      </c>
      <c r="AE31" s="14" t="s">
        <v>112</v>
      </c>
      <c r="AF31" s="13" t="s">
        <v>1265</v>
      </c>
      <c r="AG31" s="13" t="s">
        <v>1265</v>
      </c>
      <c r="AH31" s="14" t="s">
        <v>1266</v>
      </c>
      <c r="AL31" s="13" t="s">
        <v>1267</v>
      </c>
      <c r="AN31" s="13">
        <v>329</v>
      </c>
      <c r="AO31" s="13" t="s">
        <v>1268</v>
      </c>
      <c r="AQ31" s="13" t="s">
        <v>1265</v>
      </c>
      <c r="AR31" s="13" t="s">
        <v>1265</v>
      </c>
      <c r="AS31" s="13" t="s">
        <v>116</v>
      </c>
      <c r="AT31" s="13" t="s">
        <v>1267</v>
      </c>
      <c r="AU31" s="13" t="s">
        <v>783</v>
      </c>
      <c r="AV31" s="14" t="s">
        <v>784</v>
      </c>
      <c r="AY31" s="13" t="s">
        <v>1269</v>
      </c>
      <c r="AZ31" s="14" t="s">
        <v>1270</v>
      </c>
      <c r="BA31" s="14" t="s">
        <v>1270</v>
      </c>
      <c r="BB31" s="13" t="s">
        <v>1271</v>
      </c>
      <c r="BC31" s="13" t="s">
        <v>1272</v>
      </c>
      <c r="BD31" s="30">
        <f t="shared" si="1"/>
        <v>58</v>
      </c>
      <c r="BE31" s="14" t="s">
        <v>641</v>
      </c>
      <c r="BF31" s="14" t="s">
        <v>789</v>
      </c>
      <c r="BG31" s="13" t="s">
        <v>1273</v>
      </c>
      <c r="BH31" s="13" t="s">
        <v>1211</v>
      </c>
      <c r="BO31" s="17" t="s">
        <v>1274</v>
      </c>
      <c r="BS31" s="13" t="s">
        <v>127</v>
      </c>
      <c r="BU31" s="13" t="s">
        <v>129</v>
      </c>
      <c r="BX31" s="13" t="s">
        <v>1275</v>
      </c>
      <c r="DA31" s="13" t="s">
        <v>10348</v>
      </c>
      <c r="DB31" s="13" t="s">
        <v>10348</v>
      </c>
    </row>
    <row r="32" spans="1:106" s="13" customFormat="1" ht="12.75" customHeight="1" x14ac:dyDescent="0.2">
      <c r="A32" s="13" t="s">
        <v>102</v>
      </c>
      <c r="B32" s="13" t="s">
        <v>103</v>
      </c>
      <c r="D32" s="13" t="s">
        <v>227</v>
      </c>
      <c r="E32" s="13" t="s">
        <v>228</v>
      </c>
      <c r="F32" s="13" t="s">
        <v>227</v>
      </c>
      <c r="G32" s="13" t="s">
        <v>229</v>
      </c>
      <c r="H32" s="13" t="s">
        <v>227</v>
      </c>
      <c r="J32" s="13" t="s">
        <v>106</v>
      </c>
      <c r="W32" s="13">
        <v>92</v>
      </c>
      <c r="X32" s="13">
        <v>92</v>
      </c>
      <c r="Y32" s="13" t="s">
        <v>107</v>
      </c>
      <c r="Z32" s="13" t="s">
        <v>108</v>
      </c>
      <c r="AA32" s="29" t="s">
        <v>107</v>
      </c>
      <c r="AB32" s="13" t="s">
        <v>1276</v>
      </c>
      <c r="AC32" s="13" t="s">
        <v>1276</v>
      </c>
      <c r="AD32" s="13" t="s">
        <v>1276</v>
      </c>
      <c r="AE32" s="14" t="s">
        <v>112</v>
      </c>
      <c r="AF32" s="13" t="s">
        <v>1276</v>
      </c>
      <c r="AG32" s="13" t="s">
        <v>1276</v>
      </c>
      <c r="AH32" s="14" t="s">
        <v>1277</v>
      </c>
      <c r="AL32" s="13" t="s">
        <v>1278</v>
      </c>
      <c r="AN32" s="13">
        <v>329</v>
      </c>
      <c r="AO32" s="13" t="s">
        <v>1279</v>
      </c>
      <c r="AQ32" s="13" t="s">
        <v>1276</v>
      </c>
      <c r="AR32" s="13" t="s">
        <v>1276</v>
      </c>
      <c r="AS32" s="13" t="s">
        <v>116</v>
      </c>
      <c r="AT32" s="13" t="s">
        <v>1280</v>
      </c>
      <c r="AU32" s="13" t="s">
        <v>1281</v>
      </c>
      <c r="AV32" s="27" t="s">
        <v>1282</v>
      </c>
      <c r="AY32" s="13" t="s">
        <v>1283</v>
      </c>
      <c r="AZ32" s="13" t="s">
        <v>1284</v>
      </c>
      <c r="BA32" s="13" t="s">
        <v>1284</v>
      </c>
      <c r="BB32" s="13" t="s">
        <v>1285</v>
      </c>
      <c r="BC32" s="13" t="s">
        <v>1286</v>
      </c>
      <c r="BD32" s="30">
        <f t="shared" si="1"/>
        <v>56</v>
      </c>
      <c r="BE32" s="13" t="s">
        <v>1287</v>
      </c>
      <c r="BF32" s="13" t="s">
        <v>1288</v>
      </c>
      <c r="BG32" s="13" t="s">
        <v>1289</v>
      </c>
      <c r="BL32" s="13" t="s">
        <v>1290</v>
      </c>
      <c r="BN32" s="13" t="s">
        <v>1291</v>
      </c>
      <c r="BO32" s="17" t="s">
        <v>1292</v>
      </c>
      <c r="BS32" s="13" t="s">
        <v>127</v>
      </c>
      <c r="BU32" s="13" t="s">
        <v>129</v>
      </c>
      <c r="BX32" s="13" t="s">
        <v>1293</v>
      </c>
      <c r="DA32" s="13" t="s">
        <v>10348</v>
      </c>
      <c r="DB32" s="13" t="s">
        <v>10348</v>
      </c>
    </row>
    <row r="33" spans="1:106" s="13" customFormat="1" ht="12.75" customHeight="1" x14ac:dyDescent="0.2">
      <c r="A33" s="13" t="s">
        <v>102</v>
      </c>
      <c r="B33" s="13" t="s">
        <v>103</v>
      </c>
      <c r="D33" s="13" t="s">
        <v>227</v>
      </c>
      <c r="E33" s="13" t="s">
        <v>228</v>
      </c>
      <c r="F33" s="13" t="s">
        <v>227</v>
      </c>
      <c r="G33" s="13" t="s">
        <v>229</v>
      </c>
      <c r="H33" s="13" t="s">
        <v>227</v>
      </c>
      <c r="J33" s="13" t="s">
        <v>106</v>
      </c>
      <c r="W33" s="13">
        <v>93</v>
      </c>
      <c r="X33" s="13">
        <v>93</v>
      </c>
      <c r="Y33" s="13" t="s">
        <v>107</v>
      </c>
      <c r="Z33" s="13" t="s">
        <v>108</v>
      </c>
      <c r="AA33" s="29" t="s">
        <v>107</v>
      </c>
      <c r="AB33" s="13" t="s">
        <v>1294</v>
      </c>
      <c r="AC33" s="13" t="s">
        <v>1294</v>
      </c>
      <c r="AD33" s="13" t="s">
        <v>1294</v>
      </c>
      <c r="AE33" s="14" t="s">
        <v>112</v>
      </c>
      <c r="AF33" s="13" t="s">
        <v>1294</v>
      </c>
      <c r="AG33" s="13" t="s">
        <v>1294</v>
      </c>
      <c r="AH33" s="14" t="s">
        <v>1295</v>
      </c>
      <c r="AL33" s="13" t="s">
        <v>1296</v>
      </c>
      <c r="AN33" s="13">
        <v>329</v>
      </c>
      <c r="AO33" s="13" t="s">
        <v>1297</v>
      </c>
      <c r="AQ33" s="13" t="s">
        <v>1294</v>
      </c>
      <c r="AR33" s="13" t="s">
        <v>1294</v>
      </c>
      <c r="AS33" s="13" t="s">
        <v>116</v>
      </c>
      <c r="AT33" s="13" t="s">
        <v>1298</v>
      </c>
      <c r="AU33" s="13" t="s">
        <v>1281</v>
      </c>
      <c r="AV33" s="27" t="s">
        <v>1282</v>
      </c>
      <c r="AY33" s="13" t="s">
        <v>1299</v>
      </c>
      <c r="AZ33" s="13" t="s">
        <v>1300</v>
      </c>
      <c r="BA33" s="13" t="s">
        <v>1300</v>
      </c>
      <c r="BB33" s="13" t="s">
        <v>1301</v>
      </c>
      <c r="BC33" s="13" t="s">
        <v>1302</v>
      </c>
      <c r="BD33" s="30">
        <f t="shared" si="1"/>
        <v>59</v>
      </c>
      <c r="BE33" s="13" t="s">
        <v>1287</v>
      </c>
      <c r="BF33" s="13" t="s">
        <v>1288</v>
      </c>
      <c r="BG33" s="13" t="s">
        <v>1289</v>
      </c>
      <c r="BL33" s="13" t="s">
        <v>1290</v>
      </c>
      <c r="BN33" s="13" t="s">
        <v>1291</v>
      </c>
      <c r="BO33" s="17" t="s">
        <v>1303</v>
      </c>
      <c r="BS33" s="13" t="s">
        <v>127</v>
      </c>
      <c r="BU33" s="13" t="s">
        <v>129</v>
      </c>
      <c r="BX33" s="13" t="s">
        <v>1304</v>
      </c>
      <c r="DA33" s="13" t="s">
        <v>10348</v>
      </c>
      <c r="DB33" s="13" t="s">
        <v>10348</v>
      </c>
    </row>
    <row r="34" spans="1:106" s="13" customFormat="1" ht="12.75" customHeight="1" x14ac:dyDescent="0.2">
      <c r="A34" s="13" t="s">
        <v>102</v>
      </c>
      <c r="B34" s="13" t="s">
        <v>103</v>
      </c>
      <c r="D34" s="13" t="s">
        <v>227</v>
      </c>
      <c r="E34" s="13" t="s">
        <v>228</v>
      </c>
      <c r="F34" s="13" t="s">
        <v>227</v>
      </c>
      <c r="G34" s="13" t="s">
        <v>229</v>
      </c>
      <c r="H34" s="13" t="s">
        <v>227</v>
      </c>
      <c r="J34" s="13" t="s">
        <v>106</v>
      </c>
      <c r="W34" s="13">
        <v>94</v>
      </c>
      <c r="X34" s="13">
        <v>94</v>
      </c>
      <c r="Y34" s="13" t="s">
        <v>107</v>
      </c>
      <c r="Z34" s="13" t="s">
        <v>108</v>
      </c>
      <c r="AA34" s="29" t="s">
        <v>107</v>
      </c>
      <c r="AB34" s="13" t="s">
        <v>1305</v>
      </c>
      <c r="AC34" s="13" t="s">
        <v>1305</v>
      </c>
      <c r="AD34" s="13" t="s">
        <v>1305</v>
      </c>
      <c r="AE34" s="14" t="s">
        <v>112</v>
      </c>
      <c r="AF34" s="13" t="s">
        <v>1305</v>
      </c>
      <c r="AG34" s="13" t="s">
        <v>1305</v>
      </c>
      <c r="AH34" s="14" t="s">
        <v>1306</v>
      </c>
      <c r="AL34" s="13" t="s">
        <v>1307</v>
      </c>
      <c r="AN34" s="13">
        <v>329</v>
      </c>
      <c r="AO34" s="13" t="s">
        <v>1308</v>
      </c>
      <c r="AQ34" s="13" t="s">
        <v>1305</v>
      </c>
      <c r="AR34" s="13" t="s">
        <v>1305</v>
      </c>
      <c r="AS34" s="13" t="s">
        <v>116</v>
      </c>
      <c r="AT34" s="13" t="s">
        <v>1309</v>
      </c>
      <c r="AU34" s="13" t="s">
        <v>1281</v>
      </c>
      <c r="AV34" s="27" t="s">
        <v>1282</v>
      </c>
      <c r="AY34" s="13" t="s">
        <v>1310</v>
      </c>
      <c r="AZ34" s="13" t="s">
        <v>1311</v>
      </c>
      <c r="BA34" s="13" t="s">
        <v>1311</v>
      </c>
      <c r="BB34" s="13" t="s">
        <v>1312</v>
      </c>
      <c r="BC34" s="13" t="s">
        <v>1313</v>
      </c>
      <c r="BD34" s="30">
        <f t="shared" si="1"/>
        <v>56</v>
      </c>
      <c r="BE34" s="13" t="s">
        <v>1287</v>
      </c>
      <c r="BF34" s="13" t="s">
        <v>1288</v>
      </c>
      <c r="BG34" s="13" t="s">
        <v>1289</v>
      </c>
      <c r="BL34" s="13" t="s">
        <v>1314</v>
      </c>
      <c r="BN34" s="13" t="s">
        <v>1291</v>
      </c>
      <c r="BO34" s="17" t="s">
        <v>1292</v>
      </c>
      <c r="BS34" s="13" t="s">
        <v>127</v>
      </c>
      <c r="BU34" s="13" t="s">
        <v>129</v>
      </c>
      <c r="BX34" s="13" t="s">
        <v>1315</v>
      </c>
      <c r="DA34" s="13" t="s">
        <v>10348</v>
      </c>
      <c r="DB34" s="13" t="s">
        <v>10348</v>
      </c>
    </row>
    <row r="35" spans="1:106" s="13" customFormat="1" ht="12.75" customHeight="1" x14ac:dyDescent="0.2">
      <c r="A35" s="13" t="s">
        <v>102</v>
      </c>
      <c r="B35" s="13" t="s">
        <v>103</v>
      </c>
      <c r="D35" s="13" t="s">
        <v>227</v>
      </c>
      <c r="E35" s="13" t="s">
        <v>228</v>
      </c>
      <c r="F35" s="13" t="s">
        <v>227</v>
      </c>
      <c r="G35" s="13" t="s">
        <v>229</v>
      </c>
      <c r="H35" s="13" t="s">
        <v>227</v>
      </c>
      <c r="J35" s="13" t="s">
        <v>106</v>
      </c>
      <c r="W35" s="13">
        <v>95</v>
      </c>
      <c r="X35" s="13">
        <v>95</v>
      </c>
      <c r="Y35" s="13" t="s">
        <v>107</v>
      </c>
      <c r="Z35" s="13" t="s">
        <v>108</v>
      </c>
      <c r="AA35" s="29" t="s">
        <v>107</v>
      </c>
      <c r="AB35" s="13" t="s">
        <v>1316</v>
      </c>
      <c r="AC35" s="13" t="s">
        <v>1316</v>
      </c>
      <c r="AD35" s="13" t="s">
        <v>1316</v>
      </c>
      <c r="AE35" s="14" t="s">
        <v>112</v>
      </c>
      <c r="AF35" s="13" t="s">
        <v>1316</v>
      </c>
      <c r="AG35" s="13" t="s">
        <v>1316</v>
      </c>
      <c r="AH35" s="14" t="s">
        <v>1317</v>
      </c>
      <c r="AL35" s="13" t="s">
        <v>1318</v>
      </c>
      <c r="AN35" s="13">
        <v>329</v>
      </c>
      <c r="AO35" s="13" t="s">
        <v>1319</v>
      </c>
      <c r="AQ35" s="13" t="s">
        <v>1316</v>
      </c>
      <c r="AR35" s="13" t="s">
        <v>1316</v>
      </c>
      <c r="AS35" s="13" t="s">
        <v>116</v>
      </c>
      <c r="AT35" s="13" t="s">
        <v>1320</v>
      </c>
      <c r="AU35" s="13" t="s">
        <v>1281</v>
      </c>
      <c r="AV35" s="27" t="s">
        <v>1282</v>
      </c>
      <c r="AY35" s="13" t="s">
        <v>1321</v>
      </c>
      <c r="AZ35" s="13" t="s">
        <v>1322</v>
      </c>
      <c r="BA35" s="13" t="s">
        <v>1322</v>
      </c>
      <c r="BB35" s="13" t="s">
        <v>1323</v>
      </c>
      <c r="BC35" s="13" t="s">
        <v>1324</v>
      </c>
      <c r="BD35" s="30">
        <f t="shared" si="1"/>
        <v>53</v>
      </c>
      <c r="BE35" s="13" t="s">
        <v>1287</v>
      </c>
      <c r="BF35" s="13" t="s">
        <v>1288</v>
      </c>
      <c r="BG35" s="13" t="s">
        <v>1289</v>
      </c>
      <c r="BL35" s="13" t="s">
        <v>1314</v>
      </c>
      <c r="BN35" s="13" t="s">
        <v>1291</v>
      </c>
      <c r="BO35" s="17" t="s">
        <v>1325</v>
      </c>
      <c r="BS35" s="13" t="s">
        <v>127</v>
      </c>
      <c r="BU35" s="13" t="s">
        <v>129</v>
      </c>
      <c r="BX35" s="13" t="s">
        <v>1326</v>
      </c>
      <c r="DA35" s="13" t="s">
        <v>10348</v>
      </c>
      <c r="DB35" s="13" t="s">
        <v>10348</v>
      </c>
    </row>
    <row r="36" spans="1:106" s="13" customFormat="1" ht="12.75" customHeight="1" x14ac:dyDescent="0.2">
      <c r="A36" s="13" t="s">
        <v>102</v>
      </c>
      <c r="B36" s="13" t="s">
        <v>103</v>
      </c>
      <c r="D36" s="13" t="s">
        <v>227</v>
      </c>
      <c r="E36" s="13" t="s">
        <v>228</v>
      </c>
      <c r="F36" s="13" t="s">
        <v>227</v>
      </c>
      <c r="G36" s="13" t="s">
        <v>229</v>
      </c>
      <c r="H36" s="13" t="s">
        <v>227</v>
      </c>
      <c r="J36" s="13" t="s">
        <v>106</v>
      </c>
      <c r="W36" s="13">
        <v>96</v>
      </c>
      <c r="X36" s="13">
        <v>96</v>
      </c>
      <c r="Y36" s="13" t="s">
        <v>107</v>
      </c>
      <c r="Z36" s="13" t="s">
        <v>108</v>
      </c>
      <c r="AA36" s="29" t="s">
        <v>107</v>
      </c>
      <c r="AB36" s="13" t="s">
        <v>1327</v>
      </c>
      <c r="AC36" s="13" t="s">
        <v>1327</v>
      </c>
      <c r="AD36" s="13" t="s">
        <v>1327</v>
      </c>
      <c r="AE36" s="14" t="s">
        <v>112</v>
      </c>
      <c r="AF36" s="13" t="s">
        <v>1327</v>
      </c>
      <c r="AG36" s="13" t="s">
        <v>1327</v>
      </c>
      <c r="AH36" s="14" t="s">
        <v>1328</v>
      </c>
      <c r="AL36" s="13" t="s">
        <v>1329</v>
      </c>
      <c r="AN36" s="13">
        <v>329</v>
      </c>
      <c r="AO36" s="13" t="s">
        <v>1330</v>
      </c>
      <c r="AQ36" s="13" t="s">
        <v>1327</v>
      </c>
      <c r="AR36" s="13" t="s">
        <v>1327</v>
      </c>
      <c r="AS36" s="13" t="s">
        <v>116</v>
      </c>
      <c r="AT36" s="13" t="s">
        <v>1331</v>
      </c>
      <c r="AU36" s="13" t="s">
        <v>1281</v>
      </c>
      <c r="AV36" s="27" t="s">
        <v>1282</v>
      </c>
      <c r="AY36" s="13" t="s">
        <v>1332</v>
      </c>
      <c r="AZ36" s="13" t="s">
        <v>1333</v>
      </c>
      <c r="BA36" s="13" t="s">
        <v>1333</v>
      </c>
      <c r="BB36" s="13" t="s">
        <v>1334</v>
      </c>
      <c r="BC36" s="13" t="s">
        <v>1335</v>
      </c>
      <c r="BD36" s="30">
        <f t="shared" si="1"/>
        <v>59</v>
      </c>
      <c r="BE36" s="13" t="s">
        <v>1287</v>
      </c>
      <c r="BF36" s="13" t="s">
        <v>1288</v>
      </c>
      <c r="BG36" s="13" t="s">
        <v>1289</v>
      </c>
      <c r="BL36" s="13" t="s">
        <v>1314</v>
      </c>
      <c r="BN36" s="13" t="s">
        <v>1291</v>
      </c>
      <c r="BO36" s="17" t="s">
        <v>1336</v>
      </c>
      <c r="BS36" s="13" t="s">
        <v>127</v>
      </c>
      <c r="BU36" s="13" t="s">
        <v>129</v>
      </c>
      <c r="BX36" s="13" t="s">
        <v>1337</v>
      </c>
      <c r="DA36" s="13" t="s">
        <v>10348</v>
      </c>
      <c r="DB36" s="13" t="s">
        <v>10348</v>
      </c>
    </row>
    <row r="37" spans="1:106" s="13" customFormat="1" ht="12.75" customHeight="1" x14ac:dyDescent="0.2">
      <c r="A37" s="13" t="s">
        <v>102</v>
      </c>
      <c r="B37" s="13" t="s">
        <v>103</v>
      </c>
      <c r="D37" s="13" t="s">
        <v>227</v>
      </c>
      <c r="E37" s="13" t="s">
        <v>228</v>
      </c>
      <c r="F37" s="13" t="s">
        <v>227</v>
      </c>
      <c r="G37" s="13" t="s">
        <v>229</v>
      </c>
      <c r="H37" s="13" t="s">
        <v>227</v>
      </c>
      <c r="J37" s="13" t="s">
        <v>106</v>
      </c>
      <c r="W37" s="13">
        <v>97</v>
      </c>
      <c r="X37" s="13">
        <v>97</v>
      </c>
      <c r="Y37" s="13" t="s">
        <v>107</v>
      </c>
      <c r="Z37" s="13" t="s">
        <v>108</v>
      </c>
      <c r="AA37" s="29" t="s">
        <v>107</v>
      </c>
      <c r="AB37" s="13" t="s">
        <v>1338</v>
      </c>
      <c r="AC37" s="13" t="s">
        <v>1338</v>
      </c>
      <c r="AD37" s="13" t="s">
        <v>1338</v>
      </c>
      <c r="AE37" s="14" t="s">
        <v>112</v>
      </c>
      <c r="AF37" s="13" t="s">
        <v>1338</v>
      </c>
      <c r="AG37" s="13" t="s">
        <v>1338</v>
      </c>
      <c r="AH37" s="14" t="s">
        <v>1339</v>
      </c>
      <c r="AL37" s="13" t="s">
        <v>1340</v>
      </c>
      <c r="AN37" s="13">
        <v>329</v>
      </c>
      <c r="AO37" s="13" t="s">
        <v>1341</v>
      </c>
      <c r="AQ37" s="13" t="s">
        <v>1338</v>
      </c>
      <c r="AR37" s="13" t="s">
        <v>1338</v>
      </c>
      <c r="AS37" s="13" t="s">
        <v>116</v>
      </c>
      <c r="AT37" s="13" t="s">
        <v>1342</v>
      </c>
      <c r="AU37" s="13" t="s">
        <v>1281</v>
      </c>
      <c r="AV37" s="27" t="s">
        <v>1282</v>
      </c>
      <c r="AY37" s="13" t="s">
        <v>1343</v>
      </c>
      <c r="AZ37" s="13" t="s">
        <v>1344</v>
      </c>
      <c r="BA37" s="13" t="s">
        <v>1344</v>
      </c>
      <c r="BB37" s="13" t="s">
        <v>1345</v>
      </c>
      <c r="BC37" s="13" t="s">
        <v>1346</v>
      </c>
      <c r="BD37" s="30">
        <f t="shared" si="1"/>
        <v>59</v>
      </c>
      <c r="BE37" s="13" t="s">
        <v>1287</v>
      </c>
      <c r="BF37" s="13" t="s">
        <v>1288</v>
      </c>
      <c r="BG37" s="13" t="s">
        <v>1289</v>
      </c>
      <c r="BL37" s="13" t="s">
        <v>1314</v>
      </c>
      <c r="BN37" s="13" t="s">
        <v>1291</v>
      </c>
      <c r="BO37" s="17" t="s">
        <v>1347</v>
      </c>
      <c r="BS37" s="13" t="s">
        <v>127</v>
      </c>
      <c r="BU37" s="13" t="s">
        <v>129</v>
      </c>
      <c r="BX37" s="13" t="s">
        <v>1348</v>
      </c>
      <c r="DA37" s="13" t="s">
        <v>10348</v>
      </c>
      <c r="DB37" s="13" t="s">
        <v>10348</v>
      </c>
    </row>
    <row r="38" spans="1:106" s="13" customFormat="1" ht="12.75" customHeight="1" x14ac:dyDescent="0.2">
      <c r="A38" s="13" t="s">
        <v>102</v>
      </c>
      <c r="B38" s="13" t="s">
        <v>103</v>
      </c>
      <c r="D38" s="13" t="s">
        <v>227</v>
      </c>
      <c r="E38" s="13" t="s">
        <v>228</v>
      </c>
      <c r="F38" s="13" t="s">
        <v>227</v>
      </c>
      <c r="G38" s="13" t="s">
        <v>229</v>
      </c>
      <c r="H38" s="13" t="s">
        <v>227</v>
      </c>
      <c r="J38" s="13" t="s">
        <v>106</v>
      </c>
      <c r="W38" s="13">
        <v>98</v>
      </c>
      <c r="X38" s="13">
        <v>98</v>
      </c>
      <c r="Y38" s="13" t="s">
        <v>107</v>
      </c>
      <c r="Z38" s="13" t="s">
        <v>108</v>
      </c>
      <c r="AA38" s="29" t="s">
        <v>107</v>
      </c>
      <c r="AB38" s="13" t="s">
        <v>1349</v>
      </c>
      <c r="AC38" s="13" t="s">
        <v>1349</v>
      </c>
      <c r="AD38" s="13" t="s">
        <v>1349</v>
      </c>
      <c r="AE38" s="14" t="s">
        <v>112</v>
      </c>
      <c r="AF38" s="13" t="s">
        <v>1349</v>
      </c>
      <c r="AG38" s="13" t="s">
        <v>1349</v>
      </c>
      <c r="AH38" s="14" t="s">
        <v>1350</v>
      </c>
      <c r="AL38" s="13" t="s">
        <v>1351</v>
      </c>
      <c r="AN38" s="13">
        <v>329</v>
      </c>
      <c r="AO38" s="13" t="s">
        <v>1352</v>
      </c>
      <c r="AQ38" s="13" t="s">
        <v>1349</v>
      </c>
      <c r="AR38" s="13" t="s">
        <v>1349</v>
      </c>
      <c r="AS38" s="13" t="s">
        <v>116</v>
      </c>
      <c r="AT38" s="13" t="s">
        <v>1353</v>
      </c>
      <c r="AU38" s="13" t="s">
        <v>1281</v>
      </c>
      <c r="AV38" s="27" t="s">
        <v>1282</v>
      </c>
      <c r="AY38" s="13" t="s">
        <v>1354</v>
      </c>
      <c r="AZ38" s="13" t="s">
        <v>1355</v>
      </c>
      <c r="BA38" s="13" t="s">
        <v>1355</v>
      </c>
      <c r="BB38" s="13" t="s">
        <v>1356</v>
      </c>
      <c r="BC38" s="13" t="s">
        <v>1357</v>
      </c>
      <c r="BD38" s="30">
        <f t="shared" si="1"/>
        <v>57</v>
      </c>
      <c r="BE38" s="13" t="s">
        <v>1287</v>
      </c>
      <c r="BF38" s="13" t="s">
        <v>1288</v>
      </c>
      <c r="BG38" s="13" t="s">
        <v>1289</v>
      </c>
      <c r="BL38" s="13" t="s">
        <v>1314</v>
      </c>
      <c r="BN38" s="13" t="s">
        <v>1291</v>
      </c>
      <c r="BO38" s="17" t="s">
        <v>1358</v>
      </c>
      <c r="BS38" s="13" t="s">
        <v>127</v>
      </c>
      <c r="BU38" s="13" t="s">
        <v>129</v>
      </c>
      <c r="BX38" s="13" t="s">
        <v>1359</v>
      </c>
      <c r="DA38" s="13" t="s">
        <v>10348</v>
      </c>
      <c r="DB38" s="13" t="s">
        <v>10348</v>
      </c>
    </row>
    <row r="39" spans="1:106" s="13" customFormat="1" ht="12.75" customHeight="1" x14ac:dyDescent="0.2">
      <c r="A39" s="13" t="s">
        <v>102</v>
      </c>
      <c r="B39" s="13" t="s">
        <v>103</v>
      </c>
      <c r="D39" s="13" t="s">
        <v>227</v>
      </c>
      <c r="E39" s="13" t="s">
        <v>228</v>
      </c>
      <c r="F39" s="13" t="s">
        <v>227</v>
      </c>
      <c r="G39" s="13" t="s">
        <v>229</v>
      </c>
      <c r="H39" s="13" t="s">
        <v>227</v>
      </c>
      <c r="J39" s="13" t="s">
        <v>106</v>
      </c>
      <c r="W39" s="13">
        <v>99</v>
      </c>
      <c r="X39" s="13">
        <v>99</v>
      </c>
      <c r="Y39" s="13" t="s">
        <v>107</v>
      </c>
      <c r="Z39" s="13" t="s">
        <v>108</v>
      </c>
      <c r="AA39" s="29" t="s">
        <v>107</v>
      </c>
      <c r="AB39" s="13" t="s">
        <v>1360</v>
      </c>
      <c r="AC39" s="13" t="s">
        <v>1360</v>
      </c>
      <c r="AD39" s="13" t="s">
        <v>1360</v>
      </c>
      <c r="AE39" s="14" t="s">
        <v>112</v>
      </c>
      <c r="AF39" s="13" t="s">
        <v>1360</v>
      </c>
      <c r="AG39" s="13" t="s">
        <v>1360</v>
      </c>
      <c r="AH39" s="14" t="s">
        <v>1361</v>
      </c>
      <c r="AL39" s="13" t="s">
        <v>1362</v>
      </c>
      <c r="AN39" s="13">
        <v>329</v>
      </c>
      <c r="AO39" s="13" t="s">
        <v>1363</v>
      </c>
      <c r="AQ39" s="13" t="s">
        <v>1360</v>
      </c>
      <c r="AR39" s="13" t="s">
        <v>1360</v>
      </c>
      <c r="AS39" s="13" t="s">
        <v>116</v>
      </c>
      <c r="AT39" s="13" t="s">
        <v>1364</v>
      </c>
      <c r="AU39" s="13" t="s">
        <v>1281</v>
      </c>
      <c r="AV39" s="27" t="s">
        <v>1282</v>
      </c>
      <c r="AY39" s="13" t="s">
        <v>1365</v>
      </c>
      <c r="AZ39" s="13" t="s">
        <v>1366</v>
      </c>
      <c r="BA39" s="13" t="s">
        <v>1366</v>
      </c>
      <c r="BB39" s="13" t="s">
        <v>1367</v>
      </c>
      <c r="BC39" s="13" t="s">
        <v>1368</v>
      </c>
      <c r="BD39" s="30">
        <f t="shared" si="1"/>
        <v>53</v>
      </c>
      <c r="BE39" s="13" t="s">
        <v>1287</v>
      </c>
      <c r="BF39" s="13" t="s">
        <v>1288</v>
      </c>
      <c r="BG39" s="13" t="s">
        <v>1289</v>
      </c>
      <c r="BL39" s="13" t="s">
        <v>1314</v>
      </c>
      <c r="BN39" s="13" t="s">
        <v>1291</v>
      </c>
      <c r="BO39" s="17" t="s">
        <v>1369</v>
      </c>
      <c r="BS39" s="13" t="s">
        <v>127</v>
      </c>
      <c r="BU39" s="13" t="s">
        <v>129</v>
      </c>
      <c r="BX39" s="13" t="s">
        <v>1370</v>
      </c>
      <c r="DA39" s="13" t="s">
        <v>10348</v>
      </c>
      <c r="DB39" s="13" t="s">
        <v>10348</v>
      </c>
    </row>
    <row r="40" spans="1:106" s="13" customFormat="1" ht="12.75" customHeight="1" x14ac:dyDescent="0.2">
      <c r="A40" s="13" t="s">
        <v>102</v>
      </c>
      <c r="B40" s="13" t="s">
        <v>103</v>
      </c>
      <c r="D40" s="13" t="s">
        <v>227</v>
      </c>
      <c r="E40" s="13" t="s">
        <v>228</v>
      </c>
      <c r="F40" s="13" t="s">
        <v>227</v>
      </c>
      <c r="G40" s="13" t="s">
        <v>229</v>
      </c>
      <c r="H40" s="13" t="s">
        <v>227</v>
      </c>
      <c r="J40" s="13" t="s">
        <v>106</v>
      </c>
      <c r="W40" s="13">
        <v>100</v>
      </c>
      <c r="X40" s="13">
        <v>100</v>
      </c>
      <c r="Y40" s="13" t="s">
        <v>107</v>
      </c>
      <c r="Z40" s="13" t="s">
        <v>108</v>
      </c>
      <c r="AA40" s="29" t="s">
        <v>107</v>
      </c>
      <c r="AB40" s="13" t="s">
        <v>1371</v>
      </c>
      <c r="AC40" s="13" t="s">
        <v>1371</v>
      </c>
      <c r="AD40" s="13" t="s">
        <v>1371</v>
      </c>
      <c r="AE40" s="14" t="s">
        <v>112</v>
      </c>
      <c r="AF40" s="13" t="s">
        <v>1371</v>
      </c>
      <c r="AG40" s="13" t="s">
        <v>1371</v>
      </c>
      <c r="AH40" s="14" t="s">
        <v>1372</v>
      </c>
      <c r="AL40" s="13" t="s">
        <v>1373</v>
      </c>
      <c r="AN40" s="13">
        <v>329</v>
      </c>
      <c r="AO40" s="13" t="s">
        <v>1374</v>
      </c>
      <c r="AQ40" s="13" t="s">
        <v>1371</v>
      </c>
      <c r="AR40" s="13" t="s">
        <v>1371</v>
      </c>
      <c r="AS40" s="13" t="s">
        <v>116</v>
      </c>
      <c r="AT40" s="13" t="s">
        <v>1375</v>
      </c>
      <c r="AU40" s="13" t="s">
        <v>1281</v>
      </c>
      <c r="AV40" s="27" t="s">
        <v>1282</v>
      </c>
      <c r="AY40" s="13" t="s">
        <v>1376</v>
      </c>
      <c r="AZ40" s="13" t="s">
        <v>1377</v>
      </c>
      <c r="BA40" s="13" t="s">
        <v>1377</v>
      </c>
      <c r="BB40" s="13" t="s">
        <v>1378</v>
      </c>
      <c r="BC40" s="13" t="s">
        <v>1379</v>
      </c>
      <c r="BD40" s="30">
        <f t="shared" si="1"/>
        <v>55</v>
      </c>
      <c r="BE40" s="13" t="s">
        <v>1287</v>
      </c>
      <c r="BF40" s="13" t="s">
        <v>1288</v>
      </c>
      <c r="BG40" s="13" t="s">
        <v>1289</v>
      </c>
      <c r="BL40" s="13" t="s">
        <v>1314</v>
      </c>
      <c r="BN40" s="13" t="s">
        <v>1291</v>
      </c>
      <c r="BO40" s="17" t="s">
        <v>1380</v>
      </c>
      <c r="BS40" s="13" t="s">
        <v>127</v>
      </c>
      <c r="BU40" s="13" t="s">
        <v>129</v>
      </c>
      <c r="BX40" s="13" t="s">
        <v>1381</v>
      </c>
      <c r="DA40" s="13" t="s">
        <v>10348</v>
      </c>
      <c r="DB40" s="13" t="s">
        <v>10348</v>
      </c>
    </row>
    <row r="41" spans="1:106" s="13" customFormat="1" ht="12.75" customHeight="1" x14ac:dyDescent="0.2">
      <c r="A41" s="13" t="s">
        <v>102</v>
      </c>
      <c r="B41" s="13" t="s">
        <v>103</v>
      </c>
      <c r="D41" s="13" t="s">
        <v>227</v>
      </c>
      <c r="E41" s="13" t="s">
        <v>228</v>
      </c>
      <c r="F41" s="13" t="s">
        <v>227</v>
      </c>
      <c r="G41" s="13" t="s">
        <v>229</v>
      </c>
      <c r="H41" s="13" t="s">
        <v>227</v>
      </c>
      <c r="J41" s="13" t="s">
        <v>106</v>
      </c>
      <c r="W41" s="13">
        <v>101</v>
      </c>
      <c r="X41" s="13">
        <v>101</v>
      </c>
      <c r="Y41" s="13" t="s">
        <v>107</v>
      </c>
      <c r="Z41" s="13" t="s">
        <v>108</v>
      </c>
      <c r="AA41" s="29" t="s">
        <v>107</v>
      </c>
      <c r="AB41" s="13" t="s">
        <v>1382</v>
      </c>
      <c r="AC41" s="13" t="s">
        <v>1382</v>
      </c>
      <c r="AD41" s="13" t="s">
        <v>1382</v>
      </c>
      <c r="AE41" s="14" t="s">
        <v>112</v>
      </c>
      <c r="AF41" s="13" t="s">
        <v>1382</v>
      </c>
      <c r="AG41" s="13" t="s">
        <v>1382</v>
      </c>
      <c r="AH41" s="14" t="s">
        <v>1383</v>
      </c>
      <c r="AL41" s="13" t="s">
        <v>1384</v>
      </c>
      <c r="AN41" s="13">
        <v>329</v>
      </c>
      <c r="AO41" s="13" t="s">
        <v>1385</v>
      </c>
      <c r="AQ41" s="13" t="s">
        <v>1382</v>
      </c>
      <c r="AR41" s="13" t="s">
        <v>1382</v>
      </c>
      <c r="AS41" s="13" t="s">
        <v>116</v>
      </c>
      <c r="AT41" s="13" t="s">
        <v>1386</v>
      </c>
      <c r="AU41" s="13" t="s">
        <v>1281</v>
      </c>
      <c r="AV41" s="27" t="s">
        <v>1282</v>
      </c>
      <c r="AY41" s="13" t="s">
        <v>1387</v>
      </c>
      <c r="AZ41" s="13" t="s">
        <v>1388</v>
      </c>
      <c r="BA41" s="13" t="s">
        <v>1388</v>
      </c>
      <c r="BB41" s="13" t="s">
        <v>1389</v>
      </c>
      <c r="BC41" s="13" t="s">
        <v>1390</v>
      </c>
      <c r="BD41" s="30">
        <f t="shared" si="1"/>
        <v>58</v>
      </c>
      <c r="BE41" s="13" t="s">
        <v>1287</v>
      </c>
      <c r="BF41" s="13" t="s">
        <v>1288</v>
      </c>
      <c r="BG41" s="13" t="s">
        <v>1289</v>
      </c>
      <c r="BL41" s="13" t="s">
        <v>1314</v>
      </c>
      <c r="BN41" s="13" t="s">
        <v>1291</v>
      </c>
      <c r="BO41" s="17" t="s">
        <v>1391</v>
      </c>
      <c r="BS41" s="13" t="s">
        <v>127</v>
      </c>
      <c r="BU41" s="13" t="s">
        <v>129</v>
      </c>
      <c r="BX41" s="13" t="s">
        <v>1392</v>
      </c>
      <c r="DA41" s="13" t="s">
        <v>10348</v>
      </c>
      <c r="DB41" s="13" t="s">
        <v>10348</v>
      </c>
    </row>
    <row r="42" spans="1:106" s="13" customFormat="1" ht="12.75" customHeight="1" x14ac:dyDescent="0.2">
      <c r="A42" s="13" t="s">
        <v>102</v>
      </c>
      <c r="B42" s="13" t="s">
        <v>103</v>
      </c>
      <c r="D42" s="13" t="s">
        <v>227</v>
      </c>
      <c r="E42" s="13" t="s">
        <v>228</v>
      </c>
      <c r="F42" s="13" t="s">
        <v>227</v>
      </c>
      <c r="G42" s="13" t="s">
        <v>229</v>
      </c>
      <c r="H42" s="13" t="s">
        <v>227</v>
      </c>
      <c r="J42" s="13" t="s">
        <v>106</v>
      </c>
      <c r="W42" s="13">
        <v>102</v>
      </c>
      <c r="X42" s="13">
        <v>102</v>
      </c>
      <c r="Y42" s="13" t="s">
        <v>107</v>
      </c>
      <c r="Z42" s="13" t="s">
        <v>108</v>
      </c>
      <c r="AA42" s="29" t="s">
        <v>107</v>
      </c>
      <c r="AB42" s="13" t="s">
        <v>1393</v>
      </c>
      <c r="AC42" s="13" t="s">
        <v>1393</v>
      </c>
      <c r="AD42" s="13" t="s">
        <v>1393</v>
      </c>
      <c r="AE42" s="14" t="s">
        <v>112</v>
      </c>
      <c r="AF42" s="13" t="s">
        <v>1393</v>
      </c>
      <c r="AG42" s="13" t="s">
        <v>1393</v>
      </c>
      <c r="AH42" s="14" t="s">
        <v>1394</v>
      </c>
      <c r="AL42" s="13" t="s">
        <v>1395</v>
      </c>
      <c r="AN42" s="13">
        <v>329</v>
      </c>
      <c r="AO42" s="13" t="s">
        <v>1396</v>
      </c>
      <c r="AQ42" s="13" t="s">
        <v>1393</v>
      </c>
      <c r="AR42" s="13" t="s">
        <v>1393</v>
      </c>
      <c r="AS42" s="13" t="s">
        <v>116</v>
      </c>
      <c r="AT42" s="13" t="s">
        <v>1397</v>
      </c>
      <c r="AU42" s="13" t="s">
        <v>1398</v>
      </c>
      <c r="AV42" s="27" t="s">
        <v>1399</v>
      </c>
      <c r="AY42" s="13" t="s">
        <v>1400</v>
      </c>
      <c r="AZ42" s="13" t="s">
        <v>1401</v>
      </c>
      <c r="BA42" s="13" t="s">
        <v>1401</v>
      </c>
      <c r="BB42" s="13" t="s">
        <v>1402</v>
      </c>
      <c r="BC42" s="13" t="s">
        <v>1403</v>
      </c>
      <c r="BD42" s="30">
        <f t="shared" si="1"/>
        <v>58</v>
      </c>
      <c r="BE42" s="13" t="s">
        <v>242</v>
      </c>
      <c r="BF42" s="13" t="s">
        <v>1404</v>
      </c>
      <c r="BG42" s="13" t="s">
        <v>1405</v>
      </c>
      <c r="BH42" s="13" t="s">
        <v>1406</v>
      </c>
      <c r="BJ42" s="13" t="s">
        <v>1407</v>
      </c>
      <c r="BO42" s="17" t="s">
        <v>1408</v>
      </c>
      <c r="BP42" s="13" t="s">
        <v>260</v>
      </c>
      <c r="BR42" s="13" t="s">
        <v>629</v>
      </c>
      <c r="BS42" s="13" t="s">
        <v>127</v>
      </c>
      <c r="BU42" s="13" t="s">
        <v>129</v>
      </c>
      <c r="BW42" s="13" t="s">
        <v>1409</v>
      </c>
      <c r="BX42" s="13" t="s">
        <v>1410</v>
      </c>
      <c r="DA42" s="13" t="s">
        <v>10348</v>
      </c>
      <c r="DB42" s="13" t="s">
        <v>10348</v>
      </c>
    </row>
    <row r="43" spans="1:106" s="13" customFormat="1" ht="12.75" customHeight="1" x14ac:dyDescent="0.2">
      <c r="A43" s="13" t="s">
        <v>102</v>
      </c>
      <c r="B43" s="13" t="s">
        <v>103</v>
      </c>
      <c r="D43" s="13" t="s">
        <v>227</v>
      </c>
      <c r="E43" s="13" t="s">
        <v>228</v>
      </c>
      <c r="F43" s="13" t="s">
        <v>227</v>
      </c>
      <c r="G43" s="13" t="s">
        <v>229</v>
      </c>
      <c r="H43" s="13" t="s">
        <v>227</v>
      </c>
      <c r="J43" s="13" t="s">
        <v>106</v>
      </c>
      <c r="W43" s="13">
        <v>103</v>
      </c>
      <c r="X43" s="13">
        <v>103</v>
      </c>
      <c r="Y43" s="13" t="s">
        <v>107</v>
      </c>
      <c r="Z43" s="13" t="s">
        <v>108</v>
      </c>
      <c r="AA43" s="29" t="s">
        <v>107</v>
      </c>
      <c r="AB43" s="13" t="s">
        <v>1411</v>
      </c>
      <c r="AC43" s="13" t="s">
        <v>1411</v>
      </c>
      <c r="AD43" s="13">
        <v>193351</v>
      </c>
      <c r="AE43" s="14" t="s">
        <v>112</v>
      </c>
      <c r="AF43" s="13">
        <v>193351</v>
      </c>
      <c r="AG43" s="13">
        <v>193351</v>
      </c>
      <c r="AH43" s="14" t="s">
        <v>1412</v>
      </c>
      <c r="AL43" s="13" t="s">
        <v>1413</v>
      </c>
      <c r="AN43" s="13">
        <v>329</v>
      </c>
      <c r="AO43" s="13" t="s">
        <v>1414</v>
      </c>
      <c r="AQ43" s="13" t="s">
        <v>1411</v>
      </c>
      <c r="AR43" s="13" t="s">
        <v>1411</v>
      </c>
      <c r="AS43" s="13" t="s">
        <v>116</v>
      </c>
      <c r="AT43" s="13" t="s">
        <v>1415</v>
      </c>
      <c r="AU43" s="13" t="s">
        <v>1398</v>
      </c>
      <c r="AV43" s="27" t="s">
        <v>1399</v>
      </c>
      <c r="AY43" s="13" t="s">
        <v>1416</v>
      </c>
      <c r="AZ43" s="13" t="s">
        <v>1417</v>
      </c>
      <c r="BA43" s="13" t="s">
        <v>1417</v>
      </c>
      <c r="BB43" s="13" t="s">
        <v>1418</v>
      </c>
      <c r="BC43" s="13" t="s">
        <v>1419</v>
      </c>
      <c r="BD43" s="30">
        <f t="shared" si="1"/>
        <v>58</v>
      </c>
      <c r="BE43" s="13" t="s">
        <v>242</v>
      </c>
      <c r="BF43" s="13" t="s">
        <v>1404</v>
      </c>
      <c r="BG43" s="13" t="s">
        <v>1405</v>
      </c>
      <c r="BH43" s="13" t="s">
        <v>1406</v>
      </c>
      <c r="BJ43" s="13" t="s">
        <v>1420</v>
      </c>
      <c r="BO43" s="17" t="s">
        <v>1408</v>
      </c>
      <c r="BP43" s="13" t="s">
        <v>260</v>
      </c>
      <c r="BR43" s="13" t="s">
        <v>629</v>
      </c>
      <c r="BS43" s="13" t="s">
        <v>127</v>
      </c>
      <c r="BU43" s="13" t="s">
        <v>129</v>
      </c>
      <c r="BW43" s="13" t="s">
        <v>1421</v>
      </c>
      <c r="BX43" s="13" t="s">
        <v>1422</v>
      </c>
      <c r="DA43" s="13" t="s">
        <v>10348</v>
      </c>
      <c r="DB43" s="13" t="s">
        <v>10348</v>
      </c>
    </row>
    <row r="44" spans="1:106" s="13" customFormat="1" ht="12.75" customHeight="1" x14ac:dyDescent="0.2">
      <c r="A44" s="13" t="s">
        <v>102</v>
      </c>
      <c r="B44" s="13" t="s">
        <v>103</v>
      </c>
      <c r="D44" s="13" t="s">
        <v>227</v>
      </c>
      <c r="E44" s="13" t="s">
        <v>228</v>
      </c>
      <c r="F44" s="13" t="s">
        <v>227</v>
      </c>
      <c r="G44" s="13" t="s">
        <v>229</v>
      </c>
      <c r="H44" s="13" t="s">
        <v>227</v>
      </c>
      <c r="J44" s="13" t="s">
        <v>106</v>
      </c>
      <c r="W44" s="13">
        <v>104</v>
      </c>
      <c r="X44" s="13">
        <v>104</v>
      </c>
      <c r="Y44" s="13" t="s">
        <v>107</v>
      </c>
      <c r="Z44" s="13" t="s">
        <v>108</v>
      </c>
      <c r="AA44" s="29" t="s">
        <v>107</v>
      </c>
      <c r="AB44" s="13" t="s">
        <v>1423</v>
      </c>
      <c r="AC44" s="13" t="s">
        <v>1423</v>
      </c>
      <c r="AD44" s="13" t="s">
        <v>1423</v>
      </c>
      <c r="AE44" s="14" t="s">
        <v>112</v>
      </c>
      <c r="AF44" s="13" t="s">
        <v>1423</v>
      </c>
      <c r="AG44" s="13" t="s">
        <v>1423</v>
      </c>
      <c r="AH44" s="14" t="s">
        <v>1424</v>
      </c>
      <c r="AL44" s="13" t="s">
        <v>1425</v>
      </c>
      <c r="AN44" s="13">
        <v>329</v>
      </c>
      <c r="AO44" s="13" t="s">
        <v>1426</v>
      </c>
      <c r="AQ44" s="13" t="s">
        <v>1423</v>
      </c>
      <c r="AR44" s="13" t="s">
        <v>1423</v>
      </c>
      <c r="AS44" s="13" t="s">
        <v>116</v>
      </c>
      <c r="AT44" s="13" t="s">
        <v>1427</v>
      </c>
      <c r="AU44" s="13" t="s">
        <v>1398</v>
      </c>
      <c r="AV44" s="27" t="s">
        <v>1399</v>
      </c>
      <c r="AY44" s="13" t="s">
        <v>1428</v>
      </c>
      <c r="AZ44" s="13" t="s">
        <v>1429</v>
      </c>
      <c r="BA44" s="13" t="s">
        <v>1429</v>
      </c>
      <c r="BB44" s="13" t="s">
        <v>1430</v>
      </c>
      <c r="BC44" s="13" t="s">
        <v>1431</v>
      </c>
      <c r="BD44" s="30">
        <f t="shared" si="1"/>
        <v>58</v>
      </c>
      <c r="BE44" s="13" t="s">
        <v>242</v>
      </c>
      <c r="BF44" s="13" t="s">
        <v>1404</v>
      </c>
      <c r="BG44" s="13" t="s">
        <v>1405</v>
      </c>
      <c r="BH44" s="13" t="s">
        <v>1406</v>
      </c>
      <c r="BJ44" s="13" t="s">
        <v>1432</v>
      </c>
      <c r="BO44" s="17" t="s">
        <v>1408</v>
      </c>
      <c r="BP44" s="13" t="s">
        <v>260</v>
      </c>
      <c r="BR44" s="13" t="s">
        <v>629</v>
      </c>
      <c r="BS44" s="13" t="s">
        <v>127</v>
      </c>
      <c r="BU44" s="13" t="s">
        <v>129</v>
      </c>
      <c r="BW44" s="13" t="s">
        <v>1433</v>
      </c>
      <c r="BX44" s="13" t="s">
        <v>1434</v>
      </c>
      <c r="DA44" s="13" t="s">
        <v>10348</v>
      </c>
      <c r="DB44" s="13" t="s">
        <v>10348</v>
      </c>
    </row>
    <row r="45" spans="1:106" s="13" customFormat="1" ht="12.75" customHeight="1" x14ac:dyDescent="0.2">
      <c r="A45" s="13" t="s">
        <v>102</v>
      </c>
      <c r="B45" s="13" t="s">
        <v>103</v>
      </c>
      <c r="D45" s="13" t="s">
        <v>227</v>
      </c>
      <c r="E45" s="13" t="s">
        <v>228</v>
      </c>
      <c r="F45" s="13" t="s">
        <v>227</v>
      </c>
      <c r="G45" s="13" t="s">
        <v>229</v>
      </c>
      <c r="H45" s="13" t="s">
        <v>227</v>
      </c>
      <c r="J45" s="13" t="s">
        <v>106</v>
      </c>
      <c r="W45" s="13">
        <v>105</v>
      </c>
      <c r="X45" s="13">
        <v>105</v>
      </c>
      <c r="Y45" s="13" t="s">
        <v>107</v>
      </c>
      <c r="Z45" s="13" t="s">
        <v>108</v>
      </c>
      <c r="AA45" s="29" t="s">
        <v>107</v>
      </c>
      <c r="AB45" s="13" t="s">
        <v>1435</v>
      </c>
      <c r="AC45" s="13" t="s">
        <v>1435</v>
      </c>
      <c r="AD45" s="13" t="s">
        <v>1435</v>
      </c>
      <c r="AE45" s="14" t="s">
        <v>112</v>
      </c>
      <c r="AF45" s="13" t="s">
        <v>1435</v>
      </c>
      <c r="AG45" s="13" t="s">
        <v>1435</v>
      </c>
      <c r="AH45" s="14" t="s">
        <v>1436</v>
      </c>
      <c r="AL45" s="13" t="s">
        <v>1437</v>
      </c>
      <c r="AN45" s="13">
        <v>329</v>
      </c>
      <c r="AO45" s="13" t="s">
        <v>1438</v>
      </c>
      <c r="AQ45" s="13" t="s">
        <v>1435</v>
      </c>
      <c r="AR45" s="13" t="s">
        <v>1435</v>
      </c>
      <c r="AS45" s="13" t="s">
        <v>116</v>
      </c>
      <c r="AT45" s="13" t="s">
        <v>1439</v>
      </c>
      <c r="AU45" s="13" t="s">
        <v>1398</v>
      </c>
      <c r="AV45" s="27" t="s">
        <v>1399</v>
      </c>
      <c r="AY45" s="13" t="s">
        <v>1440</v>
      </c>
      <c r="AZ45" s="13" t="s">
        <v>1441</v>
      </c>
      <c r="BA45" s="13" t="s">
        <v>1441</v>
      </c>
      <c r="BB45" s="13" t="s">
        <v>1442</v>
      </c>
      <c r="BC45" s="13" t="s">
        <v>1443</v>
      </c>
      <c r="BD45" s="30">
        <f t="shared" si="1"/>
        <v>58</v>
      </c>
      <c r="BE45" s="13" t="s">
        <v>242</v>
      </c>
      <c r="BF45" s="13" t="s">
        <v>1404</v>
      </c>
      <c r="BG45" s="13" t="s">
        <v>1405</v>
      </c>
      <c r="BH45" s="13" t="s">
        <v>1406</v>
      </c>
      <c r="BJ45" s="13" t="s">
        <v>1444</v>
      </c>
      <c r="BO45" s="17" t="s">
        <v>1408</v>
      </c>
      <c r="BP45" s="13" t="s">
        <v>260</v>
      </c>
      <c r="BR45" s="13" t="s">
        <v>629</v>
      </c>
      <c r="BS45" s="13" t="s">
        <v>127</v>
      </c>
      <c r="BU45" s="13" t="s">
        <v>129</v>
      </c>
      <c r="BW45" s="13" t="s">
        <v>1445</v>
      </c>
      <c r="BX45" s="13" t="s">
        <v>1446</v>
      </c>
      <c r="DA45" s="13" t="s">
        <v>10348</v>
      </c>
      <c r="DB45" s="13" t="s">
        <v>10348</v>
      </c>
    </row>
    <row r="46" spans="1:106" s="13" customFormat="1" ht="12.75" customHeight="1" x14ac:dyDescent="0.2">
      <c r="A46" s="13" t="s">
        <v>102</v>
      </c>
      <c r="B46" s="13" t="s">
        <v>103</v>
      </c>
      <c r="D46" s="13" t="s">
        <v>227</v>
      </c>
      <c r="E46" s="13" t="s">
        <v>228</v>
      </c>
      <c r="F46" s="13" t="s">
        <v>227</v>
      </c>
      <c r="G46" s="13" t="s">
        <v>229</v>
      </c>
      <c r="H46" s="13" t="s">
        <v>227</v>
      </c>
      <c r="J46" s="13" t="s">
        <v>106</v>
      </c>
      <c r="W46" s="13">
        <v>106</v>
      </c>
      <c r="X46" s="13">
        <v>106</v>
      </c>
      <c r="Y46" s="13" t="s">
        <v>107</v>
      </c>
      <c r="Z46" s="13" t="s">
        <v>108</v>
      </c>
      <c r="AA46" s="29" t="s">
        <v>107</v>
      </c>
      <c r="AB46" s="13" t="s">
        <v>1447</v>
      </c>
      <c r="AC46" s="13" t="s">
        <v>1447</v>
      </c>
      <c r="AD46" s="13" t="s">
        <v>1447</v>
      </c>
      <c r="AE46" s="14" t="s">
        <v>112</v>
      </c>
      <c r="AF46" s="13" t="s">
        <v>1447</v>
      </c>
      <c r="AG46" s="13" t="s">
        <v>1447</v>
      </c>
      <c r="AH46" s="14" t="s">
        <v>1448</v>
      </c>
      <c r="AL46" s="13" t="s">
        <v>1449</v>
      </c>
      <c r="AN46" s="13">
        <v>329</v>
      </c>
      <c r="AO46" s="13" t="s">
        <v>1450</v>
      </c>
      <c r="AQ46" s="13" t="s">
        <v>1447</v>
      </c>
      <c r="AR46" s="13" t="s">
        <v>1447</v>
      </c>
      <c r="AS46" s="13" t="s">
        <v>116</v>
      </c>
      <c r="AT46" s="13" t="s">
        <v>1451</v>
      </c>
      <c r="AU46" s="13" t="s">
        <v>1398</v>
      </c>
      <c r="AV46" s="27" t="s">
        <v>1399</v>
      </c>
      <c r="AY46" s="13" t="s">
        <v>1452</v>
      </c>
      <c r="AZ46" s="13" t="s">
        <v>1453</v>
      </c>
      <c r="BA46" s="13" t="s">
        <v>1453</v>
      </c>
      <c r="BB46" s="13" t="s">
        <v>1454</v>
      </c>
      <c r="BC46" s="13" t="s">
        <v>1455</v>
      </c>
      <c r="BD46" s="30">
        <f t="shared" si="1"/>
        <v>60</v>
      </c>
      <c r="BE46" s="13" t="s">
        <v>242</v>
      </c>
      <c r="BF46" s="13" t="s">
        <v>1404</v>
      </c>
      <c r="BG46" s="13" t="s">
        <v>1405</v>
      </c>
      <c r="BH46" s="13" t="s">
        <v>1406</v>
      </c>
      <c r="BJ46" s="13" t="s">
        <v>1407</v>
      </c>
      <c r="BO46" s="17" t="s">
        <v>1456</v>
      </c>
      <c r="BP46" s="13" t="s">
        <v>260</v>
      </c>
      <c r="BR46" s="13" t="s">
        <v>629</v>
      </c>
      <c r="BS46" s="13" t="s">
        <v>127</v>
      </c>
      <c r="BU46" s="13" t="s">
        <v>129</v>
      </c>
      <c r="BW46" s="13" t="s">
        <v>1409</v>
      </c>
      <c r="BX46" s="13" t="s">
        <v>1457</v>
      </c>
      <c r="DA46" s="13" t="s">
        <v>10348</v>
      </c>
      <c r="DB46" s="13" t="s">
        <v>10348</v>
      </c>
    </row>
    <row r="47" spans="1:106" s="13" customFormat="1" ht="12.75" customHeight="1" x14ac:dyDescent="0.2">
      <c r="A47" s="13" t="s">
        <v>102</v>
      </c>
      <c r="B47" s="13" t="s">
        <v>103</v>
      </c>
      <c r="D47" s="13" t="s">
        <v>227</v>
      </c>
      <c r="E47" s="13" t="s">
        <v>228</v>
      </c>
      <c r="F47" s="13" t="s">
        <v>227</v>
      </c>
      <c r="G47" s="13" t="s">
        <v>229</v>
      </c>
      <c r="H47" s="13" t="s">
        <v>227</v>
      </c>
      <c r="J47" s="13" t="s">
        <v>106</v>
      </c>
      <c r="W47" s="13">
        <v>107</v>
      </c>
      <c r="X47" s="13">
        <v>107</v>
      </c>
      <c r="Y47" s="13" t="s">
        <v>107</v>
      </c>
      <c r="Z47" s="13" t="s">
        <v>108</v>
      </c>
      <c r="AA47" s="29" t="s">
        <v>107</v>
      </c>
      <c r="AB47" s="13" t="s">
        <v>1458</v>
      </c>
      <c r="AC47" s="13" t="s">
        <v>1458</v>
      </c>
      <c r="AD47" s="13">
        <v>193355</v>
      </c>
      <c r="AE47" s="14" t="s">
        <v>112</v>
      </c>
      <c r="AF47" s="13">
        <v>193355</v>
      </c>
      <c r="AG47" s="13">
        <v>193355</v>
      </c>
      <c r="AH47" s="14" t="s">
        <v>1459</v>
      </c>
      <c r="AL47" s="13" t="s">
        <v>1460</v>
      </c>
      <c r="AN47" s="13">
        <v>329</v>
      </c>
      <c r="AO47" s="13" t="s">
        <v>1461</v>
      </c>
      <c r="AQ47" s="13" t="s">
        <v>1458</v>
      </c>
      <c r="AR47" s="13" t="s">
        <v>1458</v>
      </c>
      <c r="AS47" s="13" t="s">
        <v>116</v>
      </c>
      <c r="AT47" s="13" t="s">
        <v>1462</v>
      </c>
      <c r="AU47" s="13" t="s">
        <v>1398</v>
      </c>
      <c r="AV47" s="27" t="s">
        <v>1399</v>
      </c>
      <c r="AY47" s="13" t="s">
        <v>1463</v>
      </c>
      <c r="AZ47" s="13" t="s">
        <v>1464</v>
      </c>
      <c r="BA47" s="13" t="s">
        <v>1464</v>
      </c>
      <c r="BB47" s="13" t="s">
        <v>1465</v>
      </c>
      <c r="BC47" s="13" t="s">
        <v>1466</v>
      </c>
      <c r="BD47" s="30">
        <f t="shared" si="1"/>
        <v>60</v>
      </c>
      <c r="BE47" s="13" t="s">
        <v>242</v>
      </c>
      <c r="BF47" s="13" t="s">
        <v>1404</v>
      </c>
      <c r="BG47" s="13" t="s">
        <v>1405</v>
      </c>
      <c r="BH47" s="13" t="s">
        <v>1406</v>
      </c>
      <c r="BJ47" s="13" t="s">
        <v>1420</v>
      </c>
      <c r="BO47" s="17" t="s">
        <v>1456</v>
      </c>
      <c r="BP47" s="13" t="s">
        <v>260</v>
      </c>
      <c r="BR47" s="13" t="s">
        <v>629</v>
      </c>
      <c r="BS47" s="13" t="s">
        <v>127</v>
      </c>
      <c r="BU47" s="13" t="s">
        <v>129</v>
      </c>
      <c r="BW47" s="13" t="s">
        <v>1421</v>
      </c>
      <c r="BX47" s="13" t="s">
        <v>1467</v>
      </c>
      <c r="DA47" s="13" t="s">
        <v>10348</v>
      </c>
      <c r="DB47" s="13" t="s">
        <v>10348</v>
      </c>
    </row>
    <row r="48" spans="1:106" s="13" customFormat="1" ht="12.75" customHeight="1" x14ac:dyDescent="0.2">
      <c r="A48" s="13" t="s">
        <v>102</v>
      </c>
      <c r="B48" s="13" t="s">
        <v>103</v>
      </c>
      <c r="D48" s="13" t="s">
        <v>227</v>
      </c>
      <c r="E48" s="13" t="s">
        <v>228</v>
      </c>
      <c r="F48" s="13" t="s">
        <v>227</v>
      </c>
      <c r="G48" s="13" t="s">
        <v>229</v>
      </c>
      <c r="H48" s="13" t="s">
        <v>227</v>
      </c>
      <c r="J48" s="13" t="s">
        <v>106</v>
      </c>
      <c r="W48" s="13">
        <v>108</v>
      </c>
      <c r="X48" s="13">
        <v>108</v>
      </c>
      <c r="Y48" s="13" t="s">
        <v>107</v>
      </c>
      <c r="Z48" s="13" t="s">
        <v>108</v>
      </c>
      <c r="AA48" s="29" t="s">
        <v>107</v>
      </c>
      <c r="AB48" s="13" t="s">
        <v>1468</v>
      </c>
      <c r="AC48" s="13" t="s">
        <v>1468</v>
      </c>
      <c r="AD48" s="13" t="s">
        <v>1468</v>
      </c>
      <c r="AE48" s="14" t="s">
        <v>112</v>
      </c>
      <c r="AF48" s="13" t="s">
        <v>1468</v>
      </c>
      <c r="AG48" s="13" t="s">
        <v>1468</v>
      </c>
      <c r="AH48" s="14" t="s">
        <v>1469</v>
      </c>
      <c r="AL48" s="13" t="s">
        <v>1470</v>
      </c>
      <c r="AN48" s="13">
        <v>329</v>
      </c>
      <c r="AO48" s="13" t="s">
        <v>1471</v>
      </c>
      <c r="AQ48" s="13" t="s">
        <v>1468</v>
      </c>
      <c r="AR48" s="13" t="s">
        <v>1468</v>
      </c>
      <c r="AS48" s="13" t="s">
        <v>116</v>
      </c>
      <c r="AT48" s="13" t="s">
        <v>1472</v>
      </c>
      <c r="AU48" s="13" t="s">
        <v>1398</v>
      </c>
      <c r="AV48" s="27" t="s">
        <v>1399</v>
      </c>
      <c r="AY48" s="13" t="s">
        <v>1473</v>
      </c>
      <c r="AZ48" s="13" t="s">
        <v>1474</v>
      </c>
      <c r="BA48" s="13" t="s">
        <v>1474</v>
      </c>
      <c r="BB48" s="13" t="s">
        <v>1475</v>
      </c>
      <c r="BC48" s="13" t="s">
        <v>1476</v>
      </c>
      <c r="BD48" s="30">
        <f t="shared" si="1"/>
        <v>60</v>
      </c>
      <c r="BE48" s="13" t="s">
        <v>242</v>
      </c>
      <c r="BF48" s="13" t="s">
        <v>1404</v>
      </c>
      <c r="BG48" s="13" t="s">
        <v>1405</v>
      </c>
      <c r="BH48" s="13" t="s">
        <v>1406</v>
      </c>
      <c r="BJ48" s="13" t="s">
        <v>1432</v>
      </c>
      <c r="BO48" s="17" t="s">
        <v>1456</v>
      </c>
      <c r="BP48" s="13" t="s">
        <v>260</v>
      </c>
      <c r="BR48" s="13" t="s">
        <v>629</v>
      </c>
      <c r="BS48" s="13" t="s">
        <v>127</v>
      </c>
      <c r="BU48" s="13" t="s">
        <v>129</v>
      </c>
      <c r="BW48" s="13" t="s">
        <v>1433</v>
      </c>
      <c r="BX48" s="13" t="s">
        <v>1477</v>
      </c>
      <c r="DA48" s="13" t="s">
        <v>10348</v>
      </c>
      <c r="DB48" s="13" t="s">
        <v>10348</v>
      </c>
    </row>
    <row r="49" spans="1:106" s="13" customFormat="1" ht="12.75" customHeight="1" x14ac:dyDescent="0.2">
      <c r="A49" s="13" t="s">
        <v>102</v>
      </c>
      <c r="B49" s="13" t="s">
        <v>103</v>
      </c>
      <c r="D49" s="13" t="s">
        <v>227</v>
      </c>
      <c r="E49" s="13" t="s">
        <v>228</v>
      </c>
      <c r="F49" s="13" t="s">
        <v>227</v>
      </c>
      <c r="G49" s="13" t="s">
        <v>229</v>
      </c>
      <c r="H49" s="13" t="s">
        <v>227</v>
      </c>
      <c r="J49" s="13" t="s">
        <v>106</v>
      </c>
      <c r="W49" s="13">
        <v>109</v>
      </c>
      <c r="X49" s="13">
        <v>109</v>
      </c>
      <c r="Y49" s="13" t="s">
        <v>107</v>
      </c>
      <c r="Z49" s="13" t="s">
        <v>108</v>
      </c>
      <c r="AA49" s="29" t="s">
        <v>107</v>
      </c>
      <c r="AB49" s="13" t="s">
        <v>1478</v>
      </c>
      <c r="AC49" s="13" t="s">
        <v>1478</v>
      </c>
      <c r="AD49" s="13" t="s">
        <v>1478</v>
      </c>
      <c r="AE49" s="14" t="s">
        <v>112</v>
      </c>
      <c r="AF49" s="13" t="s">
        <v>1478</v>
      </c>
      <c r="AG49" s="13" t="s">
        <v>1478</v>
      </c>
      <c r="AH49" s="14" t="s">
        <v>1479</v>
      </c>
      <c r="AL49" s="13" t="s">
        <v>1480</v>
      </c>
      <c r="AN49" s="13">
        <v>329</v>
      </c>
      <c r="AO49" s="13" t="s">
        <v>1481</v>
      </c>
      <c r="AQ49" s="13" t="s">
        <v>1478</v>
      </c>
      <c r="AR49" s="13" t="s">
        <v>1478</v>
      </c>
      <c r="AS49" s="13" t="s">
        <v>116</v>
      </c>
      <c r="AT49" s="13" t="s">
        <v>1482</v>
      </c>
      <c r="AU49" s="13" t="s">
        <v>1398</v>
      </c>
      <c r="AV49" s="27" t="s">
        <v>1399</v>
      </c>
      <c r="AY49" s="13" t="s">
        <v>1483</v>
      </c>
      <c r="AZ49" s="13" t="s">
        <v>1484</v>
      </c>
      <c r="BA49" s="13" t="s">
        <v>1484</v>
      </c>
      <c r="BB49" s="13" t="s">
        <v>1485</v>
      </c>
      <c r="BC49" s="13" t="s">
        <v>1486</v>
      </c>
      <c r="BD49" s="30">
        <f t="shared" si="1"/>
        <v>60</v>
      </c>
      <c r="BE49" s="13" t="s">
        <v>242</v>
      </c>
      <c r="BF49" s="13" t="s">
        <v>1404</v>
      </c>
      <c r="BG49" s="13" t="s">
        <v>1405</v>
      </c>
      <c r="BH49" s="13" t="s">
        <v>1406</v>
      </c>
      <c r="BJ49" s="13" t="s">
        <v>1444</v>
      </c>
      <c r="BO49" s="17" t="s">
        <v>1456</v>
      </c>
      <c r="BP49" s="13" t="s">
        <v>260</v>
      </c>
      <c r="BR49" s="13" t="s">
        <v>629</v>
      </c>
      <c r="BS49" s="13" t="s">
        <v>127</v>
      </c>
      <c r="BU49" s="13" t="s">
        <v>129</v>
      </c>
      <c r="BW49" s="13" t="s">
        <v>1445</v>
      </c>
      <c r="BX49" s="13" t="s">
        <v>1487</v>
      </c>
      <c r="DA49" s="13" t="s">
        <v>10348</v>
      </c>
      <c r="DB49" s="13" t="s">
        <v>10348</v>
      </c>
    </row>
    <row r="50" spans="1:106" s="13" customFormat="1" ht="12.75" customHeight="1" x14ac:dyDescent="0.2">
      <c r="A50" s="13" t="s">
        <v>102</v>
      </c>
      <c r="B50" s="13" t="s">
        <v>103</v>
      </c>
      <c r="D50" s="13" t="s">
        <v>227</v>
      </c>
      <c r="E50" s="13" t="s">
        <v>228</v>
      </c>
      <c r="F50" s="13" t="s">
        <v>227</v>
      </c>
      <c r="G50" s="13" t="s">
        <v>229</v>
      </c>
      <c r="H50" s="13" t="s">
        <v>227</v>
      </c>
      <c r="J50" s="13" t="s">
        <v>106</v>
      </c>
      <c r="W50" s="13">
        <v>110</v>
      </c>
      <c r="X50" s="13">
        <v>110</v>
      </c>
      <c r="Y50" s="13" t="s">
        <v>107</v>
      </c>
      <c r="Z50" s="13" t="s">
        <v>108</v>
      </c>
      <c r="AA50" s="29" t="s">
        <v>107</v>
      </c>
      <c r="AB50" s="13" t="s">
        <v>1488</v>
      </c>
      <c r="AC50" s="13" t="s">
        <v>1488</v>
      </c>
      <c r="AD50" s="13" t="s">
        <v>1488</v>
      </c>
      <c r="AE50" s="14" t="s">
        <v>112</v>
      </c>
      <c r="AF50" s="13" t="s">
        <v>1488</v>
      </c>
      <c r="AG50" s="13" t="s">
        <v>1488</v>
      </c>
      <c r="AH50" s="14" t="s">
        <v>1489</v>
      </c>
      <c r="AL50" s="13" t="s">
        <v>1490</v>
      </c>
      <c r="AN50" s="13">
        <v>329</v>
      </c>
      <c r="AO50" s="13" t="s">
        <v>1491</v>
      </c>
      <c r="AQ50" s="13" t="s">
        <v>1488</v>
      </c>
      <c r="AR50" s="13" t="s">
        <v>1488</v>
      </c>
      <c r="AS50" s="13" t="s">
        <v>116</v>
      </c>
      <c r="AT50" s="13" t="s">
        <v>1492</v>
      </c>
      <c r="AU50" s="13" t="s">
        <v>1398</v>
      </c>
      <c r="AV50" s="27" t="s">
        <v>1399</v>
      </c>
      <c r="AY50" s="13" t="s">
        <v>1493</v>
      </c>
      <c r="AZ50" s="13" t="s">
        <v>1494</v>
      </c>
      <c r="BA50" s="13" t="s">
        <v>1494</v>
      </c>
      <c r="BB50" s="13" t="s">
        <v>1495</v>
      </c>
      <c r="BC50" s="13" t="s">
        <v>1496</v>
      </c>
      <c r="BD50" s="30">
        <f t="shared" si="1"/>
        <v>54</v>
      </c>
      <c r="BE50" s="13" t="s">
        <v>242</v>
      </c>
      <c r="BF50" s="13" t="s">
        <v>1404</v>
      </c>
      <c r="BG50" s="13" t="s">
        <v>1405</v>
      </c>
      <c r="BH50" s="13" t="s">
        <v>1406</v>
      </c>
      <c r="BJ50" s="13" t="s">
        <v>1407</v>
      </c>
      <c r="BO50" s="17" t="s">
        <v>1497</v>
      </c>
      <c r="BP50" s="13" t="s">
        <v>1498</v>
      </c>
      <c r="BS50" s="13" t="s">
        <v>127</v>
      </c>
      <c r="BU50" s="13" t="s">
        <v>129</v>
      </c>
      <c r="BW50" s="13" t="s">
        <v>1409</v>
      </c>
      <c r="BX50" s="13" t="s">
        <v>1499</v>
      </c>
      <c r="DA50" s="13" t="s">
        <v>10348</v>
      </c>
      <c r="DB50" s="13" t="s">
        <v>10348</v>
      </c>
    </row>
    <row r="51" spans="1:106" s="13" customFormat="1" ht="12.75" customHeight="1" x14ac:dyDescent="0.2">
      <c r="A51" s="13" t="s">
        <v>102</v>
      </c>
      <c r="B51" s="13" t="s">
        <v>103</v>
      </c>
      <c r="D51" s="13" t="s">
        <v>227</v>
      </c>
      <c r="E51" s="13" t="s">
        <v>228</v>
      </c>
      <c r="F51" s="13" t="s">
        <v>227</v>
      </c>
      <c r="G51" s="13" t="s">
        <v>229</v>
      </c>
      <c r="H51" s="13" t="s">
        <v>227</v>
      </c>
      <c r="J51" s="13" t="s">
        <v>106</v>
      </c>
      <c r="W51" s="13">
        <v>111</v>
      </c>
      <c r="X51" s="13">
        <v>111</v>
      </c>
      <c r="Y51" s="13" t="s">
        <v>107</v>
      </c>
      <c r="Z51" s="13" t="s">
        <v>108</v>
      </c>
      <c r="AA51" s="29" t="s">
        <v>107</v>
      </c>
      <c r="AB51" s="13" t="s">
        <v>1500</v>
      </c>
      <c r="AC51" s="13" t="s">
        <v>1500</v>
      </c>
      <c r="AD51" s="13" t="s">
        <v>1500</v>
      </c>
      <c r="AE51" s="14" t="s">
        <v>112</v>
      </c>
      <c r="AF51" s="13" t="s">
        <v>1500</v>
      </c>
      <c r="AG51" s="13" t="s">
        <v>1500</v>
      </c>
      <c r="AH51" s="14" t="s">
        <v>1501</v>
      </c>
      <c r="AL51" s="13" t="s">
        <v>1502</v>
      </c>
      <c r="AN51" s="13">
        <v>329</v>
      </c>
      <c r="AO51" s="13" t="s">
        <v>1503</v>
      </c>
      <c r="AQ51" s="13" t="s">
        <v>1500</v>
      </c>
      <c r="AR51" s="13" t="s">
        <v>1500</v>
      </c>
      <c r="AS51" s="13" t="s">
        <v>116</v>
      </c>
      <c r="AT51" s="13" t="s">
        <v>1504</v>
      </c>
      <c r="AU51" s="13" t="s">
        <v>1398</v>
      </c>
      <c r="AV51" s="27" t="s">
        <v>1399</v>
      </c>
      <c r="AY51" s="13" t="s">
        <v>1505</v>
      </c>
      <c r="AZ51" s="13" t="s">
        <v>1506</v>
      </c>
      <c r="BA51" s="13" t="s">
        <v>1506</v>
      </c>
      <c r="BB51" s="13" t="s">
        <v>1507</v>
      </c>
      <c r="BC51" s="13" t="s">
        <v>1508</v>
      </c>
      <c r="BD51" s="30">
        <f t="shared" si="1"/>
        <v>54</v>
      </c>
      <c r="BE51" s="13" t="s">
        <v>242</v>
      </c>
      <c r="BF51" s="13" t="s">
        <v>1404</v>
      </c>
      <c r="BG51" s="13" t="s">
        <v>1405</v>
      </c>
      <c r="BH51" s="13" t="s">
        <v>1406</v>
      </c>
      <c r="BJ51" s="13" t="s">
        <v>1420</v>
      </c>
      <c r="BO51" s="17" t="s">
        <v>1497</v>
      </c>
      <c r="BP51" s="13" t="s">
        <v>1498</v>
      </c>
      <c r="BS51" s="13" t="s">
        <v>127</v>
      </c>
      <c r="BU51" s="13" t="s">
        <v>129</v>
      </c>
      <c r="BW51" s="13" t="s">
        <v>1421</v>
      </c>
      <c r="BX51" s="13" t="s">
        <v>1509</v>
      </c>
      <c r="DA51" s="13" t="s">
        <v>10348</v>
      </c>
      <c r="DB51" s="13" t="s">
        <v>10348</v>
      </c>
    </row>
    <row r="52" spans="1:106" s="13" customFormat="1" ht="12.75" customHeight="1" x14ac:dyDescent="0.2">
      <c r="A52" s="13" t="s">
        <v>102</v>
      </c>
      <c r="B52" s="13" t="s">
        <v>103</v>
      </c>
      <c r="D52" s="13" t="s">
        <v>227</v>
      </c>
      <c r="E52" s="13" t="s">
        <v>228</v>
      </c>
      <c r="F52" s="13" t="s">
        <v>227</v>
      </c>
      <c r="G52" s="13" t="s">
        <v>229</v>
      </c>
      <c r="H52" s="13" t="s">
        <v>227</v>
      </c>
      <c r="J52" s="13" t="s">
        <v>106</v>
      </c>
      <c r="W52" s="13">
        <v>112</v>
      </c>
      <c r="X52" s="13">
        <v>112</v>
      </c>
      <c r="Y52" s="13" t="s">
        <v>107</v>
      </c>
      <c r="Z52" s="13" t="s">
        <v>108</v>
      </c>
      <c r="AA52" s="29" t="s">
        <v>107</v>
      </c>
      <c r="AB52" s="13" t="s">
        <v>1510</v>
      </c>
      <c r="AC52" s="13" t="s">
        <v>1510</v>
      </c>
      <c r="AD52" s="13" t="s">
        <v>1510</v>
      </c>
      <c r="AE52" s="14" t="s">
        <v>112</v>
      </c>
      <c r="AF52" s="13" t="s">
        <v>1510</v>
      </c>
      <c r="AG52" s="13" t="s">
        <v>1510</v>
      </c>
      <c r="AH52" s="14" t="s">
        <v>1511</v>
      </c>
      <c r="AL52" s="13" t="s">
        <v>1512</v>
      </c>
      <c r="AN52" s="13">
        <v>329</v>
      </c>
      <c r="AO52" s="13" t="s">
        <v>1513</v>
      </c>
      <c r="AQ52" s="13" t="s">
        <v>1510</v>
      </c>
      <c r="AR52" s="13" t="s">
        <v>1510</v>
      </c>
      <c r="AS52" s="13" t="s">
        <v>116</v>
      </c>
      <c r="AT52" s="13" t="s">
        <v>1514</v>
      </c>
      <c r="AU52" s="13" t="s">
        <v>1398</v>
      </c>
      <c r="AV52" s="27" t="s">
        <v>1399</v>
      </c>
      <c r="AY52" s="13" t="s">
        <v>1515</v>
      </c>
      <c r="AZ52" s="13" t="s">
        <v>1516</v>
      </c>
      <c r="BA52" s="13" t="s">
        <v>1516</v>
      </c>
      <c r="BB52" s="13" t="s">
        <v>1517</v>
      </c>
      <c r="BC52" s="13" t="s">
        <v>1518</v>
      </c>
      <c r="BD52" s="30">
        <f t="shared" si="1"/>
        <v>54</v>
      </c>
      <c r="BE52" s="13" t="s">
        <v>242</v>
      </c>
      <c r="BF52" s="13" t="s">
        <v>1404</v>
      </c>
      <c r="BG52" s="13" t="s">
        <v>1405</v>
      </c>
      <c r="BH52" s="13" t="s">
        <v>1406</v>
      </c>
      <c r="BJ52" s="13" t="s">
        <v>1444</v>
      </c>
      <c r="BO52" s="17" t="s">
        <v>1497</v>
      </c>
      <c r="BP52" s="13" t="s">
        <v>1498</v>
      </c>
      <c r="BS52" s="13" t="s">
        <v>127</v>
      </c>
      <c r="BU52" s="13" t="s">
        <v>129</v>
      </c>
      <c r="BW52" s="13" t="s">
        <v>1445</v>
      </c>
      <c r="BX52" s="13" t="s">
        <v>1519</v>
      </c>
      <c r="DA52" s="13" t="s">
        <v>10348</v>
      </c>
      <c r="DB52" s="13" t="s">
        <v>10348</v>
      </c>
    </row>
    <row r="53" spans="1:106" s="13" customFormat="1" ht="12.75" customHeight="1" x14ac:dyDescent="0.2">
      <c r="A53" s="13" t="s">
        <v>102</v>
      </c>
      <c r="B53" s="13" t="s">
        <v>103</v>
      </c>
      <c r="D53" s="13" t="s">
        <v>227</v>
      </c>
      <c r="E53" s="13" t="s">
        <v>228</v>
      </c>
      <c r="F53" s="13" t="s">
        <v>227</v>
      </c>
      <c r="G53" s="13" t="s">
        <v>229</v>
      </c>
      <c r="H53" s="13" t="s">
        <v>227</v>
      </c>
      <c r="J53" s="13" t="s">
        <v>106</v>
      </c>
      <c r="W53" s="13">
        <v>113</v>
      </c>
      <c r="X53" s="13">
        <v>113</v>
      </c>
      <c r="Y53" s="13" t="s">
        <v>107</v>
      </c>
      <c r="Z53" s="13" t="s">
        <v>108</v>
      </c>
      <c r="AA53" s="29" t="s">
        <v>107</v>
      </c>
      <c r="AB53" s="13" t="s">
        <v>1520</v>
      </c>
      <c r="AC53" s="13" t="s">
        <v>1520</v>
      </c>
      <c r="AD53" s="13" t="s">
        <v>1520</v>
      </c>
      <c r="AE53" s="14" t="s">
        <v>112</v>
      </c>
      <c r="AF53" s="13" t="s">
        <v>1520</v>
      </c>
      <c r="AG53" s="13" t="s">
        <v>1520</v>
      </c>
      <c r="AH53" s="14" t="s">
        <v>1521</v>
      </c>
      <c r="AL53" s="13" t="s">
        <v>1522</v>
      </c>
      <c r="AN53" s="13">
        <v>329</v>
      </c>
      <c r="AO53" s="13" t="s">
        <v>1523</v>
      </c>
      <c r="AQ53" s="13" t="s">
        <v>1520</v>
      </c>
      <c r="AR53" s="13" t="s">
        <v>1520</v>
      </c>
      <c r="AS53" s="13" t="s">
        <v>116</v>
      </c>
      <c r="AT53" s="13" t="s">
        <v>1524</v>
      </c>
      <c r="AU53" s="13" t="s">
        <v>1398</v>
      </c>
      <c r="AV53" s="27" t="s">
        <v>1399</v>
      </c>
      <c r="AY53" s="13" t="s">
        <v>1525</v>
      </c>
      <c r="AZ53" s="13" t="s">
        <v>1526</v>
      </c>
      <c r="BA53" s="13" t="s">
        <v>1526</v>
      </c>
      <c r="BB53" s="13" t="s">
        <v>1527</v>
      </c>
      <c r="BC53" s="13" t="s">
        <v>1528</v>
      </c>
      <c r="BD53" s="30">
        <f t="shared" si="1"/>
        <v>56</v>
      </c>
      <c r="BE53" s="13" t="s">
        <v>242</v>
      </c>
      <c r="BF53" s="13" t="s">
        <v>1404</v>
      </c>
      <c r="BG53" s="13" t="s">
        <v>1405</v>
      </c>
      <c r="BH53" s="13" t="s">
        <v>1406</v>
      </c>
      <c r="BJ53" s="13" t="s">
        <v>1407</v>
      </c>
      <c r="BO53" s="17" t="s">
        <v>1529</v>
      </c>
      <c r="BP53" s="13" t="s">
        <v>1498</v>
      </c>
      <c r="BS53" s="13" t="s">
        <v>127</v>
      </c>
      <c r="BU53" s="13" t="s">
        <v>129</v>
      </c>
      <c r="BW53" s="13" t="s">
        <v>1409</v>
      </c>
      <c r="BX53" s="13" t="s">
        <v>1530</v>
      </c>
      <c r="DA53" s="13" t="s">
        <v>10348</v>
      </c>
      <c r="DB53" s="13" t="s">
        <v>10348</v>
      </c>
    </row>
    <row r="54" spans="1:106" s="13" customFormat="1" ht="12.75" customHeight="1" x14ac:dyDescent="0.2">
      <c r="A54" s="13" t="s">
        <v>102</v>
      </c>
      <c r="B54" s="13" t="s">
        <v>103</v>
      </c>
      <c r="D54" s="13" t="s">
        <v>227</v>
      </c>
      <c r="E54" s="13" t="s">
        <v>228</v>
      </c>
      <c r="F54" s="13" t="s">
        <v>227</v>
      </c>
      <c r="G54" s="13" t="s">
        <v>229</v>
      </c>
      <c r="H54" s="13" t="s">
        <v>227</v>
      </c>
      <c r="J54" s="13" t="s">
        <v>106</v>
      </c>
      <c r="W54" s="13">
        <v>114</v>
      </c>
      <c r="X54" s="13">
        <v>114</v>
      </c>
      <c r="Y54" s="13" t="s">
        <v>107</v>
      </c>
      <c r="Z54" s="13" t="s">
        <v>108</v>
      </c>
      <c r="AA54" s="29" t="s">
        <v>107</v>
      </c>
      <c r="AB54" s="13" t="s">
        <v>1531</v>
      </c>
      <c r="AC54" s="13" t="s">
        <v>1531</v>
      </c>
      <c r="AD54" s="13" t="s">
        <v>1531</v>
      </c>
      <c r="AE54" s="14" t="s">
        <v>112</v>
      </c>
      <c r="AF54" s="13" t="s">
        <v>1531</v>
      </c>
      <c r="AG54" s="13" t="s">
        <v>1531</v>
      </c>
      <c r="AH54" s="14" t="s">
        <v>1532</v>
      </c>
      <c r="AL54" s="13" t="s">
        <v>1533</v>
      </c>
      <c r="AN54" s="13">
        <v>329</v>
      </c>
      <c r="AO54" s="13" t="s">
        <v>1534</v>
      </c>
      <c r="AQ54" s="13" t="s">
        <v>1531</v>
      </c>
      <c r="AR54" s="13" t="s">
        <v>1531</v>
      </c>
      <c r="AS54" s="13" t="s">
        <v>116</v>
      </c>
      <c r="AT54" s="13" t="s">
        <v>1535</v>
      </c>
      <c r="AU54" s="13" t="s">
        <v>1398</v>
      </c>
      <c r="AV54" s="27" t="s">
        <v>1399</v>
      </c>
      <c r="AY54" s="13" t="s">
        <v>1536</v>
      </c>
      <c r="AZ54" s="13" t="s">
        <v>1537</v>
      </c>
      <c r="BA54" s="13" t="s">
        <v>1537</v>
      </c>
      <c r="BB54" s="13" t="s">
        <v>1538</v>
      </c>
      <c r="BC54" s="13" t="s">
        <v>1539</v>
      </c>
      <c r="BD54" s="30">
        <f t="shared" si="1"/>
        <v>56</v>
      </c>
      <c r="BE54" s="13" t="s">
        <v>242</v>
      </c>
      <c r="BF54" s="13" t="s">
        <v>1404</v>
      </c>
      <c r="BG54" s="13" t="s">
        <v>1405</v>
      </c>
      <c r="BH54" s="13" t="s">
        <v>1406</v>
      </c>
      <c r="BJ54" s="13" t="s">
        <v>1420</v>
      </c>
      <c r="BO54" s="17" t="s">
        <v>1529</v>
      </c>
      <c r="BP54" s="13" t="s">
        <v>1498</v>
      </c>
      <c r="BS54" s="13" t="s">
        <v>127</v>
      </c>
      <c r="BU54" s="13" t="s">
        <v>129</v>
      </c>
      <c r="BW54" s="13" t="s">
        <v>1421</v>
      </c>
      <c r="BX54" s="13" t="s">
        <v>1540</v>
      </c>
      <c r="DA54" s="13" t="s">
        <v>10348</v>
      </c>
      <c r="DB54" s="13" t="s">
        <v>10348</v>
      </c>
    </row>
    <row r="55" spans="1:106" s="13" customFormat="1" ht="12.75" customHeight="1" x14ac:dyDescent="0.2">
      <c r="A55" s="13" t="s">
        <v>102</v>
      </c>
      <c r="B55" s="13" t="s">
        <v>103</v>
      </c>
      <c r="D55" s="13" t="s">
        <v>227</v>
      </c>
      <c r="E55" s="13" t="s">
        <v>228</v>
      </c>
      <c r="F55" s="13" t="s">
        <v>227</v>
      </c>
      <c r="G55" s="13" t="s">
        <v>229</v>
      </c>
      <c r="H55" s="13" t="s">
        <v>227</v>
      </c>
      <c r="J55" s="13" t="s">
        <v>106</v>
      </c>
      <c r="W55" s="13">
        <v>115</v>
      </c>
      <c r="X55" s="13">
        <v>115</v>
      </c>
      <c r="Y55" s="13" t="s">
        <v>107</v>
      </c>
      <c r="Z55" s="13" t="s">
        <v>108</v>
      </c>
      <c r="AA55" s="29" t="s">
        <v>107</v>
      </c>
      <c r="AB55" s="13" t="s">
        <v>1541</v>
      </c>
      <c r="AC55" s="13" t="s">
        <v>1541</v>
      </c>
      <c r="AD55" s="13" t="s">
        <v>1541</v>
      </c>
      <c r="AE55" s="14" t="s">
        <v>112</v>
      </c>
      <c r="AF55" s="13" t="s">
        <v>1541</v>
      </c>
      <c r="AG55" s="13" t="s">
        <v>1541</v>
      </c>
      <c r="AH55" s="14" t="s">
        <v>1542</v>
      </c>
      <c r="AL55" s="13" t="s">
        <v>1543</v>
      </c>
      <c r="AN55" s="13">
        <v>329</v>
      </c>
      <c r="AO55" s="13" t="s">
        <v>1544</v>
      </c>
      <c r="AQ55" s="13" t="s">
        <v>1541</v>
      </c>
      <c r="AR55" s="13" t="s">
        <v>1541</v>
      </c>
      <c r="AS55" s="13" t="s">
        <v>116</v>
      </c>
      <c r="AT55" s="13" t="s">
        <v>1545</v>
      </c>
      <c r="AU55" s="13" t="s">
        <v>1398</v>
      </c>
      <c r="AV55" s="27" t="s">
        <v>1399</v>
      </c>
      <c r="AY55" s="13" t="s">
        <v>1546</v>
      </c>
      <c r="AZ55" s="13" t="s">
        <v>1547</v>
      </c>
      <c r="BA55" s="13" t="s">
        <v>1547</v>
      </c>
      <c r="BB55" s="13" t="s">
        <v>1548</v>
      </c>
      <c r="BC55" s="13" t="s">
        <v>1549</v>
      </c>
      <c r="BD55" s="30">
        <f t="shared" si="1"/>
        <v>56</v>
      </c>
      <c r="BE55" s="13" t="s">
        <v>242</v>
      </c>
      <c r="BF55" s="13" t="s">
        <v>1404</v>
      </c>
      <c r="BG55" s="13" t="s">
        <v>1405</v>
      </c>
      <c r="BH55" s="13" t="s">
        <v>1406</v>
      </c>
      <c r="BJ55" s="13" t="s">
        <v>1432</v>
      </c>
      <c r="BO55" s="17" t="s">
        <v>1529</v>
      </c>
      <c r="BP55" s="13" t="s">
        <v>1498</v>
      </c>
      <c r="BS55" s="13" t="s">
        <v>127</v>
      </c>
      <c r="BU55" s="13" t="s">
        <v>129</v>
      </c>
      <c r="BW55" s="13" t="s">
        <v>1433</v>
      </c>
      <c r="BX55" s="13" t="s">
        <v>1550</v>
      </c>
      <c r="DA55" s="13" t="s">
        <v>10348</v>
      </c>
      <c r="DB55" s="13" t="s">
        <v>10348</v>
      </c>
    </row>
    <row r="56" spans="1:106" s="13" customFormat="1" ht="12.75" customHeight="1" x14ac:dyDescent="0.2">
      <c r="A56" s="13" t="s">
        <v>102</v>
      </c>
      <c r="B56" s="13" t="s">
        <v>103</v>
      </c>
      <c r="D56" s="13" t="s">
        <v>227</v>
      </c>
      <c r="E56" s="13" t="s">
        <v>228</v>
      </c>
      <c r="F56" s="13" t="s">
        <v>227</v>
      </c>
      <c r="G56" s="13" t="s">
        <v>229</v>
      </c>
      <c r="H56" s="13" t="s">
        <v>227</v>
      </c>
      <c r="J56" s="13" t="s">
        <v>106</v>
      </c>
      <c r="W56" s="13">
        <v>116</v>
      </c>
      <c r="X56" s="13">
        <v>116</v>
      </c>
      <c r="Y56" s="13" t="s">
        <v>107</v>
      </c>
      <c r="Z56" s="13" t="s">
        <v>108</v>
      </c>
      <c r="AA56" s="29" t="s">
        <v>107</v>
      </c>
      <c r="AB56" s="13" t="s">
        <v>1551</v>
      </c>
      <c r="AC56" s="13" t="s">
        <v>1551</v>
      </c>
      <c r="AD56" s="13" t="s">
        <v>1551</v>
      </c>
      <c r="AE56" s="14" t="s">
        <v>112</v>
      </c>
      <c r="AF56" s="13" t="s">
        <v>1551</v>
      </c>
      <c r="AG56" s="13" t="s">
        <v>1551</v>
      </c>
      <c r="AH56" s="14" t="s">
        <v>1552</v>
      </c>
      <c r="AL56" s="13" t="s">
        <v>1553</v>
      </c>
      <c r="AN56" s="13">
        <v>329</v>
      </c>
      <c r="AO56" s="13" t="s">
        <v>1554</v>
      </c>
      <c r="AQ56" s="13" t="s">
        <v>1551</v>
      </c>
      <c r="AR56" s="13" t="s">
        <v>1551</v>
      </c>
      <c r="AS56" s="13" t="s">
        <v>116</v>
      </c>
      <c r="AT56" s="13" t="s">
        <v>1555</v>
      </c>
      <c r="AU56" s="13" t="s">
        <v>1398</v>
      </c>
      <c r="AV56" s="27" t="s">
        <v>1399</v>
      </c>
      <c r="AY56" s="13" t="s">
        <v>1556</v>
      </c>
      <c r="AZ56" s="13" t="s">
        <v>1557</v>
      </c>
      <c r="BA56" s="13" t="s">
        <v>1557</v>
      </c>
      <c r="BB56" s="13" t="s">
        <v>1558</v>
      </c>
      <c r="BC56" s="13" t="s">
        <v>1559</v>
      </c>
      <c r="BD56" s="30">
        <f t="shared" si="1"/>
        <v>56</v>
      </c>
      <c r="BE56" s="13" t="s">
        <v>242</v>
      </c>
      <c r="BF56" s="13" t="s">
        <v>1404</v>
      </c>
      <c r="BG56" s="13" t="s">
        <v>1405</v>
      </c>
      <c r="BH56" s="13" t="s">
        <v>1406</v>
      </c>
      <c r="BJ56" s="13" t="s">
        <v>1444</v>
      </c>
      <c r="BO56" s="17" t="s">
        <v>1529</v>
      </c>
      <c r="BP56" s="13" t="s">
        <v>1498</v>
      </c>
      <c r="BS56" s="13" t="s">
        <v>127</v>
      </c>
      <c r="BU56" s="13" t="s">
        <v>129</v>
      </c>
      <c r="BW56" s="13" t="s">
        <v>1445</v>
      </c>
      <c r="BX56" s="13" t="s">
        <v>1560</v>
      </c>
      <c r="DA56" s="13" t="s">
        <v>10348</v>
      </c>
      <c r="DB56" s="13" t="s">
        <v>10348</v>
      </c>
    </row>
    <row r="57" spans="1:106" s="13" customFormat="1" ht="12.75" customHeight="1" x14ac:dyDescent="0.2">
      <c r="A57" s="13" t="s">
        <v>102</v>
      </c>
      <c r="B57" s="13" t="s">
        <v>103</v>
      </c>
      <c r="D57" s="13" t="s">
        <v>227</v>
      </c>
      <c r="E57" s="13" t="s">
        <v>228</v>
      </c>
      <c r="F57" s="13" t="s">
        <v>227</v>
      </c>
      <c r="G57" s="13" t="s">
        <v>229</v>
      </c>
      <c r="H57" s="13" t="s">
        <v>227</v>
      </c>
      <c r="J57" s="13" t="s">
        <v>106</v>
      </c>
      <c r="W57" s="13">
        <v>117</v>
      </c>
      <c r="X57" s="13">
        <v>117</v>
      </c>
      <c r="Y57" s="13" t="s">
        <v>107</v>
      </c>
      <c r="Z57" s="13" t="s">
        <v>108</v>
      </c>
      <c r="AA57" s="29" t="s">
        <v>107</v>
      </c>
      <c r="AB57" s="13" t="s">
        <v>1561</v>
      </c>
      <c r="AC57" s="13" t="s">
        <v>1561</v>
      </c>
      <c r="AD57" s="13" t="s">
        <v>1561</v>
      </c>
      <c r="AE57" s="14" t="s">
        <v>112</v>
      </c>
      <c r="AF57" s="13" t="s">
        <v>1561</v>
      </c>
      <c r="AG57" s="13" t="s">
        <v>1561</v>
      </c>
      <c r="AH57" s="14" t="s">
        <v>1562</v>
      </c>
      <c r="AL57" s="13" t="s">
        <v>1563</v>
      </c>
      <c r="AN57" s="13">
        <v>329</v>
      </c>
      <c r="AO57" s="13" t="s">
        <v>1564</v>
      </c>
      <c r="AQ57" s="13" t="s">
        <v>1561</v>
      </c>
      <c r="AR57" s="13" t="s">
        <v>1561</v>
      </c>
      <c r="AS57" s="13" t="s">
        <v>116</v>
      </c>
      <c r="AT57" s="13" t="s">
        <v>1565</v>
      </c>
      <c r="AU57" s="13" t="s">
        <v>1398</v>
      </c>
      <c r="AV57" s="27" t="s">
        <v>1399</v>
      </c>
      <c r="AY57" s="13" t="s">
        <v>1566</v>
      </c>
      <c r="AZ57" s="13" t="s">
        <v>1567</v>
      </c>
      <c r="BA57" s="13" t="s">
        <v>1567</v>
      </c>
      <c r="BB57" s="13" t="s">
        <v>1568</v>
      </c>
      <c r="BC57" s="13" t="s">
        <v>1569</v>
      </c>
      <c r="BD57" s="30">
        <f t="shared" si="1"/>
        <v>60</v>
      </c>
      <c r="BE57" s="13" t="s">
        <v>242</v>
      </c>
      <c r="BF57" s="13" t="s">
        <v>1404</v>
      </c>
      <c r="BG57" s="13" t="s">
        <v>1405</v>
      </c>
      <c r="BH57" s="13" t="s">
        <v>1406</v>
      </c>
      <c r="BJ57" s="13" t="s">
        <v>210</v>
      </c>
      <c r="BO57" s="17" t="s">
        <v>1570</v>
      </c>
      <c r="BP57" s="13" t="s">
        <v>260</v>
      </c>
      <c r="BR57" s="13" t="s">
        <v>629</v>
      </c>
      <c r="BS57" s="13" t="s">
        <v>127</v>
      </c>
      <c r="BU57" s="13" t="s">
        <v>129</v>
      </c>
      <c r="BW57" s="13" t="s">
        <v>1571</v>
      </c>
      <c r="BX57" s="13" t="s">
        <v>1572</v>
      </c>
      <c r="DA57" s="13" t="s">
        <v>10348</v>
      </c>
      <c r="DB57" s="13" t="s">
        <v>10348</v>
      </c>
    </row>
    <row r="58" spans="1:106" s="13" customFormat="1" ht="12.75" customHeight="1" x14ac:dyDescent="0.2">
      <c r="A58" s="13" t="s">
        <v>102</v>
      </c>
      <c r="B58" s="13" t="s">
        <v>103</v>
      </c>
      <c r="D58" s="13" t="s">
        <v>227</v>
      </c>
      <c r="E58" s="13" t="s">
        <v>228</v>
      </c>
      <c r="F58" s="13" t="s">
        <v>227</v>
      </c>
      <c r="G58" s="13" t="s">
        <v>229</v>
      </c>
      <c r="H58" s="13" t="s">
        <v>227</v>
      </c>
      <c r="J58" s="13" t="s">
        <v>106</v>
      </c>
      <c r="W58" s="13">
        <v>118</v>
      </c>
      <c r="X58" s="13">
        <v>118</v>
      </c>
      <c r="Y58" s="13" t="s">
        <v>107</v>
      </c>
      <c r="Z58" s="13" t="s">
        <v>108</v>
      </c>
      <c r="AA58" s="29" t="s">
        <v>107</v>
      </c>
      <c r="AB58" s="13" t="s">
        <v>1573</v>
      </c>
      <c r="AC58" s="13" t="s">
        <v>1573</v>
      </c>
      <c r="AD58" s="13" t="s">
        <v>1573</v>
      </c>
      <c r="AE58" s="14" t="s">
        <v>112</v>
      </c>
      <c r="AF58" s="13" t="s">
        <v>1573</v>
      </c>
      <c r="AG58" s="13" t="s">
        <v>1573</v>
      </c>
      <c r="AH58" s="14" t="s">
        <v>1574</v>
      </c>
      <c r="AL58" s="13" t="s">
        <v>1575</v>
      </c>
      <c r="AN58" s="13">
        <v>329</v>
      </c>
      <c r="AO58" s="13" t="s">
        <v>1576</v>
      </c>
      <c r="AQ58" s="13" t="s">
        <v>1573</v>
      </c>
      <c r="AR58" s="13" t="s">
        <v>1573</v>
      </c>
      <c r="AS58" s="13" t="s">
        <v>116</v>
      </c>
      <c r="AT58" s="13" t="s">
        <v>1577</v>
      </c>
      <c r="AU58" s="13" t="s">
        <v>1398</v>
      </c>
      <c r="AV58" s="27" t="s">
        <v>1399</v>
      </c>
      <c r="AY58" s="13" t="s">
        <v>1578</v>
      </c>
      <c r="AZ58" s="13" t="s">
        <v>1579</v>
      </c>
      <c r="BA58" s="13" t="s">
        <v>1579</v>
      </c>
      <c r="BB58" s="13" t="s">
        <v>1580</v>
      </c>
      <c r="BC58" s="13" t="s">
        <v>1581</v>
      </c>
      <c r="BD58" s="30">
        <f t="shared" si="1"/>
        <v>54</v>
      </c>
      <c r="BE58" s="13" t="s">
        <v>242</v>
      </c>
      <c r="BF58" s="13" t="s">
        <v>1404</v>
      </c>
      <c r="BG58" s="13" t="s">
        <v>1405</v>
      </c>
      <c r="BH58" s="13" t="s">
        <v>1406</v>
      </c>
      <c r="BJ58" s="13" t="s">
        <v>210</v>
      </c>
      <c r="BO58" s="17" t="s">
        <v>1497</v>
      </c>
      <c r="BP58" s="13" t="s">
        <v>1498</v>
      </c>
      <c r="BS58" s="13" t="s">
        <v>127</v>
      </c>
      <c r="BU58" s="13" t="s">
        <v>129</v>
      </c>
      <c r="BW58" s="13" t="s">
        <v>1571</v>
      </c>
      <c r="BX58" s="13" t="s">
        <v>1582</v>
      </c>
      <c r="DA58" s="13" t="s">
        <v>10348</v>
      </c>
      <c r="DB58" s="13" t="s">
        <v>10348</v>
      </c>
    </row>
    <row r="59" spans="1:106" s="13" customFormat="1" ht="12.75" customHeight="1" x14ac:dyDescent="0.2">
      <c r="A59" s="13" t="s">
        <v>102</v>
      </c>
      <c r="B59" s="13" t="s">
        <v>103</v>
      </c>
      <c r="D59" s="13" t="s">
        <v>227</v>
      </c>
      <c r="E59" s="13" t="s">
        <v>228</v>
      </c>
      <c r="F59" s="13" t="s">
        <v>227</v>
      </c>
      <c r="G59" s="13" t="s">
        <v>229</v>
      </c>
      <c r="H59" s="13" t="s">
        <v>227</v>
      </c>
      <c r="J59" s="13" t="s">
        <v>106</v>
      </c>
      <c r="W59" s="13">
        <v>119</v>
      </c>
      <c r="X59" s="13">
        <v>119</v>
      </c>
      <c r="Y59" s="13" t="s">
        <v>107</v>
      </c>
      <c r="Z59" s="13" t="s">
        <v>108</v>
      </c>
      <c r="AA59" s="29" t="s">
        <v>107</v>
      </c>
      <c r="AB59" s="13" t="s">
        <v>1583</v>
      </c>
      <c r="AC59" s="13" t="s">
        <v>1583</v>
      </c>
      <c r="AD59" s="13" t="s">
        <v>1583</v>
      </c>
      <c r="AE59" s="14" t="s">
        <v>112</v>
      </c>
      <c r="AF59" s="13" t="s">
        <v>1583</v>
      </c>
      <c r="AG59" s="13" t="s">
        <v>1583</v>
      </c>
      <c r="AH59" s="14" t="s">
        <v>1584</v>
      </c>
      <c r="AL59" s="13" t="s">
        <v>1585</v>
      </c>
      <c r="AN59" s="13">
        <v>329</v>
      </c>
      <c r="AO59" s="13" t="s">
        <v>1586</v>
      </c>
      <c r="AQ59" s="13" t="s">
        <v>1583</v>
      </c>
      <c r="AR59" s="13" t="s">
        <v>1583</v>
      </c>
      <c r="AS59" s="13" t="s">
        <v>116</v>
      </c>
      <c r="AT59" s="13" t="s">
        <v>1587</v>
      </c>
      <c r="AU59" s="13" t="s">
        <v>1398</v>
      </c>
      <c r="AV59" s="27" t="s">
        <v>1399</v>
      </c>
      <c r="AY59" s="13" t="s">
        <v>1588</v>
      </c>
      <c r="AZ59" s="13" t="s">
        <v>1589</v>
      </c>
      <c r="BA59" s="13" t="s">
        <v>1589</v>
      </c>
      <c r="BB59" s="13" t="s">
        <v>1590</v>
      </c>
      <c r="BC59" s="13" t="s">
        <v>1591</v>
      </c>
      <c r="BD59" s="30">
        <f t="shared" si="1"/>
        <v>56</v>
      </c>
      <c r="BE59" s="13" t="s">
        <v>242</v>
      </c>
      <c r="BF59" s="13" t="s">
        <v>1404</v>
      </c>
      <c r="BG59" s="13" t="s">
        <v>1405</v>
      </c>
      <c r="BH59" s="13" t="s">
        <v>1406</v>
      </c>
      <c r="BJ59" s="13" t="s">
        <v>210</v>
      </c>
      <c r="BO59" s="17" t="s">
        <v>1529</v>
      </c>
      <c r="BP59" s="13" t="s">
        <v>1498</v>
      </c>
      <c r="BS59" s="13" t="s">
        <v>127</v>
      </c>
      <c r="BU59" s="13" t="s">
        <v>129</v>
      </c>
      <c r="BW59" s="13" t="s">
        <v>1571</v>
      </c>
      <c r="BX59" s="13" t="s">
        <v>1592</v>
      </c>
      <c r="DA59" s="13" t="s">
        <v>10348</v>
      </c>
      <c r="DB59" s="13" t="s">
        <v>10348</v>
      </c>
    </row>
    <row r="60" spans="1:106" s="13" customFormat="1" ht="12.75" customHeight="1" x14ac:dyDescent="0.2">
      <c r="A60" s="13" t="s">
        <v>102</v>
      </c>
      <c r="B60" s="13" t="s">
        <v>103</v>
      </c>
      <c r="D60" s="13" t="s">
        <v>227</v>
      </c>
      <c r="E60" s="13" t="s">
        <v>228</v>
      </c>
      <c r="F60" s="13" t="s">
        <v>227</v>
      </c>
      <c r="G60" s="13" t="s">
        <v>229</v>
      </c>
      <c r="H60" s="13" t="s">
        <v>227</v>
      </c>
      <c r="J60" s="13" t="s">
        <v>106</v>
      </c>
      <c r="W60" s="13">
        <v>120</v>
      </c>
      <c r="X60" s="13">
        <v>120</v>
      </c>
      <c r="Y60" s="13" t="s">
        <v>107</v>
      </c>
      <c r="Z60" s="13" t="s">
        <v>108</v>
      </c>
      <c r="AA60" s="29" t="s">
        <v>107</v>
      </c>
      <c r="AB60" s="13" t="s">
        <v>1593</v>
      </c>
      <c r="AC60" s="13" t="s">
        <v>1593</v>
      </c>
      <c r="AD60" s="13" t="s">
        <v>1593</v>
      </c>
      <c r="AE60" s="14" t="s">
        <v>112</v>
      </c>
      <c r="AF60" s="13" t="s">
        <v>1593</v>
      </c>
      <c r="AG60" s="13" t="s">
        <v>1593</v>
      </c>
      <c r="AH60" s="14" t="s">
        <v>1594</v>
      </c>
      <c r="AL60" s="13" t="s">
        <v>1595</v>
      </c>
      <c r="AN60" s="13">
        <v>329</v>
      </c>
      <c r="AO60" s="13" t="s">
        <v>1596</v>
      </c>
      <c r="AQ60" s="13" t="s">
        <v>1593</v>
      </c>
      <c r="AR60" s="13" t="s">
        <v>1593</v>
      </c>
      <c r="AS60" s="13" t="s">
        <v>116</v>
      </c>
      <c r="AT60" s="13" t="s">
        <v>1597</v>
      </c>
      <c r="AU60" s="13" t="s">
        <v>1398</v>
      </c>
      <c r="AV60" s="27" t="s">
        <v>1399</v>
      </c>
      <c r="AY60" s="13" t="s">
        <v>1598</v>
      </c>
      <c r="AZ60" s="13" t="s">
        <v>1599</v>
      </c>
      <c r="BA60" s="13" t="s">
        <v>1599</v>
      </c>
      <c r="BB60" s="13" t="s">
        <v>1600</v>
      </c>
      <c r="BC60" s="13" t="s">
        <v>1601</v>
      </c>
      <c r="BD60" s="30">
        <f t="shared" si="1"/>
        <v>54</v>
      </c>
      <c r="BE60" s="13" t="s">
        <v>242</v>
      </c>
      <c r="BF60" s="13" t="s">
        <v>1404</v>
      </c>
      <c r="BG60" s="13" t="s">
        <v>1405</v>
      </c>
      <c r="BH60" s="13" t="s">
        <v>1406</v>
      </c>
      <c r="BJ60" s="13" t="s">
        <v>1602</v>
      </c>
      <c r="BO60" s="17" t="s">
        <v>1497</v>
      </c>
      <c r="BP60" s="13" t="s">
        <v>1498</v>
      </c>
      <c r="BS60" s="13" t="s">
        <v>127</v>
      </c>
      <c r="BU60" s="13" t="s">
        <v>129</v>
      </c>
      <c r="BW60" s="13" t="s">
        <v>1603</v>
      </c>
      <c r="BX60" s="13" t="s">
        <v>1604</v>
      </c>
      <c r="DA60" s="13" t="s">
        <v>10348</v>
      </c>
      <c r="DB60" s="13" t="s">
        <v>10348</v>
      </c>
    </row>
    <row r="61" spans="1:106" s="13" customFormat="1" ht="12.75" customHeight="1" x14ac:dyDescent="0.2">
      <c r="A61" s="13" t="s">
        <v>102</v>
      </c>
      <c r="B61" s="13" t="s">
        <v>103</v>
      </c>
      <c r="D61" s="13" t="s">
        <v>227</v>
      </c>
      <c r="E61" s="13" t="s">
        <v>228</v>
      </c>
      <c r="F61" s="13" t="s">
        <v>227</v>
      </c>
      <c r="G61" s="13" t="s">
        <v>229</v>
      </c>
      <c r="H61" s="13" t="s">
        <v>227</v>
      </c>
      <c r="J61" s="13" t="s">
        <v>106</v>
      </c>
      <c r="W61" s="13">
        <v>121</v>
      </c>
      <c r="X61" s="13">
        <v>121</v>
      </c>
      <c r="Y61" s="13" t="s">
        <v>107</v>
      </c>
      <c r="Z61" s="13" t="s">
        <v>108</v>
      </c>
      <c r="AA61" s="29" t="s">
        <v>107</v>
      </c>
      <c r="AB61" s="13" t="s">
        <v>1605</v>
      </c>
      <c r="AC61" s="13" t="s">
        <v>1605</v>
      </c>
      <c r="AD61" s="13" t="s">
        <v>1605</v>
      </c>
      <c r="AE61" s="14" t="s">
        <v>112</v>
      </c>
      <c r="AF61" s="13" t="s">
        <v>1605</v>
      </c>
      <c r="AG61" s="13" t="s">
        <v>1605</v>
      </c>
      <c r="AH61" s="14" t="s">
        <v>1606</v>
      </c>
      <c r="AL61" s="13" t="s">
        <v>1607</v>
      </c>
      <c r="AN61" s="13">
        <v>329</v>
      </c>
      <c r="AO61" s="13" t="s">
        <v>1608</v>
      </c>
      <c r="AQ61" s="13" t="s">
        <v>1605</v>
      </c>
      <c r="AR61" s="13" t="s">
        <v>1605</v>
      </c>
      <c r="AS61" s="13" t="s">
        <v>116</v>
      </c>
      <c r="AT61" s="13" t="s">
        <v>1609</v>
      </c>
      <c r="AU61" s="13" t="s">
        <v>1398</v>
      </c>
      <c r="AV61" s="27" t="s">
        <v>1399</v>
      </c>
      <c r="AY61" s="13" t="s">
        <v>1610</v>
      </c>
      <c r="AZ61" s="13" t="s">
        <v>1611</v>
      </c>
      <c r="BA61" s="13" t="s">
        <v>1611</v>
      </c>
      <c r="BB61" s="13" t="s">
        <v>1612</v>
      </c>
      <c r="BC61" s="13" t="s">
        <v>1613</v>
      </c>
      <c r="BD61" s="30">
        <f t="shared" si="1"/>
        <v>56</v>
      </c>
      <c r="BE61" s="13" t="s">
        <v>242</v>
      </c>
      <c r="BF61" s="13" t="s">
        <v>1404</v>
      </c>
      <c r="BG61" s="13" t="s">
        <v>1405</v>
      </c>
      <c r="BH61" s="13" t="s">
        <v>1406</v>
      </c>
      <c r="BJ61" s="13" t="s">
        <v>1602</v>
      </c>
      <c r="BO61" s="17" t="s">
        <v>1529</v>
      </c>
      <c r="BP61" s="13" t="s">
        <v>1498</v>
      </c>
      <c r="BS61" s="13" t="s">
        <v>127</v>
      </c>
      <c r="BU61" s="13" t="s">
        <v>129</v>
      </c>
      <c r="BW61" s="13" t="s">
        <v>1603</v>
      </c>
      <c r="BX61" s="13" t="s">
        <v>1604</v>
      </c>
      <c r="DA61" s="13" t="s">
        <v>10348</v>
      </c>
      <c r="DB61" s="13" t="s">
        <v>10348</v>
      </c>
    </row>
    <row r="62" spans="1:106" s="13" customFormat="1" ht="12.75" customHeight="1" x14ac:dyDescent="0.2">
      <c r="A62" s="13" t="s">
        <v>102</v>
      </c>
      <c r="B62" s="13" t="s">
        <v>103</v>
      </c>
      <c r="D62" s="13" t="s">
        <v>227</v>
      </c>
      <c r="E62" s="13" t="s">
        <v>471</v>
      </c>
      <c r="F62" s="13" t="s">
        <v>227</v>
      </c>
      <c r="G62" s="13" t="s">
        <v>229</v>
      </c>
      <c r="H62" s="13" t="s">
        <v>227</v>
      </c>
      <c r="J62" s="13" t="s">
        <v>106</v>
      </c>
      <c r="W62" s="13">
        <v>122</v>
      </c>
      <c r="X62" s="13">
        <v>122</v>
      </c>
      <c r="Y62" s="13" t="s">
        <v>107</v>
      </c>
      <c r="Z62" s="13" t="s">
        <v>108</v>
      </c>
      <c r="AA62" s="29" t="s">
        <v>107</v>
      </c>
      <c r="AB62" s="13" t="s">
        <v>1614</v>
      </c>
      <c r="AC62" s="13" t="s">
        <v>1614</v>
      </c>
      <c r="AD62" s="13" t="s">
        <v>1614</v>
      </c>
      <c r="AE62" s="14" t="s">
        <v>112</v>
      </c>
      <c r="AF62" s="13" t="s">
        <v>1614</v>
      </c>
      <c r="AG62" s="13" t="s">
        <v>1614</v>
      </c>
      <c r="AH62" s="14" t="s">
        <v>1615</v>
      </c>
      <c r="AL62" s="13" t="s">
        <v>1616</v>
      </c>
      <c r="AN62" s="13">
        <v>329</v>
      </c>
      <c r="AO62" s="13" t="s">
        <v>1617</v>
      </c>
      <c r="AQ62" s="13" t="s">
        <v>1614</v>
      </c>
      <c r="AR62" s="13" t="s">
        <v>1614</v>
      </c>
      <c r="AS62" s="13" t="s">
        <v>116</v>
      </c>
      <c r="AT62" s="13" t="s">
        <v>1618</v>
      </c>
      <c r="AU62" s="13" t="s">
        <v>1619</v>
      </c>
      <c r="AV62" s="14" t="s">
        <v>784</v>
      </c>
      <c r="AY62" s="13" t="s">
        <v>1620</v>
      </c>
      <c r="AZ62" s="13" t="s">
        <v>1621</v>
      </c>
      <c r="BA62" s="13" t="s">
        <v>1621</v>
      </c>
      <c r="BB62" s="13" t="s">
        <v>1622</v>
      </c>
      <c r="BC62" s="13" t="s">
        <v>1623</v>
      </c>
      <c r="BD62" s="30">
        <f t="shared" si="1"/>
        <v>60</v>
      </c>
      <c r="BE62" s="13" t="s">
        <v>1624</v>
      </c>
      <c r="BH62" s="13" t="s">
        <v>1625</v>
      </c>
      <c r="BO62" s="17" t="s">
        <v>1243</v>
      </c>
      <c r="BS62" s="13" t="s">
        <v>127</v>
      </c>
      <c r="BU62" s="13" t="s">
        <v>129</v>
      </c>
      <c r="BX62" s="13" t="s">
        <v>1626</v>
      </c>
      <c r="DA62" s="13" t="s">
        <v>10348</v>
      </c>
      <c r="DB62" s="13" t="s">
        <v>10348</v>
      </c>
    </row>
    <row r="63" spans="1:106" s="13" customFormat="1" ht="12.75" customHeight="1" x14ac:dyDescent="0.2">
      <c r="A63" s="13" t="s">
        <v>102</v>
      </c>
      <c r="B63" s="13" t="s">
        <v>103</v>
      </c>
      <c r="D63" s="13" t="s">
        <v>227</v>
      </c>
      <c r="E63" s="13" t="s">
        <v>228</v>
      </c>
      <c r="F63" s="13" t="s">
        <v>227</v>
      </c>
      <c r="G63" s="13" t="s">
        <v>229</v>
      </c>
      <c r="H63" s="13" t="s">
        <v>227</v>
      </c>
      <c r="J63" s="13" t="s">
        <v>106</v>
      </c>
      <c r="W63" s="13">
        <v>123</v>
      </c>
      <c r="X63" s="13">
        <v>123</v>
      </c>
      <c r="Y63" s="13" t="s">
        <v>107</v>
      </c>
      <c r="Z63" s="13" t="s">
        <v>108</v>
      </c>
      <c r="AA63" s="29" t="s">
        <v>107</v>
      </c>
      <c r="AB63" s="13" t="s">
        <v>1627</v>
      </c>
      <c r="AC63" s="13" t="s">
        <v>1627</v>
      </c>
      <c r="AD63" s="13" t="s">
        <v>1627</v>
      </c>
      <c r="AE63" s="14" t="s">
        <v>112</v>
      </c>
      <c r="AF63" s="13" t="s">
        <v>1627</v>
      </c>
      <c r="AG63" s="13" t="s">
        <v>1627</v>
      </c>
      <c r="AH63" s="14" t="s">
        <v>1628</v>
      </c>
      <c r="AL63" s="13" t="s">
        <v>1629</v>
      </c>
      <c r="AN63" s="13">
        <v>329</v>
      </c>
      <c r="AO63" s="13" t="s">
        <v>1630</v>
      </c>
      <c r="AQ63" s="13" t="s">
        <v>1627</v>
      </c>
      <c r="AR63" s="13" t="s">
        <v>1627</v>
      </c>
      <c r="AS63" s="13" t="s">
        <v>116</v>
      </c>
      <c r="AT63" s="13" t="s">
        <v>1631</v>
      </c>
      <c r="AU63" s="13" t="s">
        <v>1631</v>
      </c>
      <c r="AV63" s="13" t="s">
        <v>1632</v>
      </c>
      <c r="AY63" s="13" t="s">
        <v>1633</v>
      </c>
      <c r="AZ63" s="13" t="s">
        <v>1634</v>
      </c>
      <c r="BA63" s="13" t="s">
        <v>1634</v>
      </c>
      <c r="BB63" s="13" t="s">
        <v>1635</v>
      </c>
      <c r="BC63" s="13" t="s">
        <v>1636</v>
      </c>
      <c r="BD63" s="30">
        <f t="shared" si="1"/>
        <v>60</v>
      </c>
      <c r="BE63" s="13" t="s">
        <v>1637</v>
      </c>
      <c r="BF63" s="13" t="s">
        <v>1638</v>
      </c>
      <c r="BG63" s="13" t="s">
        <v>1639</v>
      </c>
      <c r="BH63" s="13" t="s">
        <v>1640</v>
      </c>
      <c r="BL63" s="13" t="s">
        <v>1641</v>
      </c>
      <c r="BO63" s="17" t="s">
        <v>1642</v>
      </c>
      <c r="BP63" s="13" t="s">
        <v>1643</v>
      </c>
      <c r="BS63" s="13" t="s">
        <v>127</v>
      </c>
      <c r="BU63" s="13" t="s">
        <v>129</v>
      </c>
      <c r="BV63" s="13" t="s">
        <v>130</v>
      </c>
      <c r="BX63" s="13" t="s">
        <v>1644</v>
      </c>
      <c r="DA63" s="13" t="s">
        <v>10348</v>
      </c>
      <c r="DB63" s="13" t="s">
        <v>10348</v>
      </c>
    </row>
    <row r="64" spans="1:106" s="13" customFormat="1" ht="12.75" customHeight="1" x14ac:dyDescent="0.2">
      <c r="A64" s="13" t="s">
        <v>102</v>
      </c>
      <c r="B64" s="13" t="s">
        <v>103</v>
      </c>
      <c r="D64" s="13" t="s">
        <v>227</v>
      </c>
      <c r="E64" s="13" t="s">
        <v>228</v>
      </c>
      <c r="F64" s="13" t="s">
        <v>227</v>
      </c>
      <c r="G64" s="13" t="s">
        <v>229</v>
      </c>
      <c r="H64" s="13" t="s">
        <v>227</v>
      </c>
      <c r="J64" s="13" t="s">
        <v>106</v>
      </c>
      <c r="W64" s="13">
        <v>128</v>
      </c>
      <c r="X64" s="13">
        <v>128</v>
      </c>
      <c r="Y64" s="13" t="s">
        <v>107</v>
      </c>
      <c r="Z64" s="13" t="s">
        <v>108</v>
      </c>
      <c r="AA64" s="29" t="s">
        <v>107</v>
      </c>
      <c r="AB64" s="13" t="s">
        <v>1671</v>
      </c>
      <c r="AC64" s="13" t="s">
        <v>1671</v>
      </c>
      <c r="AD64" s="13" t="s">
        <v>1671</v>
      </c>
      <c r="AE64" s="14" t="s">
        <v>112</v>
      </c>
      <c r="AF64" s="13" t="s">
        <v>1671</v>
      </c>
      <c r="AG64" s="13" t="s">
        <v>1671</v>
      </c>
      <c r="AH64" s="14" t="s">
        <v>1672</v>
      </c>
      <c r="AL64" s="13" t="s">
        <v>1673</v>
      </c>
      <c r="AN64" s="13">
        <v>329</v>
      </c>
      <c r="AO64" s="13" t="s">
        <v>1674</v>
      </c>
      <c r="AQ64" s="13" t="s">
        <v>1671</v>
      </c>
      <c r="AR64" s="13" t="s">
        <v>1671</v>
      </c>
      <c r="AS64" s="13" t="s">
        <v>116</v>
      </c>
      <c r="AT64" s="13" t="s">
        <v>1675</v>
      </c>
      <c r="AU64" s="13" t="s">
        <v>1676</v>
      </c>
      <c r="AV64" s="27" t="s">
        <v>1677</v>
      </c>
      <c r="AY64" s="13" t="s">
        <v>1678</v>
      </c>
      <c r="AZ64" s="13" t="s">
        <v>1679</v>
      </c>
      <c r="BA64" s="13" t="s">
        <v>1679</v>
      </c>
      <c r="BB64" s="13" t="s">
        <v>1680</v>
      </c>
      <c r="BC64" s="13" t="s">
        <v>1680</v>
      </c>
      <c r="BD64" s="30">
        <f t="shared" si="1"/>
        <v>41</v>
      </c>
      <c r="BE64" s="13" t="s">
        <v>1681</v>
      </c>
      <c r="BG64" s="13" t="s">
        <v>1682</v>
      </c>
      <c r="BO64" s="13" t="s">
        <v>1683</v>
      </c>
      <c r="BS64" s="13" t="s">
        <v>127</v>
      </c>
      <c r="BU64" s="13" t="s">
        <v>129</v>
      </c>
      <c r="BX64" s="13" t="s">
        <v>212</v>
      </c>
      <c r="DA64" s="13" t="s">
        <v>10348</v>
      </c>
      <c r="DB64" s="13" t="s">
        <v>10348</v>
      </c>
    </row>
    <row r="65" spans="1:106" s="13" customFormat="1" ht="12.75" customHeight="1" x14ac:dyDescent="0.2">
      <c r="A65" s="13" t="s">
        <v>102</v>
      </c>
      <c r="B65" s="13" t="s">
        <v>103</v>
      </c>
      <c r="D65" s="13" t="s">
        <v>104</v>
      </c>
      <c r="E65" s="13" t="s">
        <v>105</v>
      </c>
      <c r="F65" s="13" t="s">
        <v>104</v>
      </c>
      <c r="G65" s="13" t="s">
        <v>105</v>
      </c>
      <c r="H65" s="13" t="s">
        <v>227</v>
      </c>
      <c r="J65" s="13" t="s">
        <v>106</v>
      </c>
      <c r="W65" s="13">
        <v>129</v>
      </c>
      <c r="X65" s="13">
        <v>129</v>
      </c>
      <c r="Y65" s="13" t="s">
        <v>107</v>
      </c>
      <c r="Z65" s="13" t="s">
        <v>108</v>
      </c>
      <c r="AA65" s="13" t="s">
        <v>107</v>
      </c>
      <c r="AB65" s="13" t="s">
        <v>1684</v>
      </c>
      <c r="AC65" s="13" t="s">
        <v>1684</v>
      </c>
      <c r="AD65" s="13" t="s">
        <v>1684</v>
      </c>
      <c r="AE65" s="14" t="s">
        <v>112</v>
      </c>
      <c r="AF65" s="13" t="s">
        <v>1684</v>
      </c>
      <c r="AG65" s="13" t="s">
        <v>1684</v>
      </c>
      <c r="AH65" s="13" t="s">
        <v>1685</v>
      </c>
      <c r="AL65" s="13" t="s">
        <v>1686</v>
      </c>
      <c r="AN65" s="13">
        <v>329</v>
      </c>
      <c r="AO65" s="13" t="s">
        <v>1687</v>
      </c>
      <c r="AQ65" s="13" t="s">
        <v>1684</v>
      </c>
      <c r="AR65" s="13" t="s">
        <v>1684</v>
      </c>
      <c r="AS65" s="13" t="s">
        <v>116</v>
      </c>
      <c r="AT65" s="13" t="s">
        <v>1688</v>
      </c>
      <c r="AU65" s="13" t="s">
        <v>1689</v>
      </c>
      <c r="AV65" s="14" t="s">
        <v>1690</v>
      </c>
      <c r="AW65" s="13" t="s">
        <v>1691</v>
      </c>
      <c r="AX65" s="15" t="s">
        <v>1692</v>
      </c>
      <c r="AY65" s="21" t="s">
        <v>1693</v>
      </c>
      <c r="AZ65" s="17" t="s">
        <v>1694</v>
      </c>
      <c r="BA65" s="17" t="s">
        <v>1694</v>
      </c>
      <c r="BB65" s="17" t="s">
        <v>1695</v>
      </c>
      <c r="BC65" s="17" t="s">
        <v>1696</v>
      </c>
      <c r="BD65" s="27">
        <f t="shared" ref="BD65:BD96" si="2">LEN(SUBSTITUTE(BC65,", ",","))</f>
        <v>60</v>
      </c>
      <c r="BE65" s="17" t="s">
        <v>1697</v>
      </c>
      <c r="BF65" s="17" t="s">
        <v>534</v>
      </c>
      <c r="BG65" s="17" t="s">
        <v>1698</v>
      </c>
      <c r="BH65" s="17"/>
      <c r="BI65" s="17"/>
      <c r="BJ65" s="17" t="s">
        <v>1699</v>
      </c>
      <c r="BK65" s="17"/>
      <c r="BL65" s="17"/>
      <c r="BM65" s="17"/>
      <c r="BN65" s="17"/>
      <c r="BO65" s="17" t="s">
        <v>1700</v>
      </c>
      <c r="BP65" s="17"/>
      <c r="BQ65" s="17"/>
      <c r="BR65" s="17"/>
      <c r="BS65" s="17" t="s">
        <v>127</v>
      </c>
      <c r="BT65" s="17"/>
      <c r="BU65" s="17" t="s">
        <v>129</v>
      </c>
      <c r="BV65" s="17"/>
      <c r="BW65" s="17"/>
      <c r="BX65" s="13" t="s">
        <v>1701</v>
      </c>
      <c r="BY65" s="13" t="s">
        <v>1702</v>
      </c>
      <c r="DA65" s="13" t="s">
        <v>10348</v>
      </c>
      <c r="DB65" s="13" t="s">
        <v>10348</v>
      </c>
    </row>
    <row r="66" spans="1:106" s="13" customFormat="1" ht="12.75" customHeight="1" x14ac:dyDescent="0.2">
      <c r="A66" s="13" t="s">
        <v>102</v>
      </c>
      <c r="B66" s="13" t="s">
        <v>103</v>
      </c>
      <c r="D66" s="13" t="s">
        <v>104</v>
      </c>
      <c r="E66" s="13" t="s">
        <v>105</v>
      </c>
      <c r="F66" s="13" t="s">
        <v>104</v>
      </c>
      <c r="G66" s="13" t="s">
        <v>105</v>
      </c>
      <c r="H66" s="13" t="s">
        <v>227</v>
      </c>
      <c r="J66" s="13" t="s">
        <v>106</v>
      </c>
      <c r="W66" s="13">
        <v>130</v>
      </c>
      <c r="X66" s="13">
        <v>130</v>
      </c>
      <c r="Y66" s="13" t="s">
        <v>107</v>
      </c>
      <c r="Z66" s="13" t="s">
        <v>108</v>
      </c>
      <c r="AA66" s="13" t="s">
        <v>107</v>
      </c>
      <c r="AB66" s="13" t="s">
        <v>1703</v>
      </c>
      <c r="AC66" s="13" t="s">
        <v>1703</v>
      </c>
      <c r="AD66" s="13" t="s">
        <v>1703</v>
      </c>
      <c r="AE66" s="14" t="s">
        <v>112</v>
      </c>
      <c r="AF66" s="13" t="s">
        <v>1703</v>
      </c>
      <c r="AG66" s="13" t="s">
        <v>1703</v>
      </c>
      <c r="AH66" s="13" t="s">
        <v>1704</v>
      </c>
      <c r="AL66" s="13" t="s">
        <v>1705</v>
      </c>
      <c r="AN66" s="13">
        <v>329</v>
      </c>
      <c r="AO66" s="13" t="s">
        <v>1706</v>
      </c>
      <c r="AQ66" s="13" t="s">
        <v>1703</v>
      </c>
      <c r="AR66" s="13" t="s">
        <v>1703</v>
      </c>
      <c r="AS66" s="13" t="s">
        <v>116</v>
      </c>
      <c r="AT66" s="13" t="s">
        <v>1707</v>
      </c>
      <c r="AU66" s="13" t="s">
        <v>1689</v>
      </c>
      <c r="AV66" s="14" t="s">
        <v>1690</v>
      </c>
      <c r="AW66" s="13" t="s">
        <v>1691</v>
      </c>
      <c r="AX66" s="15" t="s">
        <v>1692</v>
      </c>
      <c r="AY66" s="21" t="s">
        <v>1708</v>
      </c>
      <c r="AZ66" s="17" t="s">
        <v>1709</v>
      </c>
      <c r="BA66" s="17" t="s">
        <v>1709</v>
      </c>
      <c r="BB66" s="17" t="s">
        <v>1710</v>
      </c>
      <c r="BC66" s="17" t="s">
        <v>1711</v>
      </c>
      <c r="BD66" s="27">
        <f t="shared" si="2"/>
        <v>59</v>
      </c>
      <c r="BE66" s="17" t="s">
        <v>1697</v>
      </c>
      <c r="BF66" s="17" t="s">
        <v>534</v>
      </c>
      <c r="BG66" s="17" t="s">
        <v>1712</v>
      </c>
      <c r="BH66" s="17"/>
      <c r="BI66" s="17"/>
      <c r="BJ66" s="17" t="s">
        <v>1713</v>
      </c>
      <c r="BK66" s="17"/>
      <c r="BL66" s="17"/>
      <c r="BM66" s="17"/>
      <c r="BN66" s="17"/>
      <c r="BO66" s="17" t="s">
        <v>1714</v>
      </c>
      <c r="BP66" s="17"/>
      <c r="BQ66" s="17"/>
      <c r="BR66" s="17"/>
      <c r="BS66" s="17" t="s">
        <v>127</v>
      </c>
      <c r="BT66" s="17"/>
      <c r="BU66" s="17" t="s">
        <v>129</v>
      </c>
      <c r="BV66" s="17"/>
      <c r="BW66" s="17"/>
      <c r="BX66" s="13" t="s">
        <v>1701</v>
      </c>
      <c r="BY66" s="13" t="s">
        <v>1715</v>
      </c>
      <c r="DA66" s="13" t="s">
        <v>10348</v>
      </c>
      <c r="DB66" s="13" t="s">
        <v>10348</v>
      </c>
    </row>
    <row r="67" spans="1:106" s="13" customFormat="1" ht="12.75" customHeight="1" x14ac:dyDescent="0.2">
      <c r="A67" s="13" t="s">
        <v>102</v>
      </c>
      <c r="B67" s="13" t="s">
        <v>103</v>
      </c>
      <c r="D67" s="13" t="s">
        <v>104</v>
      </c>
      <c r="E67" s="13" t="s">
        <v>105</v>
      </c>
      <c r="F67" s="13" t="s">
        <v>104</v>
      </c>
      <c r="G67" s="13" t="s">
        <v>105</v>
      </c>
      <c r="H67" s="13" t="s">
        <v>227</v>
      </c>
      <c r="J67" s="13" t="s">
        <v>106</v>
      </c>
      <c r="W67" s="13">
        <v>131</v>
      </c>
      <c r="X67" s="13">
        <v>131</v>
      </c>
      <c r="Y67" s="13" t="s">
        <v>107</v>
      </c>
      <c r="Z67" s="13" t="s">
        <v>108</v>
      </c>
      <c r="AA67" s="13" t="s">
        <v>107</v>
      </c>
      <c r="AB67" s="13" t="s">
        <v>1716</v>
      </c>
      <c r="AC67" s="13" t="s">
        <v>1716</v>
      </c>
      <c r="AD67" s="13" t="s">
        <v>1716</v>
      </c>
      <c r="AE67" s="14" t="s">
        <v>112</v>
      </c>
      <c r="AF67" s="13" t="s">
        <v>1716</v>
      </c>
      <c r="AG67" s="13" t="s">
        <v>1716</v>
      </c>
      <c r="AH67" s="13" t="s">
        <v>1717</v>
      </c>
      <c r="AL67" s="13" t="s">
        <v>1718</v>
      </c>
      <c r="AN67" s="13">
        <v>329</v>
      </c>
      <c r="AO67" s="13" t="s">
        <v>1719</v>
      </c>
      <c r="AQ67" s="13" t="s">
        <v>1716</v>
      </c>
      <c r="AR67" s="13" t="s">
        <v>1716</v>
      </c>
      <c r="AS67" s="13" t="s">
        <v>116</v>
      </c>
      <c r="AT67" s="13" t="s">
        <v>1720</v>
      </c>
      <c r="AU67" s="13" t="s">
        <v>1689</v>
      </c>
      <c r="AV67" s="14" t="s">
        <v>1690</v>
      </c>
      <c r="AW67" s="13" t="s">
        <v>1691</v>
      </c>
      <c r="AX67" s="15" t="s">
        <v>1692</v>
      </c>
      <c r="AY67" s="21" t="s">
        <v>1721</v>
      </c>
      <c r="AZ67" s="17" t="s">
        <v>1722</v>
      </c>
      <c r="BA67" s="17" t="s">
        <v>1722</v>
      </c>
      <c r="BB67" s="17" t="s">
        <v>1723</v>
      </c>
      <c r="BC67" s="17" t="s">
        <v>1724</v>
      </c>
      <c r="BD67" s="27">
        <f t="shared" si="2"/>
        <v>57</v>
      </c>
      <c r="BE67" s="17" t="s">
        <v>1697</v>
      </c>
      <c r="BF67" s="17" t="s">
        <v>534</v>
      </c>
      <c r="BG67" s="17" t="s">
        <v>1712</v>
      </c>
      <c r="BH67" s="17"/>
      <c r="BI67" s="17"/>
      <c r="BJ67" s="17" t="s">
        <v>1725</v>
      </c>
      <c r="BK67" s="17"/>
      <c r="BL67" s="17"/>
      <c r="BM67" s="17"/>
      <c r="BN67" s="17"/>
      <c r="BO67" s="17" t="s">
        <v>1714</v>
      </c>
      <c r="BP67" s="17"/>
      <c r="BQ67" s="17"/>
      <c r="BR67" s="17"/>
      <c r="BS67" s="17" t="s">
        <v>127</v>
      </c>
      <c r="BT67" s="17"/>
      <c r="BU67" s="17" t="s">
        <v>129</v>
      </c>
      <c r="BV67" s="17"/>
      <c r="BW67" s="17"/>
      <c r="BX67" s="13" t="s">
        <v>1701</v>
      </c>
      <c r="BY67" s="13" t="s">
        <v>1715</v>
      </c>
      <c r="DA67" s="13" t="s">
        <v>10348</v>
      </c>
      <c r="DB67" s="13" t="s">
        <v>10348</v>
      </c>
    </row>
    <row r="68" spans="1:106" s="13" customFormat="1" ht="12.75" customHeight="1" x14ac:dyDescent="0.2">
      <c r="A68" s="13" t="s">
        <v>102</v>
      </c>
      <c r="B68" s="13" t="s">
        <v>103</v>
      </c>
      <c r="D68" s="13" t="s">
        <v>104</v>
      </c>
      <c r="E68" s="13" t="s">
        <v>105</v>
      </c>
      <c r="F68" s="13" t="s">
        <v>104</v>
      </c>
      <c r="G68" s="13" t="s">
        <v>105</v>
      </c>
      <c r="H68" s="13" t="s">
        <v>227</v>
      </c>
      <c r="J68" s="13" t="s">
        <v>106</v>
      </c>
      <c r="W68" s="13">
        <v>132</v>
      </c>
      <c r="X68" s="13">
        <v>132</v>
      </c>
      <c r="Y68" s="13" t="s">
        <v>107</v>
      </c>
      <c r="Z68" s="13" t="s">
        <v>108</v>
      </c>
      <c r="AA68" s="13" t="s">
        <v>107</v>
      </c>
      <c r="AB68" s="13" t="s">
        <v>1726</v>
      </c>
      <c r="AC68" s="13" t="s">
        <v>1726</v>
      </c>
      <c r="AD68" s="13" t="s">
        <v>1726</v>
      </c>
      <c r="AE68" s="14" t="s">
        <v>112</v>
      </c>
      <c r="AF68" s="13" t="s">
        <v>1726</v>
      </c>
      <c r="AG68" s="13" t="s">
        <v>1726</v>
      </c>
      <c r="AH68" s="13" t="s">
        <v>1727</v>
      </c>
      <c r="AL68" s="13" t="s">
        <v>1728</v>
      </c>
      <c r="AN68" s="13">
        <v>329</v>
      </c>
      <c r="AO68" s="13" t="s">
        <v>1729</v>
      </c>
      <c r="AQ68" s="13" t="s">
        <v>1726</v>
      </c>
      <c r="AR68" s="13" t="s">
        <v>1726</v>
      </c>
      <c r="AS68" s="13" t="s">
        <v>116</v>
      </c>
      <c r="AT68" s="13" t="s">
        <v>1730</v>
      </c>
      <c r="AU68" s="13" t="s">
        <v>1689</v>
      </c>
      <c r="AV68" s="14" t="s">
        <v>1690</v>
      </c>
      <c r="AW68" s="13" t="s">
        <v>1691</v>
      </c>
      <c r="AX68" s="15" t="s">
        <v>1692</v>
      </c>
      <c r="AY68" s="21" t="s">
        <v>1731</v>
      </c>
      <c r="AZ68" s="17" t="s">
        <v>1732</v>
      </c>
      <c r="BA68" s="17" t="s">
        <v>1732</v>
      </c>
      <c r="BB68" s="17" t="s">
        <v>1733</v>
      </c>
      <c r="BC68" s="17" t="s">
        <v>1734</v>
      </c>
      <c r="BD68" s="27">
        <f t="shared" si="2"/>
        <v>59</v>
      </c>
      <c r="BE68" s="17" t="s">
        <v>1697</v>
      </c>
      <c r="BF68" s="17" t="s">
        <v>534</v>
      </c>
      <c r="BG68" s="17" t="s">
        <v>1698</v>
      </c>
      <c r="BH68" s="17"/>
      <c r="BI68" s="17"/>
      <c r="BJ68" s="17" t="s">
        <v>1735</v>
      </c>
      <c r="BK68" s="17"/>
      <c r="BL68" s="17"/>
      <c r="BM68" s="17"/>
      <c r="BN68" s="17"/>
      <c r="BO68" s="17" t="s">
        <v>1700</v>
      </c>
      <c r="BP68" s="17"/>
      <c r="BQ68" s="17"/>
      <c r="BR68" s="17"/>
      <c r="BS68" s="17" t="s">
        <v>127</v>
      </c>
      <c r="BT68" s="17"/>
      <c r="BU68" s="17" t="s">
        <v>129</v>
      </c>
      <c r="BV68" s="17"/>
      <c r="BW68" s="17"/>
      <c r="BX68" s="13" t="s">
        <v>1701</v>
      </c>
      <c r="BY68" s="13" t="s">
        <v>1715</v>
      </c>
      <c r="DA68" s="13" t="s">
        <v>10348</v>
      </c>
      <c r="DB68" s="13" t="s">
        <v>10348</v>
      </c>
    </row>
    <row r="69" spans="1:106" s="13" customFormat="1" ht="12.75" customHeight="1" x14ac:dyDescent="0.2">
      <c r="A69" s="13" t="s">
        <v>102</v>
      </c>
      <c r="B69" s="13" t="s">
        <v>103</v>
      </c>
      <c r="D69" s="13" t="s">
        <v>104</v>
      </c>
      <c r="E69" s="13" t="s">
        <v>105</v>
      </c>
      <c r="F69" s="13" t="s">
        <v>104</v>
      </c>
      <c r="G69" s="13" t="s">
        <v>105</v>
      </c>
      <c r="H69" s="13" t="s">
        <v>227</v>
      </c>
      <c r="J69" s="13" t="s">
        <v>106</v>
      </c>
      <c r="W69" s="13">
        <v>133</v>
      </c>
      <c r="X69" s="13">
        <v>133</v>
      </c>
      <c r="Y69" s="13" t="s">
        <v>107</v>
      </c>
      <c r="Z69" s="13" t="s">
        <v>108</v>
      </c>
      <c r="AA69" s="13" t="s">
        <v>107</v>
      </c>
      <c r="AB69" s="13" t="s">
        <v>1736</v>
      </c>
      <c r="AC69" s="13" t="s">
        <v>1736</v>
      </c>
      <c r="AD69" s="13" t="s">
        <v>1736</v>
      </c>
      <c r="AE69" s="14" t="s">
        <v>112</v>
      </c>
      <c r="AF69" s="13" t="s">
        <v>1736</v>
      </c>
      <c r="AG69" s="13" t="s">
        <v>1736</v>
      </c>
      <c r="AH69" s="13" t="s">
        <v>1737</v>
      </c>
      <c r="AL69" s="13" t="s">
        <v>1738</v>
      </c>
      <c r="AN69" s="13">
        <v>329</v>
      </c>
      <c r="AO69" s="13" t="s">
        <v>1739</v>
      </c>
      <c r="AQ69" s="13" t="s">
        <v>1736</v>
      </c>
      <c r="AR69" s="13" t="s">
        <v>1736</v>
      </c>
      <c r="AS69" s="13" t="s">
        <v>116</v>
      </c>
      <c r="AT69" s="13" t="s">
        <v>1740</v>
      </c>
      <c r="AU69" s="13" t="s">
        <v>1689</v>
      </c>
      <c r="AV69" s="14" t="s">
        <v>1690</v>
      </c>
      <c r="AW69" s="13" t="s">
        <v>1691</v>
      </c>
      <c r="AX69" s="15" t="s">
        <v>1692</v>
      </c>
      <c r="AY69" s="21" t="s">
        <v>1741</v>
      </c>
      <c r="AZ69" s="17" t="s">
        <v>1742</v>
      </c>
      <c r="BA69" s="17" t="s">
        <v>1742</v>
      </c>
      <c r="BB69" s="17" t="s">
        <v>1743</v>
      </c>
      <c r="BC69" s="17" t="s">
        <v>1744</v>
      </c>
      <c r="BD69" s="27">
        <f t="shared" si="2"/>
        <v>59</v>
      </c>
      <c r="BE69" s="17" t="s">
        <v>1697</v>
      </c>
      <c r="BF69" s="17" t="s">
        <v>534</v>
      </c>
      <c r="BG69" s="17" t="s">
        <v>1698</v>
      </c>
      <c r="BH69" s="17"/>
      <c r="BI69" s="17"/>
      <c r="BJ69" s="17" t="s">
        <v>1745</v>
      </c>
      <c r="BK69" s="17"/>
      <c r="BL69" s="17"/>
      <c r="BM69" s="17"/>
      <c r="BN69" s="17"/>
      <c r="BO69" s="17" t="s">
        <v>1700</v>
      </c>
      <c r="BP69" s="17"/>
      <c r="BQ69" s="17"/>
      <c r="BR69" s="17"/>
      <c r="BS69" s="17" t="s">
        <v>127</v>
      </c>
      <c r="BT69" s="17"/>
      <c r="BU69" s="17" t="s">
        <v>129</v>
      </c>
      <c r="BV69" s="17"/>
      <c r="BW69" s="17"/>
      <c r="BX69" s="13" t="s">
        <v>1701</v>
      </c>
      <c r="BY69" s="13" t="s">
        <v>1715</v>
      </c>
      <c r="DA69" s="13" t="s">
        <v>10348</v>
      </c>
      <c r="DB69" s="13" t="s">
        <v>10348</v>
      </c>
    </row>
    <row r="70" spans="1:106" s="13" customFormat="1" ht="12.75" customHeight="1" x14ac:dyDescent="0.2">
      <c r="A70" s="13" t="s">
        <v>102</v>
      </c>
      <c r="B70" s="13" t="s">
        <v>103</v>
      </c>
      <c r="D70" s="13" t="s">
        <v>104</v>
      </c>
      <c r="E70" s="13" t="s">
        <v>105</v>
      </c>
      <c r="F70" s="13" t="s">
        <v>104</v>
      </c>
      <c r="G70" s="13" t="s">
        <v>105</v>
      </c>
      <c r="H70" s="13" t="s">
        <v>227</v>
      </c>
      <c r="J70" s="13" t="s">
        <v>106</v>
      </c>
      <c r="W70" s="13">
        <v>134</v>
      </c>
      <c r="X70" s="13">
        <v>134</v>
      </c>
      <c r="Y70" s="13" t="s">
        <v>107</v>
      </c>
      <c r="Z70" s="13" t="s">
        <v>108</v>
      </c>
      <c r="AA70" s="13" t="s">
        <v>107</v>
      </c>
      <c r="AB70" s="13" t="s">
        <v>1746</v>
      </c>
      <c r="AC70" s="13" t="s">
        <v>1746</v>
      </c>
      <c r="AD70" s="13" t="s">
        <v>1746</v>
      </c>
      <c r="AE70" s="14" t="s">
        <v>112</v>
      </c>
      <c r="AF70" s="13" t="s">
        <v>1746</v>
      </c>
      <c r="AG70" s="13" t="s">
        <v>1746</v>
      </c>
      <c r="AH70" s="13" t="s">
        <v>1747</v>
      </c>
      <c r="AL70" s="13" t="s">
        <v>1748</v>
      </c>
      <c r="AN70" s="13">
        <v>329</v>
      </c>
      <c r="AO70" s="13" t="s">
        <v>1749</v>
      </c>
      <c r="AQ70" s="13" t="s">
        <v>1746</v>
      </c>
      <c r="AR70" s="13" t="s">
        <v>1746</v>
      </c>
      <c r="AS70" s="13" t="s">
        <v>116</v>
      </c>
      <c r="AT70" s="13" t="s">
        <v>1750</v>
      </c>
      <c r="AU70" s="13" t="s">
        <v>1689</v>
      </c>
      <c r="AV70" s="14" t="s">
        <v>1690</v>
      </c>
      <c r="AW70" s="13" t="s">
        <v>1691</v>
      </c>
      <c r="AX70" s="15" t="s">
        <v>1692</v>
      </c>
      <c r="AY70" s="21" t="s">
        <v>1751</v>
      </c>
      <c r="AZ70" s="17" t="s">
        <v>1752</v>
      </c>
      <c r="BA70" s="17" t="s">
        <v>1752</v>
      </c>
      <c r="BB70" s="17" t="s">
        <v>1753</v>
      </c>
      <c r="BC70" s="17" t="s">
        <v>1753</v>
      </c>
      <c r="BD70" s="27">
        <f t="shared" si="2"/>
        <v>38</v>
      </c>
      <c r="BE70" s="17" t="s">
        <v>1697</v>
      </c>
      <c r="BF70" s="17" t="s">
        <v>534</v>
      </c>
      <c r="BG70" s="17" t="s">
        <v>1698</v>
      </c>
      <c r="BH70" s="17"/>
      <c r="BI70" s="17"/>
      <c r="BJ70" s="17" t="s">
        <v>1754</v>
      </c>
      <c r="BK70" s="17"/>
      <c r="BL70" s="17"/>
      <c r="BM70" s="17"/>
      <c r="BN70" s="17"/>
      <c r="BO70" s="17"/>
      <c r="BP70" s="17"/>
      <c r="BQ70" s="17"/>
      <c r="BR70" s="17"/>
      <c r="BS70" s="17" t="s">
        <v>127</v>
      </c>
      <c r="BT70" s="17"/>
      <c r="BU70" s="17" t="s">
        <v>129</v>
      </c>
      <c r="BV70" s="17"/>
      <c r="BW70" s="17"/>
      <c r="BX70" s="13" t="s">
        <v>1755</v>
      </c>
      <c r="BY70" s="13" t="s">
        <v>1715</v>
      </c>
      <c r="DA70" s="13" t="s">
        <v>10348</v>
      </c>
      <c r="DB70" s="13" t="s">
        <v>10348</v>
      </c>
    </row>
    <row r="71" spans="1:106" s="13" customFormat="1" ht="12.75" customHeight="1" x14ac:dyDescent="0.2">
      <c r="A71" s="13" t="s">
        <v>102</v>
      </c>
      <c r="B71" s="13" t="s">
        <v>103</v>
      </c>
      <c r="D71" s="13" t="s">
        <v>104</v>
      </c>
      <c r="E71" s="13" t="s">
        <v>105</v>
      </c>
      <c r="F71" s="13" t="s">
        <v>104</v>
      </c>
      <c r="G71" s="13" t="s">
        <v>105</v>
      </c>
      <c r="H71" s="13" t="s">
        <v>227</v>
      </c>
      <c r="J71" s="13" t="s">
        <v>106</v>
      </c>
      <c r="W71" s="13">
        <v>135</v>
      </c>
      <c r="X71" s="13">
        <v>135</v>
      </c>
      <c r="Y71" s="13" t="s">
        <v>107</v>
      </c>
      <c r="Z71" s="13" t="s">
        <v>108</v>
      </c>
      <c r="AA71" s="13" t="s">
        <v>107</v>
      </c>
      <c r="AB71" s="13" t="s">
        <v>1756</v>
      </c>
      <c r="AC71" s="13" t="s">
        <v>1756</v>
      </c>
      <c r="AD71" s="13" t="s">
        <v>1756</v>
      </c>
      <c r="AE71" s="14" t="s">
        <v>112</v>
      </c>
      <c r="AF71" s="13" t="s">
        <v>1756</v>
      </c>
      <c r="AG71" s="13" t="s">
        <v>1756</v>
      </c>
      <c r="AH71" s="13" t="s">
        <v>1757</v>
      </c>
      <c r="AL71" s="13" t="s">
        <v>1758</v>
      </c>
      <c r="AN71" s="13">
        <v>329</v>
      </c>
      <c r="AO71" s="13" t="s">
        <v>1759</v>
      </c>
      <c r="AQ71" s="13" t="s">
        <v>1756</v>
      </c>
      <c r="AR71" s="13" t="s">
        <v>1756</v>
      </c>
      <c r="AS71" s="13" t="s">
        <v>116</v>
      </c>
      <c r="AT71" s="13" t="s">
        <v>1760</v>
      </c>
      <c r="AU71" s="13" t="s">
        <v>1689</v>
      </c>
      <c r="AV71" s="14" t="s">
        <v>1690</v>
      </c>
      <c r="AW71" s="13" t="s">
        <v>1691</v>
      </c>
      <c r="AX71" s="15" t="s">
        <v>1692</v>
      </c>
      <c r="AY71" s="21" t="s">
        <v>1761</v>
      </c>
      <c r="AZ71" s="17" t="s">
        <v>1762</v>
      </c>
      <c r="BA71" s="17" t="s">
        <v>1762</v>
      </c>
      <c r="BB71" s="17" t="s">
        <v>1763</v>
      </c>
      <c r="BC71" s="17" t="s">
        <v>1763</v>
      </c>
      <c r="BD71" s="27">
        <f t="shared" si="2"/>
        <v>50</v>
      </c>
      <c r="BE71" s="17" t="s">
        <v>1697</v>
      </c>
      <c r="BF71" s="17" t="s">
        <v>534</v>
      </c>
      <c r="BG71" s="17" t="s">
        <v>1698</v>
      </c>
      <c r="BH71" s="17"/>
      <c r="BI71" s="17"/>
      <c r="BJ71" s="17" t="s">
        <v>1713</v>
      </c>
      <c r="BK71" s="17"/>
      <c r="BL71" s="17"/>
      <c r="BM71" s="17"/>
      <c r="BN71" s="17"/>
      <c r="BO71" s="17" t="s">
        <v>1764</v>
      </c>
      <c r="BP71" s="17"/>
      <c r="BQ71" s="17"/>
      <c r="BR71" s="17"/>
      <c r="BS71" s="17" t="s">
        <v>127</v>
      </c>
      <c r="BT71" s="17"/>
      <c r="BU71" s="17" t="s">
        <v>129</v>
      </c>
      <c r="BV71" s="17"/>
      <c r="BW71" s="17"/>
      <c r="BX71" s="13" t="s">
        <v>1765</v>
      </c>
      <c r="BY71" s="13" t="s">
        <v>1715</v>
      </c>
      <c r="DA71" s="13" t="s">
        <v>10348</v>
      </c>
      <c r="DB71" s="13" t="s">
        <v>10348</v>
      </c>
    </row>
    <row r="72" spans="1:106" s="13" customFormat="1" ht="12.75" customHeight="1" x14ac:dyDescent="0.2">
      <c r="A72" s="13" t="s">
        <v>102</v>
      </c>
      <c r="B72" s="13" t="s">
        <v>103</v>
      </c>
      <c r="D72" s="13" t="s">
        <v>104</v>
      </c>
      <c r="E72" s="13" t="s">
        <v>105</v>
      </c>
      <c r="F72" s="13" t="s">
        <v>104</v>
      </c>
      <c r="G72" s="13" t="s">
        <v>105</v>
      </c>
      <c r="H72" s="13" t="s">
        <v>227</v>
      </c>
      <c r="J72" s="13" t="s">
        <v>106</v>
      </c>
      <c r="W72" s="13">
        <v>136</v>
      </c>
      <c r="X72" s="13">
        <v>136</v>
      </c>
      <c r="Y72" s="13" t="s">
        <v>107</v>
      </c>
      <c r="Z72" s="13" t="s">
        <v>108</v>
      </c>
      <c r="AA72" s="13" t="s">
        <v>107</v>
      </c>
      <c r="AB72" s="13" t="s">
        <v>1766</v>
      </c>
      <c r="AC72" s="13" t="s">
        <v>1766</v>
      </c>
      <c r="AD72" s="13" t="s">
        <v>1766</v>
      </c>
      <c r="AE72" s="14" t="s">
        <v>112</v>
      </c>
      <c r="AF72" s="13" t="s">
        <v>1766</v>
      </c>
      <c r="AG72" s="13" t="s">
        <v>1766</v>
      </c>
      <c r="AH72" s="13" t="s">
        <v>1767</v>
      </c>
      <c r="AL72" s="13" t="s">
        <v>1768</v>
      </c>
      <c r="AN72" s="13">
        <v>329</v>
      </c>
      <c r="AO72" s="13" t="s">
        <v>1769</v>
      </c>
      <c r="AQ72" s="13" t="s">
        <v>1766</v>
      </c>
      <c r="AR72" s="13" t="s">
        <v>1766</v>
      </c>
      <c r="AS72" s="13" t="s">
        <v>116</v>
      </c>
      <c r="AT72" s="13" t="s">
        <v>1770</v>
      </c>
      <c r="AU72" s="13" t="s">
        <v>1689</v>
      </c>
      <c r="AV72" s="14" t="s">
        <v>1690</v>
      </c>
      <c r="AW72" s="13" t="s">
        <v>1691</v>
      </c>
      <c r="AX72" s="15" t="s">
        <v>1692</v>
      </c>
      <c r="AY72" s="21" t="s">
        <v>1771</v>
      </c>
      <c r="AZ72" s="17" t="s">
        <v>1772</v>
      </c>
      <c r="BA72" s="17" t="s">
        <v>1772</v>
      </c>
      <c r="BB72" s="17" t="s">
        <v>1773</v>
      </c>
      <c r="BC72" s="17" t="s">
        <v>1773</v>
      </c>
      <c r="BD72" s="27">
        <f t="shared" si="2"/>
        <v>52</v>
      </c>
      <c r="BE72" s="17" t="s">
        <v>1697</v>
      </c>
      <c r="BF72" s="17" t="s">
        <v>534</v>
      </c>
      <c r="BG72" s="17" t="s">
        <v>1698</v>
      </c>
      <c r="BH72" s="17"/>
      <c r="BI72" s="17"/>
      <c r="BJ72" s="17" t="s">
        <v>1774</v>
      </c>
      <c r="BK72" s="17"/>
      <c r="BL72" s="17"/>
      <c r="BM72" s="17"/>
      <c r="BN72" s="17"/>
      <c r="BO72" s="17" t="s">
        <v>1775</v>
      </c>
      <c r="BP72" s="17"/>
      <c r="BQ72" s="17"/>
      <c r="BR72" s="17"/>
      <c r="BS72" s="17" t="s">
        <v>127</v>
      </c>
      <c r="BT72" s="17"/>
      <c r="BU72" s="17" t="s">
        <v>129</v>
      </c>
      <c r="BV72" s="17"/>
      <c r="BW72" s="17"/>
      <c r="BX72" s="13" t="s">
        <v>1776</v>
      </c>
      <c r="BY72" s="13" t="s">
        <v>1715</v>
      </c>
      <c r="DA72" s="13" t="s">
        <v>10348</v>
      </c>
      <c r="DB72" s="13" t="s">
        <v>10348</v>
      </c>
    </row>
    <row r="73" spans="1:106" s="13" customFormat="1" ht="12.75" customHeight="1" x14ac:dyDescent="0.2">
      <c r="A73" s="13" t="s">
        <v>102</v>
      </c>
      <c r="B73" s="13" t="s">
        <v>103</v>
      </c>
      <c r="D73" s="13" t="s">
        <v>104</v>
      </c>
      <c r="E73" s="13" t="s">
        <v>105</v>
      </c>
      <c r="F73" s="13" t="s">
        <v>104</v>
      </c>
      <c r="G73" s="13" t="s">
        <v>105</v>
      </c>
      <c r="H73" s="13" t="s">
        <v>227</v>
      </c>
      <c r="J73" s="13" t="s">
        <v>106</v>
      </c>
      <c r="W73" s="13">
        <v>137</v>
      </c>
      <c r="X73" s="13">
        <v>137</v>
      </c>
      <c r="Y73" s="13" t="s">
        <v>107</v>
      </c>
      <c r="Z73" s="13" t="s">
        <v>108</v>
      </c>
      <c r="AA73" s="13" t="s">
        <v>107</v>
      </c>
      <c r="AB73" s="13" t="s">
        <v>1777</v>
      </c>
      <c r="AC73" s="13" t="s">
        <v>1777</v>
      </c>
      <c r="AD73" s="13" t="s">
        <v>1777</v>
      </c>
      <c r="AE73" s="14" t="s">
        <v>112</v>
      </c>
      <c r="AF73" s="13" t="s">
        <v>1777</v>
      </c>
      <c r="AG73" s="13" t="s">
        <v>1777</v>
      </c>
      <c r="AH73" s="13" t="s">
        <v>1778</v>
      </c>
      <c r="AL73" s="13" t="s">
        <v>1779</v>
      </c>
      <c r="AN73" s="13">
        <v>329</v>
      </c>
      <c r="AO73" s="13" t="s">
        <v>1780</v>
      </c>
      <c r="AQ73" s="13" t="s">
        <v>1777</v>
      </c>
      <c r="AR73" s="13" t="s">
        <v>1777</v>
      </c>
      <c r="AS73" s="13" t="s">
        <v>116</v>
      </c>
      <c r="AT73" s="13" t="s">
        <v>1781</v>
      </c>
      <c r="AU73" s="13" t="s">
        <v>1782</v>
      </c>
      <c r="AV73" s="14" t="s">
        <v>1690</v>
      </c>
      <c r="AW73" s="13" t="s">
        <v>1691</v>
      </c>
      <c r="AX73" s="15" t="s">
        <v>1692</v>
      </c>
      <c r="AY73" s="21" t="s">
        <v>1783</v>
      </c>
      <c r="AZ73" s="17" t="s">
        <v>1784</v>
      </c>
      <c r="BA73" s="17" t="s">
        <v>1784</v>
      </c>
      <c r="BB73" s="17" t="s">
        <v>1785</v>
      </c>
      <c r="BC73" s="17" t="s">
        <v>1785</v>
      </c>
      <c r="BD73" s="27">
        <f t="shared" si="2"/>
        <v>34</v>
      </c>
      <c r="BE73" s="17" t="s">
        <v>1697</v>
      </c>
      <c r="BF73" s="17" t="s">
        <v>534</v>
      </c>
      <c r="BG73" s="17" t="s">
        <v>1786</v>
      </c>
      <c r="BH73" s="17"/>
      <c r="BI73" s="17"/>
      <c r="BJ73" s="17"/>
      <c r="BK73" s="17"/>
      <c r="BL73" s="17"/>
      <c r="BM73" s="17"/>
      <c r="BN73" s="17"/>
      <c r="BO73" s="17" t="s">
        <v>1787</v>
      </c>
      <c r="BP73" s="17"/>
      <c r="BQ73" s="17"/>
      <c r="BR73" s="17"/>
      <c r="BS73" s="17" t="s">
        <v>127</v>
      </c>
      <c r="BT73" s="17"/>
      <c r="BU73" s="17" t="s">
        <v>129</v>
      </c>
      <c r="BV73" s="17"/>
      <c r="BW73" s="17"/>
      <c r="BX73" s="13" t="s">
        <v>1788</v>
      </c>
      <c r="BY73" s="13" t="s">
        <v>1789</v>
      </c>
      <c r="DA73" s="13" t="s">
        <v>10348</v>
      </c>
      <c r="DB73" s="13" t="s">
        <v>10348</v>
      </c>
    </row>
    <row r="74" spans="1:106" s="13" customFormat="1" ht="12.75" customHeight="1" x14ac:dyDescent="0.2">
      <c r="A74" s="13" t="s">
        <v>102</v>
      </c>
      <c r="B74" s="13" t="s">
        <v>103</v>
      </c>
      <c r="D74" s="13" t="s">
        <v>104</v>
      </c>
      <c r="E74" s="13" t="s">
        <v>105</v>
      </c>
      <c r="F74" s="13" t="s">
        <v>104</v>
      </c>
      <c r="G74" s="13" t="s">
        <v>105</v>
      </c>
      <c r="H74" s="13" t="s">
        <v>227</v>
      </c>
      <c r="J74" s="13" t="s">
        <v>106</v>
      </c>
      <c r="W74" s="13">
        <v>138</v>
      </c>
      <c r="X74" s="13">
        <v>138</v>
      </c>
      <c r="Y74" s="13" t="s">
        <v>107</v>
      </c>
      <c r="Z74" s="13" t="s">
        <v>108</v>
      </c>
      <c r="AA74" s="13" t="s">
        <v>107</v>
      </c>
      <c r="AB74" s="13" t="s">
        <v>1790</v>
      </c>
      <c r="AC74" s="13" t="s">
        <v>1790</v>
      </c>
      <c r="AD74" s="13" t="s">
        <v>1790</v>
      </c>
      <c r="AE74" s="14" t="s">
        <v>112</v>
      </c>
      <c r="AF74" s="13" t="s">
        <v>1790</v>
      </c>
      <c r="AG74" s="13" t="s">
        <v>1790</v>
      </c>
      <c r="AH74" s="13" t="s">
        <v>1791</v>
      </c>
      <c r="AL74" s="13" t="s">
        <v>1792</v>
      </c>
      <c r="AN74" s="13">
        <v>329</v>
      </c>
      <c r="AO74" s="13" t="s">
        <v>1793</v>
      </c>
      <c r="AQ74" s="13" t="s">
        <v>1790</v>
      </c>
      <c r="AR74" s="13" t="s">
        <v>1790</v>
      </c>
      <c r="AS74" s="13" t="s">
        <v>116</v>
      </c>
      <c r="AT74" s="13" t="s">
        <v>1794</v>
      </c>
      <c r="AU74" s="13" t="s">
        <v>1689</v>
      </c>
      <c r="AV74" s="14" t="s">
        <v>1690</v>
      </c>
      <c r="AW74" s="13" t="s">
        <v>1691</v>
      </c>
      <c r="AX74" s="15" t="s">
        <v>1692</v>
      </c>
      <c r="AY74" s="21" t="s">
        <v>1795</v>
      </c>
      <c r="AZ74" s="17" t="s">
        <v>1796</v>
      </c>
      <c r="BA74" s="17" t="s">
        <v>1796</v>
      </c>
      <c r="BB74" s="17" t="s">
        <v>1797</v>
      </c>
      <c r="BC74" s="17" t="s">
        <v>1797</v>
      </c>
      <c r="BD74" s="27">
        <f t="shared" si="2"/>
        <v>36</v>
      </c>
      <c r="BE74" s="17" t="s">
        <v>1697</v>
      </c>
      <c r="BF74" s="17" t="s">
        <v>534</v>
      </c>
      <c r="BG74" s="17" t="s">
        <v>1698</v>
      </c>
      <c r="BH74" s="17"/>
      <c r="BI74" s="17"/>
      <c r="BJ74" s="17" t="s">
        <v>1798</v>
      </c>
      <c r="BK74" s="17"/>
      <c r="BL74" s="17"/>
      <c r="BM74" s="17"/>
      <c r="BN74" s="17"/>
      <c r="BO74" s="17"/>
      <c r="BP74" s="17"/>
      <c r="BQ74" s="17"/>
      <c r="BR74" s="17"/>
      <c r="BS74" s="17" t="s">
        <v>127</v>
      </c>
      <c r="BT74" s="17"/>
      <c r="BU74" s="17" t="s">
        <v>129</v>
      </c>
      <c r="BV74" s="17"/>
      <c r="BW74" s="17"/>
      <c r="BX74" s="13" t="s">
        <v>1799</v>
      </c>
      <c r="BY74" s="13" t="s">
        <v>1715</v>
      </c>
      <c r="DA74" s="13" t="s">
        <v>10348</v>
      </c>
      <c r="DB74" s="13" t="s">
        <v>10348</v>
      </c>
    </row>
    <row r="75" spans="1:106" s="13" customFormat="1" ht="12.75" customHeight="1" x14ac:dyDescent="0.2">
      <c r="A75" s="13" t="s">
        <v>102</v>
      </c>
      <c r="B75" s="13" t="s">
        <v>103</v>
      </c>
      <c r="D75" s="13" t="s">
        <v>104</v>
      </c>
      <c r="E75" s="13" t="s">
        <v>105</v>
      </c>
      <c r="F75" s="13" t="s">
        <v>104</v>
      </c>
      <c r="G75" s="13" t="s">
        <v>105</v>
      </c>
      <c r="H75" s="13" t="s">
        <v>227</v>
      </c>
      <c r="J75" s="13" t="s">
        <v>106</v>
      </c>
      <c r="W75" s="13">
        <v>139</v>
      </c>
      <c r="X75" s="13">
        <v>139</v>
      </c>
      <c r="Y75" s="13" t="s">
        <v>107</v>
      </c>
      <c r="Z75" s="13" t="s">
        <v>108</v>
      </c>
      <c r="AA75" s="13" t="s">
        <v>107</v>
      </c>
      <c r="AB75" s="13" t="s">
        <v>1800</v>
      </c>
      <c r="AC75" s="13" t="s">
        <v>1800</v>
      </c>
      <c r="AD75" s="13" t="s">
        <v>1800</v>
      </c>
      <c r="AE75" s="14" t="s">
        <v>112</v>
      </c>
      <c r="AF75" s="13" t="s">
        <v>1800</v>
      </c>
      <c r="AG75" s="13" t="s">
        <v>1800</v>
      </c>
      <c r="AH75" s="13" t="s">
        <v>1801</v>
      </c>
      <c r="AL75" s="13" t="s">
        <v>1802</v>
      </c>
      <c r="AN75" s="13">
        <v>329</v>
      </c>
      <c r="AO75" s="13" t="s">
        <v>1803</v>
      </c>
      <c r="AQ75" s="13" t="s">
        <v>1800</v>
      </c>
      <c r="AR75" s="13" t="s">
        <v>1800</v>
      </c>
      <c r="AS75" s="13" t="s">
        <v>116</v>
      </c>
      <c r="AT75" s="13" t="s">
        <v>1804</v>
      </c>
      <c r="AU75" s="13" t="s">
        <v>1805</v>
      </c>
      <c r="AV75" s="14" t="s">
        <v>1690</v>
      </c>
      <c r="AW75" s="13" t="s">
        <v>1691</v>
      </c>
      <c r="AX75" s="15" t="s">
        <v>1692</v>
      </c>
      <c r="AY75" s="21" t="s">
        <v>1806</v>
      </c>
      <c r="AZ75" s="17" t="s">
        <v>1807</v>
      </c>
      <c r="BA75" s="17" t="s">
        <v>1807</v>
      </c>
      <c r="BB75" s="17" t="s">
        <v>1808</v>
      </c>
      <c r="BC75" s="17" t="s">
        <v>1809</v>
      </c>
      <c r="BD75" s="27">
        <f t="shared" si="2"/>
        <v>57</v>
      </c>
      <c r="BE75" s="17" t="s">
        <v>1697</v>
      </c>
      <c r="BF75" s="17" t="s">
        <v>534</v>
      </c>
      <c r="BG75" s="17" t="s">
        <v>1810</v>
      </c>
      <c r="BH75" s="17"/>
      <c r="BI75" s="17"/>
      <c r="BJ75" s="17" t="s">
        <v>1811</v>
      </c>
      <c r="BK75" s="17"/>
      <c r="BL75" s="17"/>
      <c r="BM75" s="17"/>
      <c r="BN75" s="17"/>
      <c r="BO75" s="17" t="s">
        <v>1812</v>
      </c>
      <c r="BP75" s="17"/>
      <c r="BQ75" s="17"/>
      <c r="BR75" s="17"/>
      <c r="BS75" s="17" t="s">
        <v>127</v>
      </c>
      <c r="BT75" s="17"/>
      <c r="BU75" s="17" t="s">
        <v>129</v>
      </c>
      <c r="BV75" s="17"/>
      <c r="BW75" s="17"/>
      <c r="BX75" s="13" t="s">
        <v>1813</v>
      </c>
      <c r="BY75" s="13" t="s">
        <v>1715</v>
      </c>
      <c r="DA75" s="13" t="s">
        <v>10348</v>
      </c>
      <c r="DB75" s="13" t="s">
        <v>10348</v>
      </c>
    </row>
    <row r="76" spans="1:106" s="13" customFormat="1" ht="12.75" customHeight="1" x14ac:dyDescent="0.2">
      <c r="A76" s="13" t="s">
        <v>102</v>
      </c>
      <c r="B76" s="13" t="s">
        <v>103</v>
      </c>
      <c r="D76" s="13" t="s">
        <v>104</v>
      </c>
      <c r="E76" s="13" t="s">
        <v>105</v>
      </c>
      <c r="F76" s="13" t="s">
        <v>104</v>
      </c>
      <c r="G76" s="13" t="s">
        <v>105</v>
      </c>
      <c r="H76" s="13" t="s">
        <v>227</v>
      </c>
      <c r="J76" s="13" t="s">
        <v>106</v>
      </c>
      <c r="W76" s="13">
        <v>140</v>
      </c>
      <c r="X76" s="13">
        <v>140</v>
      </c>
      <c r="Y76" s="13" t="s">
        <v>107</v>
      </c>
      <c r="Z76" s="13" t="s">
        <v>108</v>
      </c>
      <c r="AA76" s="13" t="s">
        <v>107</v>
      </c>
      <c r="AB76" s="13" t="s">
        <v>1814</v>
      </c>
      <c r="AC76" s="13" t="s">
        <v>1814</v>
      </c>
      <c r="AD76" s="13" t="s">
        <v>1814</v>
      </c>
      <c r="AE76" s="14" t="s">
        <v>112</v>
      </c>
      <c r="AF76" s="13" t="s">
        <v>1814</v>
      </c>
      <c r="AG76" s="13" t="s">
        <v>1814</v>
      </c>
      <c r="AH76" s="13" t="s">
        <v>1815</v>
      </c>
      <c r="AL76" s="13" t="s">
        <v>1816</v>
      </c>
      <c r="AN76" s="13">
        <v>329</v>
      </c>
      <c r="AO76" s="13" t="s">
        <v>1817</v>
      </c>
      <c r="AQ76" s="13" t="s">
        <v>1814</v>
      </c>
      <c r="AR76" s="13" t="s">
        <v>1814</v>
      </c>
      <c r="AS76" s="13" t="s">
        <v>116</v>
      </c>
      <c r="AT76" s="13" t="s">
        <v>1818</v>
      </c>
      <c r="AU76" s="13" t="s">
        <v>1819</v>
      </c>
      <c r="AV76" s="14" t="s">
        <v>1690</v>
      </c>
      <c r="AW76" s="13" t="s">
        <v>1691</v>
      </c>
      <c r="AX76" s="15" t="s">
        <v>1692</v>
      </c>
      <c r="AY76" s="21" t="s">
        <v>1820</v>
      </c>
      <c r="AZ76" s="17" t="s">
        <v>1821</v>
      </c>
      <c r="BA76" s="17" t="s">
        <v>1821</v>
      </c>
      <c r="BB76" s="17" t="s">
        <v>1822</v>
      </c>
      <c r="BC76" s="17" t="s">
        <v>1823</v>
      </c>
      <c r="BD76" s="27">
        <f t="shared" si="2"/>
        <v>56</v>
      </c>
      <c r="BE76" s="17" t="s">
        <v>1697</v>
      </c>
      <c r="BF76" s="17" t="s">
        <v>534</v>
      </c>
      <c r="BG76" s="17" t="s">
        <v>1824</v>
      </c>
      <c r="BH76" s="17"/>
      <c r="BI76" s="17"/>
      <c r="BJ76" s="17" t="s">
        <v>1811</v>
      </c>
      <c r="BK76" s="17"/>
      <c r="BL76" s="17"/>
      <c r="BM76" s="17"/>
      <c r="BN76" s="17"/>
      <c r="BO76" s="17" t="s">
        <v>1825</v>
      </c>
      <c r="BP76" s="17"/>
      <c r="BQ76" s="17"/>
      <c r="BR76" s="17"/>
      <c r="BS76" s="17" t="s">
        <v>127</v>
      </c>
      <c r="BT76" s="17"/>
      <c r="BU76" s="17" t="s">
        <v>129</v>
      </c>
      <c r="BV76" s="17"/>
      <c r="BW76" s="17"/>
      <c r="BX76" s="13" t="s">
        <v>1813</v>
      </c>
      <c r="BY76" s="13" t="s">
        <v>1715</v>
      </c>
      <c r="DA76" s="13" t="s">
        <v>10348</v>
      </c>
      <c r="DB76" s="13" t="s">
        <v>10348</v>
      </c>
    </row>
    <row r="77" spans="1:106" s="13" customFormat="1" ht="12.75" customHeight="1" x14ac:dyDescent="0.2">
      <c r="A77" s="13" t="s">
        <v>102</v>
      </c>
      <c r="B77" s="13" t="s">
        <v>103</v>
      </c>
      <c r="D77" s="13" t="s">
        <v>104</v>
      </c>
      <c r="E77" s="13" t="s">
        <v>105</v>
      </c>
      <c r="F77" s="13" t="s">
        <v>104</v>
      </c>
      <c r="G77" s="13" t="s">
        <v>105</v>
      </c>
      <c r="H77" s="13" t="s">
        <v>227</v>
      </c>
      <c r="J77" s="13" t="s">
        <v>106</v>
      </c>
      <c r="W77" s="13">
        <v>141</v>
      </c>
      <c r="X77" s="13">
        <v>141</v>
      </c>
      <c r="Y77" s="13" t="s">
        <v>107</v>
      </c>
      <c r="Z77" s="13" t="s">
        <v>108</v>
      </c>
      <c r="AA77" s="13" t="s">
        <v>107</v>
      </c>
      <c r="AB77" s="13" t="s">
        <v>1826</v>
      </c>
      <c r="AC77" s="13" t="s">
        <v>1826</v>
      </c>
      <c r="AD77" s="13" t="s">
        <v>1826</v>
      </c>
      <c r="AE77" s="14" t="s">
        <v>112</v>
      </c>
      <c r="AF77" s="13" t="s">
        <v>1826</v>
      </c>
      <c r="AG77" s="13" t="s">
        <v>1826</v>
      </c>
      <c r="AH77" s="13" t="s">
        <v>1827</v>
      </c>
      <c r="AL77" s="13" t="s">
        <v>1828</v>
      </c>
      <c r="AN77" s="13">
        <v>329</v>
      </c>
      <c r="AO77" s="13" t="s">
        <v>1829</v>
      </c>
      <c r="AQ77" s="13" t="s">
        <v>1826</v>
      </c>
      <c r="AR77" s="13" t="s">
        <v>1826</v>
      </c>
      <c r="AS77" s="13" t="s">
        <v>116</v>
      </c>
      <c r="AT77" s="13" t="s">
        <v>1830</v>
      </c>
      <c r="AU77" s="13" t="s">
        <v>1689</v>
      </c>
      <c r="AV77" s="14" t="s">
        <v>1690</v>
      </c>
      <c r="AW77" s="13" t="s">
        <v>1691</v>
      </c>
      <c r="AX77" s="15" t="s">
        <v>1692</v>
      </c>
      <c r="AY77" s="21" t="s">
        <v>1831</v>
      </c>
      <c r="AZ77" s="17" t="s">
        <v>1832</v>
      </c>
      <c r="BA77" s="17" t="s">
        <v>1832</v>
      </c>
      <c r="BB77" s="17" t="s">
        <v>1833</v>
      </c>
      <c r="BC77" s="17" t="s">
        <v>1833</v>
      </c>
      <c r="BD77" s="27">
        <f t="shared" si="2"/>
        <v>36</v>
      </c>
      <c r="BE77" s="17" t="s">
        <v>1697</v>
      </c>
      <c r="BF77" s="17" t="s">
        <v>534</v>
      </c>
      <c r="BG77" s="17" t="s">
        <v>1698</v>
      </c>
      <c r="BH77" s="17"/>
      <c r="BI77" s="17"/>
      <c r="BJ77" s="17" t="s">
        <v>1834</v>
      </c>
      <c r="BK77" s="17"/>
      <c r="BL77" s="17"/>
      <c r="BM77" s="17"/>
      <c r="BN77" s="17"/>
      <c r="BO77" s="17"/>
      <c r="BP77" s="17"/>
      <c r="BQ77" s="17"/>
      <c r="BR77" s="17"/>
      <c r="BS77" s="17" t="s">
        <v>127</v>
      </c>
      <c r="BT77" s="17"/>
      <c r="BU77" s="17" t="s">
        <v>129</v>
      </c>
      <c r="BV77" s="17"/>
      <c r="BW77" s="17"/>
      <c r="BX77" s="13" t="s">
        <v>1835</v>
      </c>
      <c r="BY77" s="13" t="s">
        <v>1715</v>
      </c>
      <c r="DA77" s="13" t="s">
        <v>10348</v>
      </c>
      <c r="DB77" s="13" t="s">
        <v>10348</v>
      </c>
    </row>
    <row r="78" spans="1:106" s="13" customFormat="1" ht="12.75" customHeight="1" x14ac:dyDescent="0.2">
      <c r="A78" s="13" t="s">
        <v>102</v>
      </c>
      <c r="B78" s="13" t="s">
        <v>103</v>
      </c>
      <c r="D78" s="13" t="s">
        <v>104</v>
      </c>
      <c r="E78" s="13" t="s">
        <v>105</v>
      </c>
      <c r="F78" s="13" t="s">
        <v>104</v>
      </c>
      <c r="G78" s="13" t="s">
        <v>105</v>
      </c>
      <c r="H78" s="13" t="s">
        <v>227</v>
      </c>
      <c r="J78" s="13" t="s">
        <v>106</v>
      </c>
      <c r="W78" s="13">
        <v>142</v>
      </c>
      <c r="X78" s="13">
        <v>142</v>
      </c>
      <c r="Y78" s="13" t="s">
        <v>107</v>
      </c>
      <c r="Z78" s="13" t="s">
        <v>108</v>
      </c>
      <c r="AA78" s="13" t="s">
        <v>107</v>
      </c>
      <c r="AB78" s="13" t="s">
        <v>1836</v>
      </c>
      <c r="AC78" s="13" t="s">
        <v>1836</v>
      </c>
      <c r="AD78" s="13" t="s">
        <v>1836</v>
      </c>
      <c r="AE78" s="14" t="s">
        <v>112</v>
      </c>
      <c r="AF78" s="13" t="s">
        <v>1836</v>
      </c>
      <c r="AG78" s="13" t="s">
        <v>1836</v>
      </c>
      <c r="AH78" s="13" t="s">
        <v>1837</v>
      </c>
      <c r="AL78" s="13" t="s">
        <v>1792</v>
      </c>
      <c r="AN78" s="13">
        <v>329</v>
      </c>
      <c r="AO78" s="13" t="s">
        <v>1838</v>
      </c>
      <c r="AQ78" s="13" t="s">
        <v>1836</v>
      </c>
      <c r="AR78" s="13" t="s">
        <v>1836</v>
      </c>
      <c r="AS78" s="13" t="s">
        <v>116</v>
      </c>
      <c r="AT78" s="13" t="s">
        <v>1794</v>
      </c>
      <c r="AU78" s="13" t="s">
        <v>1689</v>
      </c>
      <c r="AV78" s="14" t="s">
        <v>1690</v>
      </c>
      <c r="AW78" s="13" t="s">
        <v>1691</v>
      </c>
      <c r="AX78" s="15" t="s">
        <v>1692</v>
      </c>
      <c r="AY78" s="33" t="s">
        <v>1839</v>
      </c>
      <c r="AZ78" s="17" t="s">
        <v>1840</v>
      </c>
      <c r="BA78" s="17" t="s">
        <v>1840</v>
      </c>
      <c r="BB78" s="17" t="s">
        <v>1841</v>
      </c>
      <c r="BC78" s="17" t="s">
        <v>1842</v>
      </c>
      <c r="BD78" s="27">
        <f t="shared" si="2"/>
        <v>58</v>
      </c>
      <c r="BE78" s="17" t="s">
        <v>1697</v>
      </c>
      <c r="BF78" s="17" t="s">
        <v>534</v>
      </c>
      <c r="BG78" s="17" t="s">
        <v>1698</v>
      </c>
      <c r="BH78" s="17"/>
      <c r="BI78" s="17"/>
      <c r="BJ78" s="17" t="s">
        <v>1843</v>
      </c>
      <c r="BK78" s="17"/>
      <c r="BL78" s="17"/>
      <c r="BM78" s="17"/>
      <c r="BN78" s="17"/>
      <c r="BO78" s="17" t="s">
        <v>1844</v>
      </c>
      <c r="BP78" s="17"/>
      <c r="BQ78" s="17"/>
      <c r="BR78" s="17"/>
      <c r="BS78" s="17" t="s">
        <v>127</v>
      </c>
      <c r="BT78" s="17"/>
      <c r="BU78" s="17" t="s">
        <v>129</v>
      </c>
      <c r="BV78" s="17"/>
      <c r="BW78" s="17"/>
      <c r="BX78" s="13" t="s">
        <v>1845</v>
      </c>
      <c r="BY78" s="13" t="s">
        <v>1715</v>
      </c>
      <c r="DA78" s="13" t="s">
        <v>10348</v>
      </c>
      <c r="DB78" s="13" t="s">
        <v>10348</v>
      </c>
    </row>
    <row r="79" spans="1:106" s="13" customFormat="1" ht="12.75" customHeight="1" x14ac:dyDescent="0.2">
      <c r="A79" s="13" t="s">
        <v>102</v>
      </c>
      <c r="B79" s="13" t="s">
        <v>103</v>
      </c>
      <c r="D79" s="13" t="s">
        <v>104</v>
      </c>
      <c r="E79" s="13" t="s">
        <v>105</v>
      </c>
      <c r="F79" s="13" t="s">
        <v>104</v>
      </c>
      <c r="G79" s="13" t="s">
        <v>105</v>
      </c>
      <c r="H79" s="13" t="s">
        <v>227</v>
      </c>
      <c r="J79" s="13" t="s">
        <v>106</v>
      </c>
      <c r="W79" s="13">
        <v>143</v>
      </c>
      <c r="X79" s="13">
        <v>143</v>
      </c>
      <c r="Y79" s="13" t="s">
        <v>107</v>
      </c>
      <c r="Z79" s="13" t="s">
        <v>108</v>
      </c>
      <c r="AA79" s="13" t="s">
        <v>107</v>
      </c>
      <c r="AB79" s="13" t="s">
        <v>1846</v>
      </c>
      <c r="AC79" s="13" t="s">
        <v>1846</v>
      </c>
      <c r="AD79" s="13" t="s">
        <v>1846</v>
      </c>
      <c r="AE79" s="14" t="s">
        <v>112</v>
      </c>
      <c r="AF79" s="13" t="s">
        <v>1846</v>
      </c>
      <c r="AG79" s="13" t="s">
        <v>1846</v>
      </c>
      <c r="AH79" s="13" t="s">
        <v>1847</v>
      </c>
      <c r="AL79" s="13" t="s">
        <v>1848</v>
      </c>
      <c r="AN79" s="13">
        <v>329</v>
      </c>
      <c r="AO79" s="13" t="s">
        <v>1849</v>
      </c>
      <c r="AQ79" s="13" t="s">
        <v>1846</v>
      </c>
      <c r="AR79" s="13" t="s">
        <v>1846</v>
      </c>
      <c r="AS79" s="13" t="s">
        <v>116</v>
      </c>
      <c r="AT79" s="13" t="s">
        <v>1850</v>
      </c>
      <c r="AU79" s="13" t="s">
        <v>583</v>
      </c>
      <c r="AV79" s="14" t="s">
        <v>784</v>
      </c>
      <c r="AW79" s="13" t="s">
        <v>1851</v>
      </c>
      <c r="AX79" s="15" t="s">
        <v>1852</v>
      </c>
      <c r="AY79" s="21" t="s">
        <v>1853</v>
      </c>
      <c r="AZ79" s="17" t="s">
        <v>1854</v>
      </c>
      <c r="BA79" s="17" t="s">
        <v>1854</v>
      </c>
      <c r="BB79" s="17" t="s">
        <v>1855</v>
      </c>
      <c r="BC79" s="17" t="s">
        <v>1855</v>
      </c>
      <c r="BD79" s="27">
        <f t="shared" si="2"/>
        <v>50</v>
      </c>
      <c r="BE79" s="17" t="s">
        <v>573</v>
      </c>
      <c r="BF79" s="17" t="s">
        <v>789</v>
      </c>
      <c r="BG79" s="17" t="s">
        <v>614</v>
      </c>
      <c r="BH79" s="17" t="s">
        <v>1856</v>
      </c>
      <c r="BI79" s="17"/>
      <c r="BJ79" s="17"/>
      <c r="BK79" s="17"/>
      <c r="BL79" s="17"/>
      <c r="BM79" s="17"/>
      <c r="BN79" s="17"/>
      <c r="BO79" s="17" t="s">
        <v>1857</v>
      </c>
      <c r="BP79" s="17"/>
      <c r="BQ79" s="17"/>
      <c r="BR79" s="17"/>
      <c r="BS79" s="17" t="s">
        <v>127</v>
      </c>
      <c r="BT79" s="17"/>
      <c r="BU79" s="17" t="s">
        <v>129</v>
      </c>
      <c r="BV79" s="17"/>
      <c r="BW79" s="17"/>
      <c r="BX79" s="13" t="s">
        <v>1858</v>
      </c>
      <c r="BY79" s="13" t="s">
        <v>1859</v>
      </c>
      <c r="DA79" s="13" t="s">
        <v>10348</v>
      </c>
      <c r="DB79" s="13" t="s">
        <v>10348</v>
      </c>
    </row>
    <row r="80" spans="1:106" s="13" customFormat="1" ht="12.75" customHeight="1" x14ac:dyDescent="0.2">
      <c r="A80" s="13" t="s">
        <v>102</v>
      </c>
      <c r="B80" s="13" t="s">
        <v>103</v>
      </c>
      <c r="D80" s="13" t="s">
        <v>104</v>
      </c>
      <c r="E80" s="13" t="s">
        <v>105</v>
      </c>
      <c r="F80" s="13" t="s">
        <v>104</v>
      </c>
      <c r="G80" s="13" t="s">
        <v>105</v>
      </c>
      <c r="H80" s="13" t="s">
        <v>227</v>
      </c>
      <c r="J80" s="13" t="s">
        <v>106</v>
      </c>
      <c r="W80" s="13">
        <v>144</v>
      </c>
      <c r="X80" s="13">
        <v>144</v>
      </c>
      <c r="Y80" s="13" t="s">
        <v>107</v>
      </c>
      <c r="Z80" s="13" t="s">
        <v>108</v>
      </c>
      <c r="AA80" s="13" t="s">
        <v>107</v>
      </c>
      <c r="AB80" s="13" t="s">
        <v>1860</v>
      </c>
      <c r="AC80" s="13" t="s">
        <v>1860</v>
      </c>
      <c r="AD80" s="13" t="s">
        <v>1860</v>
      </c>
      <c r="AE80" s="14" t="s">
        <v>112</v>
      </c>
      <c r="AF80" s="13" t="s">
        <v>1860</v>
      </c>
      <c r="AG80" s="13" t="s">
        <v>1860</v>
      </c>
      <c r="AH80" s="13" t="s">
        <v>1861</v>
      </c>
      <c r="AL80" s="13" t="s">
        <v>1862</v>
      </c>
      <c r="AN80" s="13">
        <v>329</v>
      </c>
      <c r="AO80" s="13" t="s">
        <v>1863</v>
      </c>
      <c r="AQ80" s="13" t="s">
        <v>1860</v>
      </c>
      <c r="AR80" s="13" t="s">
        <v>1860</v>
      </c>
      <c r="AS80" s="13" t="s">
        <v>116</v>
      </c>
      <c r="AT80" s="13" t="s">
        <v>1864</v>
      </c>
      <c r="AU80" s="13" t="s">
        <v>1862</v>
      </c>
      <c r="AV80" s="14" t="s">
        <v>1399</v>
      </c>
      <c r="AY80" s="21" t="s">
        <v>1865</v>
      </c>
      <c r="AZ80" s="18" t="s">
        <v>1866</v>
      </c>
      <c r="BA80" s="18" t="s">
        <v>1866</v>
      </c>
      <c r="BB80" s="18" t="s">
        <v>1867</v>
      </c>
      <c r="BC80" s="18" t="s">
        <v>1868</v>
      </c>
      <c r="BD80" s="27">
        <f t="shared" si="2"/>
        <v>60</v>
      </c>
      <c r="BE80" s="18" t="s">
        <v>242</v>
      </c>
      <c r="BF80" s="18" t="s">
        <v>1404</v>
      </c>
      <c r="BG80" s="17"/>
      <c r="BH80" s="17" t="s">
        <v>1869</v>
      </c>
      <c r="BI80" s="17"/>
      <c r="BJ80" s="17" t="s">
        <v>1444</v>
      </c>
      <c r="BK80" s="17"/>
      <c r="BL80" s="17"/>
      <c r="BM80" s="17"/>
      <c r="BN80" s="17"/>
      <c r="BO80" s="18" t="s">
        <v>1870</v>
      </c>
      <c r="BP80" s="17" t="s">
        <v>260</v>
      </c>
      <c r="BQ80" s="17"/>
      <c r="BR80" s="17"/>
      <c r="BS80" s="17" t="s">
        <v>127</v>
      </c>
      <c r="BT80" s="17"/>
      <c r="BU80" s="17" t="s">
        <v>129</v>
      </c>
      <c r="BV80" s="17"/>
      <c r="BW80" s="17"/>
      <c r="BX80" s="13" t="s">
        <v>1871</v>
      </c>
      <c r="BY80" s="13" t="s">
        <v>1871</v>
      </c>
      <c r="DA80" s="13" t="s">
        <v>10348</v>
      </c>
      <c r="DB80" s="13" t="s">
        <v>10348</v>
      </c>
    </row>
    <row r="81" spans="1:106" s="13" customFormat="1" ht="12.75" customHeight="1" x14ac:dyDescent="0.2">
      <c r="A81" s="13" t="s">
        <v>102</v>
      </c>
      <c r="B81" s="13" t="s">
        <v>103</v>
      </c>
      <c r="D81" s="13" t="s">
        <v>104</v>
      </c>
      <c r="E81" s="13" t="s">
        <v>105</v>
      </c>
      <c r="F81" s="13" t="s">
        <v>104</v>
      </c>
      <c r="G81" s="13" t="s">
        <v>105</v>
      </c>
      <c r="H81" s="13" t="s">
        <v>227</v>
      </c>
      <c r="J81" s="13" t="s">
        <v>106</v>
      </c>
      <c r="W81" s="13">
        <v>145</v>
      </c>
      <c r="X81" s="13">
        <v>145</v>
      </c>
      <c r="Y81" s="13" t="s">
        <v>107</v>
      </c>
      <c r="Z81" s="13" t="s">
        <v>108</v>
      </c>
      <c r="AA81" s="13" t="s">
        <v>107</v>
      </c>
      <c r="AB81" s="13" t="s">
        <v>1872</v>
      </c>
      <c r="AC81" s="13" t="s">
        <v>1872</v>
      </c>
      <c r="AD81" s="13" t="s">
        <v>1872</v>
      </c>
      <c r="AE81" s="14" t="s">
        <v>112</v>
      </c>
      <c r="AF81" s="13" t="s">
        <v>1872</v>
      </c>
      <c r="AG81" s="13" t="s">
        <v>1872</v>
      </c>
      <c r="AH81" s="13" t="s">
        <v>1873</v>
      </c>
      <c r="AL81" s="13" t="s">
        <v>1874</v>
      </c>
      <c r="AN81" s="13">
        <v>329</v>
      </c>
      <c r="AO81" s="13" t="s">
        <v>1875</v>
      </c>
      <c r="AQ81" s="13" t="s">
        <v>1872</v>
      </c>
      <c r="AR81" s="13" t="s">
        <v>1872</v>
      </c>
      <c r="AS81" s="13" t="s">
        <v>116</v>
      </c>
      <c r="AT81" s="13" t="s">
        <v>1876</v>
      </c>
      <c r="AU81" s="13" t="s">
        <v>1876</v>
      </c>
      <c r="AV81" s="14" t="s">
        <v>1877</v>
      </c>
      <c r="AY81" s="21" t="s">
        <v>1878</v>
      </c>
      <c r="AZ81" s="18" t="s">
        <v>1879</v>
      </c>
      <c r="BA81" s="18" t="s">
        <v>1879</v>
      </c>
      <c r="BB81" s="18" t="s">
        <v>1880</v>
      </c>
      <c r="BC81" s="18" t="s">
        <v>1881</v>
      </c>
      <c r="BD81" s="27">
        <f t="shared" si="2"/>
        <v>58</v>
      </c>
      <c r="BE81" s="18" t="s">
        <v>1882</v>
      </c>
      <c r="BF81" s="18" t="s">
        <v>1883</v>
      </c>
      <c r="BG81" s="17"/>
      <c r="BH81" s="17"/>
      <c r="BI81" s="17"/>
      <c r="BJ81" s="17"/>
      <c r="BK81" s="17" t="s">
        <v>210</v>
      </c>
      <c r="BL81" s="17" t="s">
        <v>1884</v>
      </c>
      <c r="BM81" s="17"/>
      <c r="BN81" s="17"/>
      <c r="BO81" s="17" t="s">
        <v>1885</v>
      </c>
      <c r="BP81" s="17"/>
      <c r="BQ81" s="17"/>
      <c r="BR81" s="17"/>
      <c r="BS81" s="17" t="s">
        <v>127</v>
      </c>
      <c r="BT81" s="17" t="s">
        <v>1886</v>
      </c>
      <c r="BU81" s="17" t="s">
        <v>129</v>
      </c>
      <c r="BV81" s="17"/>
      <c r="BW81" s="17"/>
      <c r="BX81" s="13" t="s">
        <v>1813</v>
      </c>
      <c r="BY81" s="13" t="s">
        <v>1887</v>
      </c>
      <c r="DA81" s="13" t="s">
        <v>10348</v>
      </c>
      <c r="DB81" s="13" t="s">
        <v>10348</v>
      </c>
    </row>
    <row r="82" spans="1:106" s="13" customFormat="1" ht="12.75" customHeight="1" x14ac:dyDescent="0.2">
      <c r="A82" s="13" t="s">
        <v>102</v>
      </c>
      <c r="B82" s="13" t="s">
        <v>103</v>
      </c>
      <c r="D82" s="13" t="s">
        <v>104</v>
      </c>
      <c r="E82" s="13" t="s">
        <v>105</v>
      </c>
      <c r="F82" s="13" t="s">
        <v>104</v>
      </c>
      <c r="G82" s="13" t="s">
        <v>105</v>
      </c>
      <c r="H82" s="13" t="s">
        <v>227</v>
      </c>
      <c r="J82" s="13" t="s">
        <v>106</v>
      </c>
      <c r="W82" s="13">
        <v>146</v>
      </c>
      <c r="X82" s="13">
        <v>146</v>
      </c>
      <c r="Y82" s="13" t="s">
        <v>107</v>
      </c>
      <c r="Z82" s="13" t="s">
        <v>108</v>
      </c>
      <c r="AA82" s="13" t="s">
        <v>107</v>
      </c>
      <c r="AB82" s="13" t="s">
        <v>1888</v>
      </c>
      <c r="AC82" s="13" t="s">
        <v>1888</v>
      </c>
      <c r="AD82" s="13" t="s">
        <v>1888</v>
      </c>
      <c r="AE82" s="14" t="s">
        <v>112</v>
      </c>
      <c r="AF82" s="13" t="s">
        <v>1888</v>
      </c>
      <c r="AG82" s="13" t="s">
        <v>1888</v>
      </c>
      <c r="AH82" s="13" t="s">
        <v>1889</v>
      </c>
      <c r="AL82" s="13" t="s">
        <v>1890</v>
      </c>
      <c r="AN82" s="13">
        <v>329</v>
      </c>
      <c r="AO82" s="13" t="s">
        <v>1891</v>
      </c>
      <c r="AQ82" s="13" t="s">
        <v>1888</v>
      </c>
      <c r="AR82" s="13" t="s">
        <v>1888</v>
      </c>
      <c r="AS82" s="13" t="s">
        <v>116</v>
      </c>
      <c r="AT82" s="13" t="s">
        <v>1876</v>
      </c>
      <c r="AU82" s="13" t="s">
        <v>1876</v>
      </c>
      <c r="AV82" s="14" t="s">
        <v>1877</v>
      </c>
      <c r="AY82" s="21" t="s">
        <v>1892</v>
      </c>
      <c r="AZ82" s="18" t="s">
        <v>1893</v>
      </c>
      <c r="BA82" s="18" t="s">
        <v>1893</v>
      </c>
      <c r="BB82" s="18" t="s">
        <v>1894</v>
      </c>
      <c r="BC82" s="18" t="s">
        <v>1895</v>
      </c>
      <c r="BD82" s="27">
        <f t="shared" si="2"/>
        <v>60</v>
      </c>
      <c r="BE82" s="18" t="s">
        <v>1882</v>
      </c>
      <c r="BF82" s="18" t="s">
        <v>1883</v>
      </c>
      <c r="BG82" s="17"/>
      <c r="BH82" s="17"/>
      <c r="BI82" s="17"/>
      <c r="BJ82" s="17"/>
      <c r="BK82" s="17" t="s">
        <v>210</v>
      </c>
      <c r="BL82" s="17" t="s">
        <v>1884</v>
      </c>
      <c r="BM82" s="17"/>
      <c r="BN82" s="17"/>
      <c r="BO82" s="17" t="s">
        <v>1896</v>
      </c>
      <c r="BP82" s="17"/>
      <c r="BQ82" s="17"/>
      <c r="BR82" s="17"/>
      <c r="BS82" s="17" t="s">
        <v>127</v>
      </c>
      <c r="BT82" s="17" t="s">
        <v>1886</v>
      </c>
      <c r="BU82" s="17" t="s">
        <v>129</v>
      </c>
      <c r="BV82" s="17"/>
      <c r="BW82" s="17"/>
      <c r="BX82" s="13" t="s">
        <v>1813</v>
      </c>
      <c r="BY82" s="13" t="s">
        <v>1897</v>
      </c>
      <c r="DA82" s="13" t="s">
        <v>10348</v>
      </c>
      <c r="DB82" s="13" t="s">
        <v>10348</v>
      </c>
    </row>
    <row r="83" spans="1:106" s="13" customFormat="1" ht="12.75" customHeight="1" x14ac:dyDescent="0.2">
      <c r="A83" s="13" t="s">
        <v>102</v>
      </c>
      <c r="B83" s="13" t="s">
        <v>103</v>
      </c>
      <c r="D83" s="13" t="s">
        <v>104</v>
      </c>
      <c r="E83" s="13" t="s">
        <v>105</v>
      </c>
      <c r="F83" s="13" t="s">
        <v>104</v>
      </c>
      <c r="G83" s="13" t="s">
        <v>105</v>
      </c>
      <c r="H83" s="13" t="s">
        <v>227</v>
      </c>
      <c r="J83" s="13" t="s">
        <v>106</v>
      </c>
      <c r="W83" s="13">
        <v>147</v>
      </c>
      <c r="X83" s="13">
        <v>147</v>
      </c>
      <c r="Y83" s="13" t="s">
        <v>107</v>
      </c>
      <c r="Z83" s="13" t="s">
        <v>108</v>
      </c>
      <c r="AA83" s="13" t="s">
        <v>107</v>
      </c>
      <c r="AB83" s="13" t="s">
        <v>1898</v>
      </c>
      <c r="AC83" s="13" t="s">
        <v>1898</v>
      </c>
      <c r="AD83" s="13" t="s">
        <v>1898</v>
      </c>
      <c r="AE83" s="14" t="s">
        <v>112</v>
      </c>
      <c r="AF83" s="13" t="s">
        <v>1898</v>
      </c>
      <c r="AG83" s="13" t="s">
        <v>1898</v>
      </c>
      <c r="AH83" s="13" t="s">
        <v>1899</v>
      </c>
      <c r="AL83" s="13" t="s">
        <v>1900</v>
      </c>
      <c r="AN83" s="13">
        <v>329</v>
      </c>
      <c r="AO83" s="13" t="s">
        <v>1901</v>
      </c>
      <c r="AQ83" s="13" t="s">
        <v>1898</v>
      </c>
      <c r="AR83" s="13" t="s">
        <v>1898</v>
      </c>
      <c r="AS83" s="13" t="s">
        <v>116</v>
      </c>
      <c r="AT83" s="13" t="s">
        <v>1876</v>
      </c>
      <c r="AU83" s="13" t="s">
        <v>1876</v>
      </c>
      <c r="AV83" s="14" t="s">
        <v>1877</v>
      </c>
      <c r="AY83" s="21" t="s">
        <v>1902</v>
      </c>
      <c r="AZ83" s="18" t="s">
        <v>1903</v>
      </c>
      <c r="BA83" s="18" t="s">
        <v>1903</v>
      </c>
      <c r="BB83" s="18" t="s">
        <v>1904</v>
      </c>
      <c r="BC83" s="18" t="s">
        <v>1905</v>
      </c>
      <c r="BD83" s="27">
        <f t="shared" si="2"/>
        <v>56</v>
      </c>
      <c r="BE83" s="18" t="s">
        <v>1882</v>
      </c>
      <c r="BF83" s="18" t="s">
        <v>1883</v>
      </c>
      <c r="BG83" s="17"/>
      <c r="BH83" s="17"/>
      <c r="BI83" s="17"/>
      <c r="BJ83" s="17"/>
      <c r="BK83" s="17" t="s">
        <v>210</v>
      </c>
      <c r="BL83" s="17" t="s">
        <v>1884</v>
      </c>
      <c r="BM83" s="17"/>
      <c r="BN83" s="17"/>
      <c r="BO83" s="17" t="s">
        <v>1906</v>
      </c>
      <c r="BP83" s="17"/>
      <c r="BQ83" s="17"/>
      <c r="BR83" s="17"/>
      <c r="BS83" s="17" t="s">
        <v>127</v>
      </c>
      <c r="BT83" s="17" t="s">
        <v>1886</v>
      </c>
      <c r="BU83" s="17" t="s">
        <v>129</v>
      </c>
      <c r="BV83" s="17"/>
      <c r="BW83" s="17"/>
      <c r="BX83" s="13" t="s">
        <v>1813</v>
      </c>
      <c r="BY83" s="13" t="s">
        <v>1897</v>
      </c>
      <c r="DA83" s="13" t="s">
        <v>10348</v>
      </c>
      <c r="DB83" s="13" t="s">
        <v>10348</v>
      </c>
    </row>
    <row r="84" spans="1:106" s="13" customFormat="1" ht="12.75" customHeight="1" x14ac:dyDescent="0.2">
      <c r="A84" s="13" t="s">
        <v>102</v>
      </c>
      <c r="B84" s="13" t="s">
        <v>103</v>
      </c>
      <c r="D84" s="13" t="s">
        <v>104</v>
      </c>
      <c r="E84" s="13" t="s">
        <v>105</v>
      </c>
      <c r="F84" s="13" t="s">
        <v>104</v>
      </c>
      <c r="G84" s="13" t="s">
        <v>105</v>
      </c>
      <c r="H84" s="13" t="s">
        <v>227</v>
      </c>
      <c r="J84" s="13" t="s">
        <v>106</v>
      </c>
      <c r="W84" s="13">
        <v>148</v>
      </c>
      <c r="X84" s="13">
        <v>148</v>
      </c>
      <c r="Y84" s="13" t="s">
        <v>107</v>
      </c>
      <c r="Z84" s="13" t="s">
        <v>108</v>
      </c>
      <c r="AA84" s="13" t="s">
        <v>107</v>
      </c>
      <c r="AB84" s="13" t="s">
        <v>1907</v>
      </c>
      <c r="AC84" s="13" t="s">
        <v>1907</v>
      </c>
      <c r="AD84" s="13" t="s">
        <v>1907</v>
      </c>
      <c r="AE84" s="14" t="s">
        <v>112</v>
      </c>
      <c r="AF84" s="13" t="s">
        <v>1907</v>
      </c>
      <c r="AG84" s="13" t="s">
        <v>1907</v>
      </c>
      <c r="AH84" s="13" t="s">
        <v>1908</v>
      </c>
      <c r="AL84" s="13" t="s">
        <v>1909</v>
      </c>
      <c r="AN84" s="13">
        <v>329</v>
      </c>
      <c r="AO84" s="13" t="s">
        <v>1910</v>
      </c>
      <c r="AQ84" s="13" t="s">
        <v>1907</v>
      </c>
      <c r="AR84" s="13" t="s">
        <v>1907</v>
      </c>
      <c r="AS84" s="13" t="s">
        <v>116</v>
      </c>
      <c r="AT84" s="13" t="s">
        <v>1876</v>
      </c>
      <c r="AU84" s="13" t="s">
        <v>1876</v>
      </c>
      <c r="AV84" s="14" t="s">
        <v>1877</v>
      </c>
      <c r="AY84" s="21" t="s">
        <v>1911</v>
      </c>
      <c r="AZ84" s="18" t="s">
        <v>1912</v>
      </c>
      <c r="BA84" s="18" t="s">
        <v>1912</v>
      </c>
      <c r="BB84" s="18" t="s">
        <v>1913</v>
      </c>
      <c r="BC84" s="18" t="s">
        <v>1914</v>
      </c>
      <c r="BD84" s="27">
        <f t="shared" si="2"/>
        <v>54</v>
      </c>
      <c r="BE84" s="18" t="s">
        <v>1882</v>
      </c>
      <c r="BF84" s="18" t="s">
        <v>1883</v>
      </c>
      <c r="BG84" s="17"/>
      <c r="BH84" s="17"/>
      <c r="BI84" s="17"/>
      <c r="BJ84" s="17" t="s">
        <v>1915</v>
      </c>
      <c r="BK84" s="17" t="s">
        <v>210</v>
      </c>
      <c r="BL84" s="17" t="s">
        <v>1884</v>
      </c>
      <c r="BM84" s="17"/>
      <c r="BN84" s="17"/>
      <c r="BO84" s="17" t="s">
        <v>1916</v>
      </c>
      <c r="BP84" s="17"/>
      <c r="BQ84" s="17"/>
      <c r="BR84" s="17"/>
      <c r="BS84" s="17" t="s">
        <v>127</v>
      </c>
      <c r="BT84" s="17" t="s">
        <v>1886</v>
      </c>
      <c r="BU84" s="17" t="s">
        <v>129</v>
      </c>
      <c r="BV84" s="17"/>
      <c r="BW84" s="17"/>
      <c r="BX84" s="13" t="s">
        <v>1813</v>
      </c>
      <c r="BY84" s="13" t="s">
        <v>1897</v>
      </c>
      <c r="DA84" s="13" t="s">
        <v>10348</v>
      </c>
      <c r="DB84" s="13" t="s">
        <v>10348</v>
      </c>
    </row>
    <row r="85" spans="1:106" s="13" customFormat="1" ht="12.75" customHeight="1" x14ac:dyDescent="0.2">
      <c r="A85" s="13" t="s">
        <v>102</v>
      </c>
      <c r="B85" s="13" t="s">
        <v>103</v>
      </c>
      <c r="D85" s="13" t="s">
        <v>104</v>
      </c>
      <c r="E85" s="13" t="s">
        <v>105</v>
      </c>
      <c r="F85" s="13" t="s">
        <v>104</v>
      </c>
      <c r="G85" s="13" t="s">
        <v>105</v>
      </c>
      <c r="H85" s="13" t="s">
        <v>227</v>
      </c>
      <c r="J85" s="13" t="s">
        <v>106</v>
      </c>
      <c r="W85" s="13">
        <v>149</v>
      </c>
      <c r="X85" s="13">
        <v>149</v>
      </c>
      <c r="Y85" s="13" t="s">
        <v>107</v>
      </c>
      <c r="Z85" s="13" t="s">
        <v>108</v>
      </c>
      <c r="AA85" s="13" t="s">
        <v>107</v>
      </c>
      <c r="AB85" s="13" t="s">
        <v>1917</v>
      </c>
      <c r="AC85" s="13" t="s">
        <v>1917</v>
      </c>
      <c r="AD85" s="13" t="s">
        <v>1917</v>
      </c>
      <c r="AE85" s="14" t="s">
        <v>112</v>
      </c>
      <c r="AF85" s="13" t="s">
        <v>1917</v>
      </c>
      <c r="AG85" s="13" t="s">
        <v>1917</v>
      </c>
      <c r="AH85" s="13" t="s">
        <v>1918</v>
      </c>
      <c r="AL85" s="13" t="s">
        <v>1919</v>
      </c>
      <c r="AN85" s="13">
        <v>329</v>
      </c>
      <c r="AO85" s="13" t="s">
        <v>1920</v>
      </c>
      <c r="AQ85" s="13" t="s">
        <v>1917</v>
      </c>
      <c r="AR85" s="13" t="s">
        <v>1917</v>
      </c>
      <c r="AS85" s="13" t="s">
        <v>116</v>
      </c>
      <c r="AT85" s="13" t="s">
        <v>1876</v>
      </c>
      <c r="AU85" s="13" t="s">
        <v>1876</v>
      </c>
      <c r="AV85" s="14" t="s">
        <v>1877</v>
      </c>
      <c r="AY85" s="21" t="s">
        <v>1921</v>
      </c>
      <c r="AZ85" s="18" t="s">
        <v>1903</v>
      </c>
      <c r="BA85" s="18" t="s">
        <v>1903</v>
      </c>
      <c r="BB85" s="18" t="s">
        <v>1904</v>
      </c>
      <c r="BC85" s="18" t="s">
        <v>1922</v>
      </c>
      <c r="BD85" s="27">
        <f t="shared" si="2"/>
        <v>56</v>
      </c>
      <c r="BE85" s="18" t="s">
        <v>1882</v>
      </c>
      <c r="BF85" s="18" t="s">
        <v>1883</v>
      </c>
      <c r="BG85" s="17"/>
      <c r="BH85" s="17"/>
      <c r="BI85" s="17"/>
      <c r="BJ85" s="17"/>
      <c r="BK85" s="17" t="s">
        <v>210</v>
      </c>
      <c r="BL85" s="17" t="s">
        <v>1884</v>
      </c>
      <c r="BM85" s="17"/>
      <c r="BN85" s="17"/>
      <c r="BO85" s="17" t="s">
        <v>1906</v>
      </c>
      <c r="BP85" s="17"/>
      <c r="BQ85" s="17"/>
      <c r="BR85" s="17"/>
      <c r="BS85" s="17" t="s">
        <v>127</v>
      </c>
      <c r="BT85" s="17" t="s">
        <v>1886</v>
      </c>
      <c r="BU85" s="17" t="s">
        <v>129</v>
      </c>
      <c r="BV85" s="17"/>
      <c r="BW85" s="17"/>
      <c r="BX85" s="13" t="s">
        <v>1813</v>
      </c>
      <c r="BY85" s="13" t="s">
        <v>1897</v>
      </c>
      <c r="DA85" s="13" t="s">
        <v>10348</v>
      </c>
      <c r="DB85" s="13" t="s">
        <v>10348</v>
      </c>
    </row>
    <row r="86" spans="1:106" s="13" customFormat="1" ht="12.75" customHeight="1" x14ac:dyDescent="0.2">
      <c r="A86" s="13" t="s">
        <v>102</v>
      </c>
      <c r="B86" s="13" t="s">
        <v>103</v>
      </c>
      <c r="D86" s="13" t="s">
        <v>104</v>
      </c>
      <c r="E86" s="13" t="s">
        <v>105</v>
      </c>
      <c r="F86" s="13" t="s">
        <v>104</v>
      </c>
      <c r="G86" s="13" t="s">
        <v>105</v>
      </c>
      <c r="H86" s="13" t="s">
        <v>227</v>
      </c>
      <c r="J86" s="13" t="s">
        <v>106</v>
      </c>
      <c r="W86" s="13">
        <v>150</v>
      </c>
      <c r="X86" s="13">
        <v>150</v>
      </c>
      <c r="Y86" s="13" t="s">
        <v>107</v>
      </c>
      <c r="Z86" s="13" t="s">
        <v>108</v>
      </c>
      <c r="AA86" s="13" t="s">
        <v>107</v>
      </c>
      <c r="AB86" s="13" t="s">
        <v>1923</v>
      </c>
      <c r="AC86" s="13" t="s">
        <v>1923</v>
      </c>
      <c r="AD86" s="13" t="s">
        <v>1923</v>
      </c>
      <c r="AE86" s="14" t="s">
        <v>112</v>
      </c>
      <c r="AF86" s="13" t="s">
        <v>1923</v>
      </c>
      <c r="AG86" s="13" t="s">
        <v>1923</v>
      </c>
      <c r="AH86" s="13" t="s">
        <v>1924</v>
      </c>
      <c r="AL86" s="13" t="s">
        <v>1925</v>
      </c>
      <c r="AN86" s="13">
        <v>329</v>
      </c>
      <c r="AO86" s="13" t="s">
        <v>1926</v>
      </c>
      <c r="AQ86" s="13" t="s">
        <v>1923</v>
      </c>
      <c r="AR86" s="13" t="s">
        <v>1923</v>
      </c>
      <c r="AS86" s="13" t="s">
        <v>116</v>
      </c>
      <c r="AT86" s="13" t="s">
        <v>1927</v>
      </c>
      <c r="AU86" s="13" t="s">
        <v>1928</v>
      </c>
      <c r="AV86" s="14" t="s">
        <v>784</v>
      </c>
      <c r="AW86" s="13" t="s">
        <v>1851</v>
      </c>
      <c r="AX86" s="15" t="s">
        <v>1852</v>
      </c>
      <c r="AY86" s="21" t="s">
        <v>1929</v>
      </c>
      <c r="AZ86" s="17" t="s">
        <v>1930</v>
      </c>
      <c r="BA86" s="17" t="s">
        <v>1930</v>
      </c>
      <c r="BB86" s="17" t="s">
        <v>1931</v>
      </c>
      <c r="BC86" s="17" t="s">
        <v>1932</v>
      </c>
      <c r="BD86" s="27">
        <f t="shared" si="2"/>
        <v>56</v>
      </c>
      <c r="BE86" s="17" t="s">
        <v>242</v>
      </c>
      <c r="BF86" s="17" t="s">
        <v>789</v>
      </c>
      <c r="BG86" s="17" t="s">
        <v>1933</v>
      </c>
      <c r="BH86" s="17"/>
      <c r="BI86" s="17"/>
      <c r="BJ86" s="17"/>
      <c r="BK86" s="17" t="s">
        <v>194</v>
      </c>
      <c r="BL86" s="17"/>
      <c r="BM86" s="17"/>
      <c r="BN86" s="17"/>
      <c r="BO86" s="17" t="s">
        <v>1934</v>
      </c>
      <c r="BP86" s="17"/>
      <c r="BQ86" s="17"/>
      <c r="BR86" s="17"/>
      <c r="BS86" s="17" t="s">
        <v>127</v>
      </c>
      <c r="BT86" s="17"/>
      <c r="BU86" s="17" t="s">
        <v>129</v>
      </c>
      <c r="BV86" s="17"/>
      <c r="BW86" s="17"/>
      <c r="BX86" s="13" t="s">
        <v>1935</v>
      </c>
      <c r="BY86" s="13" t="s">
        <v>1936</v>
      </c>
      <c r="DA86" s="13" t="s">
        <v>10348</v>
      </c>
      <c r="DB86" s="13" t="s">
        <v>10348</v>
      </c>
    </row>
    <row r="87" spans="1:106" s="13" customFormat="1" ht="12.75" customHeight="1" x14ac:dyDescent="0.2">
      <c r="A87" s="13" t="s">
        <v>102</v>
      </c>
      <c r="B87" s="13" t="s">
        <v>103</v>
      </c>
      <c r="D87" s="13" t="s">
        <v>104</v>
      </c>
      <c r="E87" s="13" t="s">
        <v>105</v>
      </c>
      <c r="F87" s="13" t="s">
        <v>104</v>
      </c>
      <c r="G87" s="13" t="s">
        <v>105</v>
      </c>
      <c r="H87" s="13" t="s">
        <v>227</v>
      </c>
      <c r="J87" s="13" t="s">
        <v>106</v>
      </c>
      <c r="W87" s="13">
        <v>151</v>
      </c>
      <c r="X87" s="13">
        <v>151</v>
      </c>
      <c r="Y87" s="13" t="s">
        <v>107</v>
      </c>
      <c r="Z87" s="13" t="s">
        <v>108</v>
      </c>
      <c r="AA87" s="13" t="s">
        <v>107</v>
      </c>
      <c r="AB87" s="13" t="s">
        <v>1937</v>
      </c>
      <c r="AC87" s="13" t="s">
        <v>1937</v>
      </c>
      <c r="AD87" s="13" t="s">
        <v>1937</v>
      </c>
      <c r="AE87" s="14" t="s">
        <v>112</v>
      </c>
      <c r="AF87" s="13" t="s">
        <v>1937</v>
      </c>
      <c r="AG87" s="13" t="s">
        <v>1937</v>
      </c>
      <c r="AH87" s="13" t="s">
        <v>1938</v>
      </c>
      <c r="AL87" s="13" t="s">
        <v>1939</v>
      </c>
      <c r="AN87" s="13">
        <v>329</v>
      </c>
      <c r="AO87" s="13" t="s">
        <v>1940</v>
      </c>
      <c r="AQ87" s="13" t="s">
        <v>1937</v>
      </c>
      <c r="AR87" s="13" t="s">
        <v>1937</v>
      </c>
      <c r="AS87" s="13" t="s">
        <v>116</v>
      </c>
      <c r="AT87" s="13" t="s">
        <v>1941</v>
      </c>
      <c r="AU87" s="13" t="s">
        <v>1942</v>
      </c>
      <c r="AV87" s="14" t="s">
        <v>1877</v>
      </c>
      <c r="AY87" s="21" t="s">
        <v>1943</v>
      </c>
      <c r="AZ87" s="18" t="s">
        <v>1944</v>
      </c>
      <c r="BA87" s="18" t="s">
        <v>1944</v>
      </c>
      <c r="BB87" s="18" t="s">
        <v>1945</v>
      </c>
      <c r="BC87" s="18" t="s">
        <v>1946</v>
      </c>
      <c r="BD87" s="27">
        <f t="shared" si="2"/>
        <v>55</v>
      </c>
      <c r="BE87" s="18" t="s">
        <v>1882</v>
      </c>
      <c r="BF87" s="18" t="s">
        <v>1947</v>
      </c>
      <c r="BG87" s="17"/>
      <c r="BH87" s="17"/>
      <c r="BI87" s="17"/>
      <c r="BJ87" s="17"/>
      <c r="BK87" s="17" t="s">
        <v>210</v>
      </c>
      <c r="BL87" s="17" t="s">
        <v>1948</v>
      </c>
      <c r="BM87" s="17"/>
      <c r="BN87" s="17"/>
      <c r="BO87" s="17" t="s">
        <v>1949</v>
      </c>
      <c r="BP87" s="17"/>
      <c r="BQ87" s="17"/>
      <c r="BR87" s="17"/>
      <c r="BS87" s="17" t="s">
        <v>127</v>
      </c>
      <c r="BT87" s="17"/>
      <c r="BU87" s="17" t="s">
        <v>129</v>
      </c>
      <c r="BV87" s="17"/>
      <c r="BW87" s="17"/>
      <c r="BX87" s="13" t="s">
        <v>212</v>
      </c>
      <c r="BY87" s="13" t="s">
        <v>1950</v>
      </c>
      <c r="DA87" s="13" t="s">
        <v>10348</v>
      </c>
      <c r="DB87" s="13" t="s">
        <v>10348</v>
      </c>
    </row>
    <row r="88" spans="1:106" s="13" customFormat="1" ht="12.75" customHeight="1" x14ac:dyDescent="0.2">
      <c r="A88" s="13" t="s">
        <v>102</v>
      </c>
      <c r="B88" s="13" t="s">
        <v>103</v>
      </c>
      <c r="D88" s="13" t="s">
        <v>104</v>
      </c>
      <c r="E88" s="13" t="s">
        <v>105</v>
      </c>
      <c r="F88" s="13" t="s">
        <v>104</v>
      </c>
      <c r="G88" s="13" t="s">
        <v>105</v>
      </c>
      <c r="H88" s="13" t="s">
        <v>227</v>
      </c>
      <c r="J88" s="13" t="s">
        <v>106</v>
      </c>
      <c r="W88" s="13">
        <v>152</v>
      </c>
      <c r="X88" s="13">
        <v>152</v>
      </c>
      <c r="Y88" s="13" t="s">
        <v>107</v>
      </c>
      <c r="Z88" s="13" t="s">
        <v>108</v>
      </c>
      <c r="AA88" s="13" t="s">
        <v>107</v>
      </c>
      <c r="AB88" s="13" t="s">
        <v>1951</v>
      </c>
      <c r="AC88" s="13" t="s">
        <v>1951</v>
      </c>
      <c r="AD88" s="13" t="s">
        <v>1951</v>
      </c>
      <c r="AE88" s="14" t="s">
        <v>112</v>
      </c>
      <c r="AF88" s="13" t="s">
        <v>1951</v>
      </c>
      <c r="AG88" s="13" t="s">
        <v>1951</v>
      </c>
      <c r="AH88" s="13" t="s">
        <v>1952</v>
      </c>
      <c r="AL88" s="13" t="s">
        <v>1953</v>
      </c>
      <c r="AN88" s="13">
        <v>329</v>
      </c>
      <c r="AO88" s="13" t="s">
        <v>1954</v>
      </c>
      <c r="AQ88" s="13" t="s">
        <v>1951</v>
      </c>
      <c r="AR88" s="13" t="s">
        <v>1951</v>
      </c>
      <c r="AS88" s="13" t="s">
        <v>116</v>
      </c>
      <c r="AT88" s="13" t="s">
        <v>1955</v>
      </c>
      <c r="AU88" s="13" t="s">
        <v>1956</v>
      </c>
      <c r="AV88" s="14" t="s">
        <v>1957</v>
      </c>
      <c r="AW88" s="13" t="s">
        <v>170</v>
      </c>
      <c r="AX88" s="15" t="s">
        <v>171</v>
      </c>
      <c r="AY88" s="21" t="s">
        <v>1958</v>
      </c>
      <c r="AZ88" s="19" t="s">
        <v>1959</v>
      </c>
      <c r="BA88" s="19" t="s">
        <v>1959</v>
      </c>
      <c r="BB88" s="19" t="s">
        <v>1960</v>
      </c>
      <c r="BC88" s="19" t="s">
        <v>1960</v>
      </c>
      <c r="BD88" s="27">
        <f t="shared" si="2"/>
        <v>48</v>
      </c>
      <c r="BE88" s="19" t="s">
        <v>1961</v>
      </c>
      <c r="BF88" s="17" t="s">
        <v>789</v>
      </c>
      <c r="BG88" s="17"/>
      <c r="BH88" s="17"/>
      <c r="BI88" s="17"/>
      <c r="BJ88" s="17"/>
      <c r="BK88" s="17" t="s">
        <v>194</v>
      </c>
      <c r="BL88" s="17"/>
      <c r="BM88" s="17"/>
      <c r="BN88" s="17"/>
      <c r="BO88" s="17" t="s">
        <v>1962</v>
      </c>
      <c r="BP88" s="17"/>
      <c r="BQ88" s="17"/>
      <c r="BR88" s="17"/>
      <c r="BS88" s="17" t="s">
        <v>127</v>
      </c>
      <c r="BT88" s="17"/>
      <c r="BU88" s="17" t="s">
        <v>129</v>
      </c>
      <c r="BV88" s="17"/>
      <c r="BW88" s="17"/>
      <c r="BX88" s="13" t="s">
        <v>212</v>
      </c>
      <c r="BY88" s="13" t="s">
        <v>1897</v>
      </c>
      <c r="DA88" s="13" t="s">
        <v>10348</v>
      </c>
      <c r="DB88" s="13" t="s">
        <v>10348</v>
      </c>
    </row>
    <row r="89" spans="1:106" s="13" customFormat="1" ht="12.75" customHeight="1" x14ac:dyDescent="0.2">
      <c r="A89" s="13" t="s">
        <v>102</v>
      </c>
      <c r="B89" s="13" t="s">
        <v>103</v>
      </c>
      <c r="D89" s="13" t="s">
        <v>104</v>
      </c>
      <c r="E89" s="13" t="s">
        <v>105</v>
      </c>
      <c r="F89" s="13" t="s">
        <v>104</v>
      </c>
      <c r="G89" s="13" t="s">
        <v>105</v>
      </c>
      <c r="H89" s="13" t="s">
        <v>227</v>
      </c>
      <c r="J89" s="13" t="s">
        <v>106</v>
      </c>
      <c r="W89" s="13">
        <v>153</v>
      </c>
      <c r="X89" s="13">
        <v>153</v>
      </c>
      <c r="Y89" s="13" t="s">
        <v>107</v>
      </c>
      <c r="Z89" s="13" t="s">
        <v>108</v>
      </c>
      <c r="AA89" s="13" t="s">
        <v>107</v>
      </c>
      <c r="AB89" s="13" t="s">
        <v>1963</v>
      </c>
      <c r="AC89" s="13" t="s">
        <v>1963</v>
      </c>
      <c r="AD89" s="13" t="s">
        <v>1963</v>
      </c>
      <c r="AE89" s="14" t="s">
        <v>112</v>
      </c>
      <c r="AF89" s="13" t="s">
        <v>1963</v>
      </c>
      <c r="AG89" s="13" t="s">
        <v>1963</v>
      </c>
      <c r="AH89" s="13" t="s">
        <v>1964</v>
      </c>
      <c r="AL89" s="13" t="s">
        <v>1965</v>
      </c>
      <c r="AN89" s="13">
        <v>329</v>
      </c>
      <c r="AO89" s="13" t="s">
        <v>1966</v>
      </c>
      <c r="AQ89" s="13" t="s">
        <v>1963</v>
      </c>
      <c r="AR89" s="13" t="s">
        <v>1963</v>
      </c>
      <c r="AS89" s="13" t="s">
        <v>116</v>
      </c>
      <c r="AT89" s="13" t="s">
        <v>1967</v>
      </c>
      <c r="AU89" s="13" t="s">
        <v>1968</v>
      </c>
      <c r="AV89" s="14" t="s">
        <v>1877</v>
      </c>
      <c r="AY89" s="21" t="s">
        <v>1969</v>
      </c>
      <c r="AZ89" s="18" t="s">
        <v>1970</v>
      </c>
      <c r="BA89" s="18" t="s">
        <v>1970</v>
      </c>
      <c r="BB89" s="18" t="s">
        <v>1971</v>
      </c>
      <c r="BC89" s="18" t="s">
        <v>1972</v>
      </c>
      <c r="BD89" s="27">
        <f t="shared" si="2"/>
        <v>53</v>
      </c>
      <c r="BE89" s="18" t="s">
        <v>1882</v>
      </c>
      <c r="BF89" s="18" t="s">
        <v>1883</v>
      </c>
      <c r="BG89" s="17" t="s">
        <v>1973</v>
      </c>
      <c r="BH89" s="17"/>
      <c r="BI89" s="17"/>
      <c r="BJ89" s="17"/>
      <c r="BK89" s="17" t="s">
        <v>210</v>
      </c>
      <c r="BL89" s="17" t="s">
        <v>1948</v>
      </c>
      <c r="BM89" s="17"/>
      <c r="BN89" s="17"/>
      <c r="BO89" s="17" t="s">
        <v>1974</v>
      </c>
      <c r="BP89" s="17"/>
      <c r="BQ89" s="17"/>
      <c r="BR89" s="17"/>
      <c r="BS89" s="17" t="s">
        <v>127</v>
      </c>
      <c r="BT89" s="17"/>
      <c r="BU89" s="17" t="s">
        <v>129</v>
      </c>
      <c r="BV89" s="17"/>
      <c r="BW89" s="17"/>
      <c r="BX89" s="13" t="s">
        <v>212</v>
      </c>
      <c r="BY89" s="13" t="s">
        <v>1975</v>
      </c>
      <c r="DA89" s="13" t="s">
        <v>10348</v>
      </c>
      <c r="DB89" s="13" t="s">
        <v>10348</v>
      </c>
    </row>
    <row r="90" spans="1:106" s="13" customFormat="1" ht="12.75" customHeight="1" x14ac:dyDescent="0.2">
      <c r="A90" s="13" t="s">
        <v>102</v>
      </c>
      <c r="B90" s="13" t="s">
        <v>103</v>
      </c>
      <c r="D90" s="13" t="s">
        <v>104</v>
      </c>
      <c r="E90" s="13" t="s">
        <v>105</v>
      </c>
      <c r="F90" s="13" t="s">
        <v>104</v>
      </c>
      <c r="G90" s="13" t="s">
        <v>105</v>
      </c>
      <c r="H90" s="13" t="s">
        <v>227</v>
      </c>
      <c r="J90" s="13" t="s">
        <v>106</v>
      </c>
      <c r="W90" s="13">
        <v>154</v>
      </c>
      <c r="X90" s="13">
        <v>154</v>
      </c>
      <c r="Y90" s="13" t="s">
        <v>107</v>
      </c>
      <c r="Z90" s="13" t="s">
        <v>108</v>
      </c>
      <c r="AA90" s="13" t="s">
        <v>107</v>
      </c>
      <c r="AB90" s="13" t="s">
        <v>1976</v>
      </c>
      <c r="AC90" s="13" t="s">
        <v>1976</v>
      </c>
      <c r="AD90" s="13" t="s">
        <v>1976</v>
      </c>
      <c r="AE90" s="14" t="s">
        <v>112</v>
      </c>
      <c r="AF90" s="13" t="s">
        <v>1976</v>
      </c>
      <c r="AG90" s="13" t="s">
        <v>1976</v>
      </c>
      <c r="AH90" s="13" t="s">
        <v>1977</v>
      </c>
      <c r="AL90" s="13" t="s">
        <v>1978</v>
      </c>
      <c r="AN90" s="13">
        <v>329</v>
      </c>
      <c r="AO90" s="13" t="s">
        <v>1979</v>
      </c>
      <c r="AQ90" s="13" t="s">
        <v>1976</v>
      </c>
      <c r="AR90" s="13" t="s">
        <v>1976</v>
      </c>
      <c r="AS90" s="13" t="s">
        <v>116</v>
      </c>
      <c r="AT90" s="13" t="s">
        <v>1980</v>
      </c>
      <c r="AU90" s="13" t="s">
        <v>1980</v>
      </c>
      <c r="AV90" s="14" t="s">
        <v>1877</v>
      </c>
      <c r="AY90" s="21" t="s">
        <v>1981</v>
      </c>
      <c r="AZ90" s="18" t="s">
        <v>1982</v>
      </c>
      <c r="BA90" s="18" t="s">
        <v>1982</v>
      </c>
      <c r="BB90" s="18" t="s">
        <v>1983</v>
      </c>
      <c r="BC90" s="18" t="s">
        <v>1984</v>
      </c>
      <c r="BD90" s="27">
        <f t="shared" si="2"/>
        <v>53</v>
      </c>
      <c r="BE90" s="18" t="s">
        <v>1882</v>
      </c>
      <c r="BF90" s="18" t="s">
        <v>1883</v>
      </c>
      <c r="BG90" s="17" t="s">
        <v>1973</v>
      </c>
      <c r="BH90" s="17"/>
      <c r="BI90" s="17"/>
      <c r="BJ90" s="17"/>
      <c r="BK90" s="17" t="s">
        <v>178</v>
      </c>
      <c r="BL90" s="17" t="s">
        <v>1948</v>
      </c>
      <c r="BM90" s="17"/>
      <c r="BN90" s="17"/>
      <c r="BO90" s="17" t="s">
        <v>1985</v>
      </c>
      <c r="BP90" s="17"/>
      <c r="BQ90" s="17"/>
      <c r="BR90" s="17"/>
      <c r="BS90" s="17" t="s">
        <v>127</v>
      </c>
      <c r="BT90" s="17"/>
      <c r="BU90" s="17" t="s">
        <v>129</v>
      </c>
      <c r="BV90" s="17"/>
      <c r="BW90" s="17"/>
      <c r="BX90" s="13" t="s">
        <v>212</v>
      </c>
      <c r="BY90" s="13" t="s">
        <v>1986</v>
      </c>
      <c r="DA90" s="13" t="s">
        <v>10348</v>
      </c>
      <c r="DB90" s="13" t="s">
        <v>10348</v>
      </c>
    </row>
    <row r="91" spans="1:106" s="13" customFormat="1" ht="12.75" customHeight="1" x14ac:dyDescent="0.2">
      <c r="A91" s="13" t="s">
        <v>102</v>
      </c>
      <c r="B91" s="13" t="s">
        <v>103</v>
      </c>
      <c r="D91" s="13" t="s">
        <v>104</v>
      </c>
      <c r="E91" s="13" t="s">
        <v>105</v>
      </c>
      <c r="F91" s="13" t="s">
        <v>104</v>
      </c>
      <c r="G91" s="13" t="s">
        <v>105</v>
      </c>
      <c r="H91" s="13" t="s">
        <v>227</v>
      </c>
      <c r="J91" s="13" t="s">
        <v>106</v>
      </c>
      <c r="W91" s="13">
        <v>155</v>
      </c>
      <c r="X91" s="13">
        <v>155</v>
      </c>
      <c r="Y91" s="13" t="s">
        <v>107</v>
      </c>
      <c r="Z91" s="13" t="s">
        <v>108</v>
      </c>
      <c r="AA91" s="13" t="s">
        <v>107</v>
      </c>
      <c r="AB91" s="13" t="s">
        <v>1987</v>
      </c>
      <c r="AC91" s="13" t="s">
        <v>1987</v>
      </c>
      <c r="AD91" s="13" t="s">
        <v>1987</v>
      </c>
      <c r="AE91" s="14" t="s">
        <v>112</v>
      </c>
      <c r="AF91" s="13" t="s">
        <v>1987</v>
      </c>
      <c r="AG91" s="13" t="s">
        <v>1987</v>
      </c>
      <c r="AH91" s="13" t="s">
        <v>1988</v>
      </c>
      <c r="AL91" s="13" t="s">
        <v>1989</v>
      </c>
      <c r="AN91" s="13">
        <v>329</v>
      </c>
      <c r="AO91" s="13" t="s">
        <v>1990</v>
      </c>
      <c r="AQ91" s="13" t="s">
        <v>1987</v>
      </c>
      <c r="AR91" s="13" t="s">
        <v>1987</v>
      </c>
      <c r="AS91" s="13" t="s">
        <v>116</v>
      </c>
      <c r="AT91" s="13" t="s">
        <v>1991</v>
      </c>
      <c r="AU91" s="13" t="s">
        <v>1991</v>
      </c>
      <c r="AV91" s="14" t="s">
        <v>237</v>
      </c>
      <c r="AY91" s="21" t="s">
        <v>1992</v>
      </c>
      <c r="AZ91" s="19" t="s">
        <v>1993</v>
      </c>
      <c r="BA91" s="19" t="s">
        <v>1993</v>
      </c>
      <c r="BB91" s="19" t="s">
        <v>1994</v>
      </c>
      <c r="BC91" s="19" t="s">
        <v>1995</v>
      </c>
      <c r="BD91" s="27">
        <f t="shared" si="2"/>
        <v>55</v>
      </c>
      <c r="BE91" s="19" t="s">
        <v>242</v>
      </c>
      <c r="BF91" s="19" t="s">
        <v>243</v>
      </c>
      <c r="BG91" s="17"/>
      <c r="BH91" s="17"/>
      <c r="BI91" s="17"/>
      <c r="BJ91" s="17"/>
      <c r="BK91" s="17" t="s">
        <v>210</v>
      </c>
      <c r="BL91" s="17"/>
      <c r="BM91" s="17"/>
      <c r="BN91" s="17"/>
      <c r="BO91" s="18" t="s">
        <v>1870</v>
      </c>
      <c r="BP91" s="17" t="s">
        <v>260</v>
      </c>
      <c r="BQ91" s="17"/>
      <c r="BR91" s="17"/>
      <c r="BS91" s="17" t="s">
        <v>127</v>
      </c>
      <c r="BT91" s="17"/>
      <c r="BU91" s="17" t="s">
        <v>129</v>
      </c>
      <c r="BV91" s="17"/>
      <c r="BW91" s="17"/>
      <c r="BX91" s="13" t="s">
        <v>1996</v>
      </c>
      <c r="BY91" s="13" t="s">
        <v>1996</v>
      </c>
      <c r="DA91" s="13" t="s">
        <v>10348</v>
      </c>
      <c r="DB91" s="13" t="s">
        <v>10348</v>
      </c>
    </row>
    <row r="92" spans="1:106" s="13" customFormat="1" ht="12.75" customHeight="1" x14ac:dyDescent="0.2">
      <c r="A92" s="13" t="s">
        <v>102</v>
      </c>
      <c r="B92" s="13" t="s">
        <v>103</v>
      </c>
      <c r="D92" s="13" t="s">
        <v>104</v>
      </c>
      <c r="E92" s="13" t="s">
        <v>105</v>
      </c>
      <c r="F92" s="13" t="s">
        <v>104</v>
      </c>
      <c r="G92" s="13" t="s">
        <v>105</v>
      </c>
      <c r="H92" s="13" t="s">
        <v>227</v>
      </c>
      <c r="J92" s="13" t="s">
        <v>106</v>
      </c>
      <c r="W92" s="13">
        <v>156</v>
      </c>
      <c r="X92" s="13">
        <v>156</v>
      </c>
      <c r="Y92" s="13" t="s">
        <v>107</v>
      </c>
      <c r="Z92" s="13" t="s">
        <v>108</v>
      </c>
      <c r="AA92" s="13" t="s">
        <v>107</v>
      </c>
      <c r="AB92" s="13" t="s">
        <v>1997</v>
      </c>
      <c r="AC92" s="13" t="s">
        <v>1997</v>
      </c>
      <c r="AD92" s="13" t="s">
        <v>1997</v>
      </c>
      <c r="AE92" s="14" t="s">
        <v>112</v>
      </c>
      <c r="AF92" s="13" t="s">
        <v>1997</v>
      </c>
      <c r="AG92" s="13" t="s">
        <v>1997</v>
      </c>
      <c r="AH92" s="13" t="s">
        <v>1998</v>
      </c>
      <c r="AL92" s="13" t="s">
        <v>1999</v>
      </c>
      <c r="AN92" s="13">
        <v>329</v>
      </c>
      <c r="AO92" s="13" t="s">
        <v>2000</v>
      </c>
      <c r="AQ92" s="13" t="s">
        <v>1997</v>
      </c>
      <c r="AR92" s="13" t="s">
        <v>1997</v>
      </c>
      <c r="AS92" s="13" t="s">
        <v>116</v>
      </c>
      <c r="AT92" s="13" t="s">
        <v>2001</v>
      </c>
      <c r="AU92" s="13" t="s">
        <v>2002</v>
      </c>
      <c r="AV92" s="14" t="s">
        <v>2003</v>
      </c>
      <c r="AX92" s="39"/>
      <c r="AY92" s="21" t="s">
        <v>2004</v>
      </c>
      <c r="AZ92" s="19" t="s">
        <v>2005</v>
      </c>
      <c r="BA92" s="19" t="s">
        <v>2005</v>
      </c>
      <c r="BB92" s="19" t="s">
        <v>2006</v>
      </c>
      <c r="BC92" s="19" t="s">
        <v>2007</v>
      </c>
      <c r="BD92" s="27">
        <f t="shared" si="2"/>
        <v>59</v>
      </c>
      <c r="BE92" s="19" t="s">
        <v>2008</v>
      </c>
      <c r="BF92" s="17"/>
      <c r="BG92" s="17" t="s">
        <v>2009</v>
      </c>
      <c r="BH92" s="17"/>
      <c r="BI92" s="17"/>
      <c r="BJ92" s="17"/>
      <c r="BK92" s="17"/>
      <c r="BL92" s="17"/>
      <c r="BM92" s="17"/>
      <c r="BN92" s="17"/>
      <c r="BO92" s="17" t="s">
        <v>2010</v>
      </c>
      <c r="BP92" s="17"/>
      <c r="BQ92" s="17"/>
      <c r="BR92" s="17"/>
      <c r="BS92" s="17" t="s">
        <v>127</v>
      </c>
      <c r="BT92" s="17"/>
      <c r="BU92" s="17" t="s">
        <v>129</v>
      </c>
      <c r="BV92" s="17"/>
      <c r="BW92" s="17"/>
      <c r="BX92" s="13" t="s">
        <v>212</v>
      </c>
      <c r="BY92" s="13" t="s">
        <v>1897</v>
      </c>
      <c r="DA92" s="13" t="s">
        <v>10348</v>
      </c>
      <c r="DB92" s="13" t="s">
        <v>10348</v>
      </c>
    </row>
    <row r="93" spans="1:106" s="13" customFormat="1" ht="12.75" customHeight="1" x14ac:dyDescent="0.2">
      <c r="A93" s="13" t="s">
        <v>102</v>
      </c>
      <c r="B93" s="13" t="s">
        <v>103</v>
      </c>
      <c r="D93" s="13" t="s">
        <v>104</v>
      </c>
      <c r="E93" s="13" t="s">
        <v>105</v>
      </c>
      <c r="F93" s="13" t="s">
        <v>104</v>
      </c>
      <c r="G93" s="13" t="s">
        <v>105</v>
      </c>
      <c r="H93" s="13" t="s">
        <v>227</v>
      </c>
      <c r="J93" s="13" t="s">
        <v>106</v>
      </c>
      <c r="W93" s="13">
        <v>157</v>
      </c>
      <c r="X93" s="13">
        <v>157</v>
      </c>
      <c r="Y93" s="13" t="s">
        <v>107</v>
      </c>
      <c r="Z93" s="13" t="s">
        <v>108</v>
      </c>
      <c r="AA93" s="13" t="s">
        <v>107</v>
      </c>
      <c r="AB93" s="13" t="s">
        <v>2011</v>
      </c>
      <c r="AC93" s="13" t="s">
        <v>2011</v>
      </c>
      <c r="AD93" s="13" t="s">
        <v>2011</v>
      </c>
      <c r="AE93" s="14" t="s">
        <v>112</v>
      </c>
      <c r="AF93" s="13" t="s">
        <v>2011</v>
      </c>
      <c r="AG93" s="13" t="s">
        <v>2011</v>
      </c>
      <c r="AH93" s="13" t="s">
        <v>2012</v>
      </c>
      <c r="AL93" s="13" t="s">
        <v>2013</v>
      </c>
      <c r="AN93" s="13">
        <v>329</v>
      </c>
      <c r="AO93" s="13" t="s">
        <v>2014</v>
      </c>
      <c r="AQ93" s="13" t="s">
        <v>2011</v>
      </c>
      <c r="AR93" s="13" t="s">
        <v>2011</v>
      </c>
      <c r="AS93" s="13" t="s">
        <v>116</v>
      </c>
      <c r="AT93" s="13" t="s">
        <v>2015</v>
      </c>
      <c r="AU93" s="13" t="s">
        <v>2016</v>
      </c>
      <c r="AV93" s="14" t="s">
        <v>2017</v>
      </c>
      <c r="AX93" s="39"/>
      <c r="AY93" s="21" t="s">
        <v>2018</v>
      </c>
      <c r="AZ93" s="17" t="s">
        <v>2019</v>
      </c>
      <c r="BA93" s="17" t="s">
        <v>2019</v>
      </c>
      <c r="BB93" s="17" t="s">
        <v>2020</v>
      </c>
      <c r="BC93" s="17" t="s">
        <v>2020</v>
      </c>
      <c r="BD93" s="27">
        <f t="shared" si="2"/>
        <v>48</v>
      </c>
      <c r="BE93" s="17" t="s">
        <v>1697</v>
      </c>
      <c r="BF93" s="18" t="s">
        <v>2021</v>
      </c>
      <c r="BG93" s="17" t="s">
        <v>2022</v>
      </c>
      <c r="BH93" s="17"/>
      <c r="BI93" s="17"/>
      <c r="BJ93" s="17" t="s">
        <v>2023</v>
      </c>
      <c r="BK93" s="17"/>
      <c r="BL93" s="17"/>
      <c r="BM93" s="17"/>
      <c r="BN93" s="17"/>
      <c r="BO93" s="17"/>
      <c r="BP93" s="17"/>
      <c r="BQ93" s="17"/>
      <c r="BR93" s="17"/>
      <c r="BS93" s="17" t="s">
        <v>127</v>
      </c>
      <c r="BT93" s="17" t="s">
        <v>2024</v>
      </c>
      <c r="BU93" s="17" t="s">
        <v>129</v>
      </c>
      <c r="BV93" s="17"/>
      <c r="BW93" s="17"/>
      <c r="BX93" s="13" t="s">
        <v>2025</v>
      </c>
      <c r="BY93" s="13" t="s">
        <v>2026</v>
      </c>
      <c r="DA93" s="13" t="s">
        <v>10348</v>
      </c>
      <c r="DB93" s="13" t="s">
        <v>10348</v>
      </c>
    </row>
    <row r="94" spans="1:106" s="13" customFormat="1" ht="12.75" customHeight="1" x14ac:dyDescent="0.2">
      <c r="A94" s="13" t="s">
        <v>102</v>
      </c>
      <c r="B94" s="13" t="s">
        <v>103</v>
      </c>
      <c r="D94" s="13" t="s">
        <v>104</v>
      </c>
      <c r="E94" s="13" t="s">
        <v>105</v>
      </c>
      <c r="F94" s="13" t="s">
        <v>104</v>
      </c>
      <c r="G94" s="13" t="s">
        <v>105</v>
      </c>
      <c r="H94" s="13" t="s">
        <v>227</v>
      </c>
      <c r="J94" s="13" t="s">
        <v>106</v>
      </c>
      <c r="W94" s="13">
        <v>158</v>
      </c>
      <c r="X94" s="13">
        <v>158</v>
      </c>
      <c r="Y94" s="13" t="s">
        <v>107</v>
      </c>
      <c r="Z94" s="13" t="s">
        <v>108</v>
      </c>
      <c r="AA94" s="13" t="s">
        <v>107</v>
      </c>
      <c r="AB94" s="13" t="s">
        <v>2027</v>
      </c>
      <c r="AC94" s="13" t="s">
        <v>2027</v>
      </c>
      <c r="AD94" s="13" t="s">
        <v>2027</v>
      </c>
      <c r="AE94" s="14" t="s">
        <v>112</v>
      </c>
      <c r="AF94" s="13" t="s">
        <v>2027</v>
      </c>
      <c r="AG94" s="13" t="s">
        <v>2027</v>
      </c>
      <c r="AH94" s="13" t="s">
        <v>2028</v>
      </c>
      <c r="AL94" s="13" t="s">
        <v>2029</v>
      </c>
      <c r="AN94" s="13">
        <v>329</v>
      </c>
      <c r="AO94" s="13" t="s">
        <v>2030</v>
      </c>
      <c r="AQ94" s="13" t="s">
        <v>2027</v>
      </c>
      <c r="AR94" s="13" t="s">
        <v>2027</v>
      </c>
      <c r="AS94" s="13" t="s">
        <v>116</v>
      </c>
      <c r="AT94" s="13" t="s">
        <v>2031</v>
      </c>
      <c r="AU94" s="13" t="s">
        <v>2016</v>
      </c>
      <c r="AV94" s="14" t="s">
        <v>2017</v>
      </c>
      <c r="AX94" s="39"/>
      <c r="AY94" s="21" t="s">
        <v>2032</v>
      </c>
      <c r="AZ94" s="17" t="s">
        <v>2033</v>
      </c>
      <c r="BA94" s="17" t="s">
        <v>2033</v>
      </c>
      <c r="BB94" s="17" t="s">
        <v>2034</v>
      </c>
      <c r="BC94" s="17" t="s">
        <v>2034</v>
      </c>
      <c r="BD94" s="27">
        <f t="shared" si="2"/>
        <v>49</v>
      </c>
      <c r="BE94" s="17" t="s">
        <v>1697</v>
      </c>
      <c r="BF94" s="18" t="s">
        <v>2021</v>
      </c>
      <c r="BG94" s="17" t="s">
        <v>2022</v>
      </c>
      <c r="BH94" s="17"/>
      <c r="BI94" s="17"/>
      <c r="BJ94" s="17" t="s">
        <v>2035</v>
      </c>
      <c r="BK94" s="17"/>
      <c r="BL94" s="17"/>
      <c r="BM94" s="17"/>
      <c r="BN94" s="17"/>
      <c r="BO94" s="17"/>
      <c r="BP94" s="17"/>
      <c r="BQ94" s="17"/>
      <c r="BR94" s="17"/>
      <c r="BS94" s="17" t="s">
        <v>127</v>
      </c>
      <c r="BT94" s="17" t="s">
        <v>2024</v>
      </c>
      <c r="BU94" s="17" t="s">
        <v>129</v>
      </c>
      <c r="BV94" s="17"/>
      <c r="BW94" s="17"/>
      <c r="BX94" s="13" t="s">
        <v>2025</v>
      </c>
      <c r="BY94" s="13" t="s">
        <v>1897</v>
      </c>
      <c r="DA94" s="13" t="s">
        <v>10348</v>
      </c>
      <c r="DB94" s="13" t="s">
        <v>10348</v>
      </c>
    </row>
    <row r="95" spans="1:106" s="13" customFormat="1" ht="12.75" customHeight="1" x14ac:dyDescent="0.2">
      <c r="A95" s="13" t="s">
        <v>102</v>
      </c>
      <c r="B95" s="13" t="s">
        <v>103</v>
      </c>
      <c r="D95" s="13" t="s">
        <v>104</v>
      </c>
      <c r="E95" s="13" t="s">
        <v>105</v>
      </c>
      <c r="F95" s="13" t="s">
        <v>104</v>
      </c>
      <c r="G95" s="13" t="s">
        <v>105</v>
      </c>
      <c r="H95" s="13" t="s">
        <v>227</v>
      </c>
      <c r="J95" s="13" t="s">
        <v>106</v>
      </c>
      <c r="W95" s="13">
        <v>160</v>
      </c>
      <c r="X95" s="13">
        <v>160</v>
      </c>
      <c r="Y95" s="13" t="s">
        <v>107</v>
      </c>
      <c r="Z95" s="13" t="s">
        <v>108</v>
      </c>
      <c r="AA95" s="13" t="s">
        <v>107</v>
      </c>
      <c r="AB95" s="13" t="s">
        <v>2050</v>
      </c>
      <c r="AC95" s="13" t="s">
        <v>2050</v>
      </c>
      <c r="AD95" s="13" t="s">
        <v>2050</v>
      </c>
      <c r="AE95" s="14" t="s">
        <v>112</v>
      </c>
      <c r="AF95" s="13" t="s">
        <v>2050</v>
      </c>
      <c r="AG95" s="13" t="s">
        <v>2050</v>
      </c>
      <c r="AH95" s="13" t="s">
        <v>2051</v>
      </c>
      <c r="AL95" s="13" t="s">
        <v>2052</v>
      </c>
      <c r="AN95" s="13">
        <v>329</v>
      </c>
      <c r="AO95" s="13" t="s">
        <v>2053</v>
      </c>
      <c r="AQ95" s="13" t="s">
        <v>2050</v>
      </c>
      <c r="AR95" s="13" t="s">
        <v>2050</v>
      </c>
      <c r="AS95" s="13" t="s">
        <v>116</v>
      </c>
      <c r="AT95" s="13" t="s">
        <v>2054</v>
      </c>
      <c r="AU95" s="13" t="s">
        <v>2041</v>
      </c>
      <c r="AV95" s="14" t="s">
        <v>2017</v>
      </c>
      <c r="AX95" s="39"/>
      <c r="AY95" s="21" t="s">
        <v>2055</v>
      </c>
      <c r="AZ95" s="17" t="s">
        <v>2056</v>
      </c>
      <c r="BA95" s="17" t="s">
        <v>2056</v>
      </c>
      <c r="BB95" s="17" t="s">
        <v>2057</v>
      </c>
      <c r="BC95" s="17" t="s">
        <v>2058</v>
      </c>
      <c r="BD95" s="27">
        <f t="shared" si="2"/>
        <v>47</v>
      </c>
      <c r="BE95" s="17" t="s">
        <v>1697</v>
      </c>
      <c r="BF95" s="18" t="s">
        <v>2021</v>
      </c>
      <c r="BG95" s="17" t="s">
        <v>2022</v>
      </c>
      <c r="BH95" s="17"/>
      <c r="BI95" s="17"/>
      <c r="BJ95" s="17" t="s">
        <v>2046</v>
      </c>
      <c r="BK95" s="17"/>
      <c r="BL95" s="17"/>
      <c r="BM95" s="17"/>
      <c r="BN95" s="17"/>
      <c r="BO95" s="17" t="s">
        <v>2059</v>
      </c>
      <c r="BP95" s="17"/>
      <c r="BQ95" s="17"/>
      <c r="BR95" s="17"/>
      <c r="BS95" s="17" t="s">
        <v>127</v>
      </c>
      <c r="BT95" s="17" t="s">
        <v>2060</v>
      </c>
      <c r="BU95" s="17" t="s">
        <v>129</v>
      </c>
      <c r="BV95" s="17"/>
      <c r="BW95" s="17"/>
      <c r="BX95" s="13" t="s">
        <v>1813</v>
      </c>
      <c r="BY95" s="13" t="s">
        <v>1897</v>
      </c>
      <c r="DA95" s="13" t="s">
        <v>10348</v>
      </c>
      <c r="DB95" s="13" t="s">
        <v>10348</v>
      </c>
    </row>
    <row r="96" spans="1:106" s="13" customFormat="1" ht="12.75" customHeight="1" x14ac:dyDescent="0.2">
      <c r="A96" s="13" t="s">
        <v>102</v>
      </c>
      <c r="B96" s="13" t="s">
        <v>103</v>
      </c>
      <c r="D96" s="13" t="s">
        <v>104</v>
      </c>
      <c r="E96" s="13" t="s">
        <v>105</v>
      </c>
      <c r="F96" s="13" t="s">
        <v>104</v>
      </c>
      <c r="G96" s="13" t="s">
        <v>105</v>
      </c>
      <c r="H96" s="13" t="s">
        <v>227</v>
      </c>
      <c r="J96" s="13" t="s">
        <v>106</v>
      </c>
      <c r="W96" s="13">
        <v>161</v>
      </c>
      <c r="X96" s="13">
        <v>161</v>
      </c>
      <c r="Y96" s="13" t="s">
        <v>107</v>
      </c>
      <c r="Z96" s="13" t="s">
        <v>108</v>
      </c>
      <c r="AA96" s="13" t="s">
        <v>107</v>
      </c>
      <c r="AB96" s="13" t="s">
        <v>2061</v>
      </c>
      <c r="AC96" s="13" t="s">
        <v>2061</v>
      </c>
      <c r="AD96" s="13" t="s">
        <v>2061</v>
      </c>
      <c r="AE96" s="14" t="s">
        <v>112</v>
      </c>
      <c r="AF96" s="13" t="s">
        <v>2061</v>
      </c>
      <c r="AG96" s="13" t="s">
        <v>2061</v>
      </c>
      <c r="AH96" s="13" t="s">
        <v>2062</v>
      </c>
      <c r="AL96" s="13" t="s">
        <v>2063</v>
      </c>
      <c r="AN96" s="13">
        <v>329</v>
      </c>
      <c r="AO96" s="13" t="s">
        <v>2064</v>
      </c>
      <c r="AQ96" s="13" t="s">
        <v>2061</v>
      </c>
      <c r="AR96" s="13" t="s">
        <v>2061</v>
      </c>
      <c r="AS96" s="13" t="s">
        <v>116</v>
      </c>
      <c r="AT96" s="13" t="s">
        <v>2065</v>
      </c>
      <c r="AU96" s="13" t="s">
        <v>2041</v>
      </c>
      <c r="AV96" s="14" t="s">
        <v>2017</v>
      </c>
      <c r="AX96" s="39"/>
      <c r="AY96" s="21" t="s">
        <v>2066</v>
      </c>
      <c r="AZ96" s="17" t="s">
        <v>2067</v>
      </c>
      <c r="BA96" s="17" t="s">
        <v>2067</v>
      </c>
      <c r="BB96" s="17" t="s">
        <v>2068</v>
      </c>
      <c r="BC96" s="17" t="s">
        <v>2069</v>
      </c>
      <c r="BD96" s="27">
        <f t="shared" si="2"/>
        <v>53</v>
      </c>
      <c r="BE96" s="17" t="s">
        <v>1697</v>
      </c>
      <c r="BF96" s="18" t="s">
        <v>2021</v>
      </c>
      <c r="BG96" s="17" t="s">
        <v>2022</v>
      </c>
      <c r="BH96" s="17"/>
      <c r="BI96" s="17"/>
      <c r="BJ96" s="17" t="s">
        <v>2070</v>
      </c>
      <c r="BK96" s="17"/>
      <c r="BL96" s="17"/>
      <c r="BM96" s="17"/>
      <c r="BN96" s="17"/>
      <c r="BO96" s="17" t="s">
        <v>2059</v>
      </c>
      <c r="BP96" s="17"/>
      <c r="BQ96" s="17"/>
      <c r="BR96" s="17"/>
      <c r="BS96" s="17" t="s">
        <v>127</v>
      </c>
      <c r="BT96" s="17" t="s">
        <v>2060</v>
      </c>
      <c r="BU96" s="17" t="s">
        <v>129</v>
      </c>
      <c r="BV96" s="17"/>
      <c r="BW96" s="17"/>
      <c r="BX96" s="13" t="s">
        <v>1813</v>
      </c>
      <c r="BY96" s="13" t="s">
        <v>1897</v>
      </c>
      <c r="DA96" s="13" t="s">
        <v>10348</v>
      </c>
      <c r="DB96" s="13" t="s">
        <v>10348</v>
      </c>
    </row>
    <row r="97" spans="1:106" s="13" customFormat="1" ht="12.75" customHeight="1" x14ac:dyDescent="0.2">
      <c r="A97" s="13" t="s">
        <v>102</v>
      </c>
      <c r="B97" s="13" t="s">
        <v>103</v>
      </c>
      <c r="D97" s="13" t="s">
        <v>104</v>
      </c>
      <c r="E97" s="13" t="s">
        <v>105</v>
      </c>
      <c r="F97" s="13" t="s">
        <v>104</v>
      </c>
      <c r="G97" s="13" t="s">
        <v>105</v>
      </c>
      <c r="H97" s="13" t="s">
        <v>227</v>
      </c>
      <c r="J97" s="13" t="s">
        <v>106</v>
      </c>
      <c r="W97" s="13">
        <v>162</v>
      </c>
      <c r="X97" s="13">
        <v>162</v>
      </c>
      <c r="Y97" s="13" t="s">
        <v>107</v>
      </c>
      <c r="Z97" s="13" t="s">
        <v>108</v>
      </c>
      <c r="AA97" s="13" t="s">
        <v>107</v>
      </c>
      <c r="AB97" s="13" t="s">
        <v>2071</v>
      </c>
      <c r="AC97" s="13" t="s">
        <v>2071</v>
      </c>
      <c r="AD97" s="13" t="s">
        <v>2071</v>
      </c>
      <c r="AE97" s="14" t="s">
        <v>112</v>
      </c>
      <c r="AF97" s="13" t="s">
        <v>2071</v>
      </c>
      <c r="AG97" s="13" t="s">
        <v>2071</v>
      </c>
      <c r="AH97" s="13" t="s">
        <v>2072</v>
      </c>
      <c r="AL97" s="13" t="s">
        <v>2073</v>
      </c>
      <c r="AN97" s="13">
        <v>329</v>
      </c>
      <c r="AO97" s="13" t="s">
        <v>2074</v>
      </c>
      <c r="AQ97" s="13" t="s">
        <v>2071</v>
      </c>
      <c r="AR97" s="13" t="s">
        <v>2071</v>
      </c>
      <c r="AS97" s="13" t="s">
        <v>116</v>
      </c>
      <c r="AT97" s="13" t="s">
        <v>2075</v>
      </c>
      <c r="AU97" s="13" t="s">
        <v>2041</v>
      </c>
      <c r="AV97" s="14" t="s">
        <v>2017</v>
      </c>
      <c r="AX97" s="39"/>
      <c r="AY97" s="21" t="s">
        <v>2076</v>
      </c>
      <c r="AZ97" s="17" t="s">
        <v>2077</v>
      </c>
      <c r="BA97" s="17" t="s">
        <v>2077</v>
      </c>
      <c r="BB97" s="17" t="s">
        <v>2078</v>
      </c>
      <c r="BC97" s="17" t="s">
        <v>2079</v>
      </c>
      <c r="BD97" s="27">
        <f t="shared" ref="BD97:BD128" si="3">LEN(SUBSTITUTE(BC97,", ",","))</f>
        <v>52</v>
      </c>
      <c r="BE97" s="17" t="s">
        <v>1697</v>
      </c>
      <c r="BF97" s="18" t="s">
        <v>2021</v>
      </c>
      <c r="BG97" s="17" t="s">
        <v>2022</v>
      </c>
      <c r="BH97" s="17"/>
      <c r="BI97" s="17"/>
      <c r="BJ97" s="17" t="s">
        <v>2080</v>
      </c>
      <c r="BK97" s="17"/>
      <c r="BL97" s="17"/>
      <c r="BM97" s="17"/>
      <c r="BN97" s="17"/>
      <c r="BO97" s="17" t="s">
        <v>2059</v>
      </c>
      <c r="BP97" s="17"/>
      <c r="BQ97" s="17"/>
      <c r="BR97" s="17"/>
      <c r="BS97" s="17" t="s">
        <v>127</v>
      </c>
      <c r="BT97" s="17" t="s">
        <v>2060</v>
      </c>
      <c r="BU97" s="17" t="s">
        <v>129</v>
      </c>
      <c r="BV97" s="17"/>
      <c r="BW97" s="17"/>
      <c r="BX97" s="13" t="s">
        <v>1813</v>
      </c>
      <c r="BY97" s="13" t="s">
        <v>1897</v>
      </c>
      <c r="DA97" s="13" t="s">
        <v>10348</v>
      </c>
      <c r="DB97" s="13" t="s">
        <v>10348</v>
      </c>
    </row>
    <row r="98" spans="1:106" s="13" customFormat="1" ht="12.75" customHeight="1" x14ac:dyDescent="0.2">
      <c r="A98" s="13" t="s">
        <v>102</v>
      </c>
      <c r="B98" s="13" t="s">
        <v>103</v>
      </c>
      <c r="D98" s="13" t="s">
        <v>104</v>
      </c>
      <c r="E98" s="13" t="s">
        <v>105</v>
      </c>
      <c r="F98" s="13" t="s">
        <v>104</v>
      </c>
      <c r="G98" s="13" t="s">
        <v>105</v>
      </c>
      <c r="H98" s="13" t="s">
        <v>227</v>
      </c>
      <c r="J98" s="13" t="s">
        <v>106</v>
      </c>
      <c r="W98" s="13">
        <v>163</v>
      </c>
      <c r="X98" s="13">
        <v>163</v>
      </c>
      <c r="Y98" s="13" t="s">
        <v>107</v>
      </c>
      <c r="Z98" s="13" t="s">
        <v>108</v>
      </c>
      <c r="AA98" s="13" t="s">
        <v>107</v>
      </c>
      <c r="AB98" s="13" t="s">
        <v>2081</v>
      </c>
      <c r="AC98" s="13" t="s">
        <v>2081</v>
      </c>
      <c r="AD98" s="13" t="s">
        <v>2081</v>
      </c>
      <c r="AE98" s="14" t="s">
        <v>112</v>
      </c>
      <c r="AF98" s="13" t="s">
        <v>2081</v>
      </c>
      <c r="AG98" s="13" t="s">
        <v>2081</v>
      </c>
      <c r="AH98" s="13" t="s">
        <v>2082</v>
      </c>
      <c r="AL98" s="13" t="s">
        <v>2083</v>
      </c>
      <c r="AN98" s="13">
        <v>329</v>
      </c>
      <c r="AO98" s="13" t="s">
        <v>2084</v>
      </c>
      <c r="AQ98" s="13" t="s">
        <v>2081</v>
      </c>
      <c r="AR98" s="13" t="s">
        <v>2081</v>
      </c>
      <c r="AS98" s="13" t="s">
        <v>116</v>
      </c>
      <c r="AT98" s="13" t="s">
        <v>2085</v>
      </c>
      <c r="AU98" s="13" t="s">
        <v>2041</v>
      </c>
      <c r="AV98" s="14" t="s">
        <v>2017</v>
      </c>
      <c r="AX98" s="39"/>
      <c r="AY98" s="21" t="s">
        <v>2086</v>
      </c>
      <c r="AZ98" s="17" t="s">
        <v>2087</v>
      </c>
      <c r="BA98" s="17" t="s">
        <v>2087</v>
      </c>
      <c r="BB98" s="17" t="s">
        <v>2088</v>
      </c>
      <c r="BC98" s="17" t="s">
        <v>2089</v>
      </c>
      <c r="BD98" s="27">
        <f t="shared" si="3"/>
        <v>46</v>
      </c>
      <c r="BE98" s="17" t="s">
        <v>1697</v>
      </c>
      <c r="BF98" s="18" t="s">
        <v>2021</v>
      </c>
      <c r="BG98" s="17" t="s">
        <v>2022</v>
      </c>
      <c r="BH98" s="17"/>
      <c r="BI98" s="17"/>
      <c r="BJ98" s="17" t="s">
        <v>2090</v>
      </c>
      <c r="BK98" s="17"/>
      <c r="BL98" s="17"/>
      <c r="BM98" s="17"/>
      <c r="BN98" s="17"/>
      <c r="BO98" s="17" t="s">
        <v>2091</v>
      </c>
      <c r="BP98" s="17"/>
      <c r="BQ98" s="17"/>
      <c r="BR98" s="17"/>
      <c r="BS98" s="17" t="s">
        <v>127</v>
      </c>
      <c r="BT98" s="17" t="s">
        <v>2092</v>
      </c>
      <c r="BU98" s="17" t="s">
        <v>129</v>
      </c>
      <c r="BV98" s="17"/>
      <c r="BW98" s="17"/>
      <c r="BX98" s="13" t="s">
        <v>1813</v>
      </c>
      <c r="BY98" s="13" t="s">
        <v>1897</v>
      </c>
      <c r="DA98" s="13" t="s">
        <v>10348</v>
      </c>
      <c r="DB98" s="13" t="s">
        <v>10348</v>
      </c>
    </row>
    <row r="99" spans="1:106" s="13" customFormat="1" ht="12.75" customHeight="1" x14ac:dyDescent="0.2">
      <c r="A99" s="13" t="s">
        <v>102</v>
      </c>
      <c r="B99" s="13" t="s">
        <v>103</v>
      </c>
      <c r="D99" s="13" t="s">
        <v>104</v>
      </c>
      <c r="E99" s="13" t="s">
        <v>105</v>
      </c>
      <c r="F99" s="13" t="s">
        <v>104</v>
      </c>
      <c r="G99" s="13" t="s">
        <v>105</v>
      </c>
      <c r="H99" s="13" t="s">
        <v>227</v>
      </c>
      <c r="J99" s="13" t="s">
        <v>106</v>
      </c>
      <c r="W99" s="13">
        <v>164</v>
      </c>
      <c r="X99" s="13">
        <v>164</v>
      </c>
      <c r="Y99" s="13" t="s">
        <v>107</v>
      </c>
      <c r="Z99" s="13" t="s">
        <v>108</v>
      </c>
      <c r="AA99" s="13" t="s">
        <v>107</v>
      </c>
      <c r="AB99" s="13" t="s">
        <v>2093</v>
      </c>
      <c r="AC99" s="13" t="s">
        <v>2093</v>
      </c>
      <c r="AD99" s="13" t="s">
        <v>2093</v>
      </c>
      <c r="AE99" s="14" t="s">
        <v>112</v>
      </c>
      <c r="AF99" s="13" t="s">
        <v>2093</v>
      </c>
      <c r="AG99" s="13" t="s">
        <v>2093</v>
      </c>
      <c r="AH99" s="13" t="s">
        <v>2094</v>
      </c>
      <c r="AL99" s="13" t="s">
        <v>2095</v>
      </c>
      <c r="AN99" s="13">
        <v>329</v>
      </c>
      <c r="AO99" s="13" t="s">
        <v>2096</v>
      </c>
      <c r="AQ99" s="13" t="s">
        <v>2093</v>
      </c>
      <c r="AR99" s="13" t="s">
        <v>2093</v>
      </c>
      <c r="AS99" s="13" t="s">
        <v>116</v>
      </c>
      <c r="AT99" s="13" t="s">
        <v>2097</v>
      </c>
      <c r="AU99" s="13" t="s">
        <v>2041</v>
      </c>
      <c r="AV99" s="14" t="s">
        <v>2017</v>
      </c>
      <c r="AX99" s="39"/>
      <c r="AY99" s="21" t="s">
        <v>2098</v>
      </c>
      <c r="AZ99" s="17" t="s">
        <v>2099</v>
      </c>
      <c r="BA99" s="17" t="s">
        <v>2099</v>
      </c>
      <c r="BB99" s="17" t="s">
        <v>2100</v>
      </c>
      <c r="BC99" s="17" t="s">
        <v>2101</v>
      </c>
      <c r="BD99" s="27">
        <f t="shared" si="3"/>
        <v>46</v>
      </c>
      <c r="BE99" s="17" t="s">
        <v>1697</v>
      </c>
      <c r="BF99" s="18" t="s">
        <v>2021</v>
      </c>
      <c r="BG99" s="17" t="s">
        <v>2022</v>
      </c>
      <c r="BH99" s="17"/>
      <c r="BI99" s="17"/>
      <c r="BJ99" s="17" t="s">
        <v>2046</v>
      </c>
      <c r="BK99" s="17"/>
      <c r="BL99" s="17"/>
      <c r="BM99" s="17"/>
      <c r="BN99" s="17"/>
      <c r="BO99" s="17" t="s">
        <v>2091</v>
      </c>
      <c r="BP99" s="17"/>
      <c r="BQ99" s="17"/>
      <c r="BR99" s="17"/>
      <c r="BS99" s="17" t="s">
        <v>127</v>
      </c>
      <c r="BT99" s="17" t="s">
        <v>2092</v>
      </c>
      <c r="BU99" s="17" t="s">
        <v>129</v>
      </c>
      <c r="BV99" s="17"/>
      <c r="BW99" s="17"/>
      <c r="BX99" s="13" t="s">
        <v>1813</v>
      </c>
      <c r="BY99" s="13" t="s">
        <v>1897</v>
      </c>
      <c r="DA99" s="13" t="s">
        <v>10348</v>
      </c>
      <c r="DB99" s="13" t="s">
        <v>10348</v>
      </c>
    </row>
    <row r="100" spans="1:106" s="13" customFormat="1" ht="12.75" customHeight="1" x14ac:dyDescent="0.2">
      <c r="A100" s="13" t="s">
        <v>102</v>
      </c>
      <c r="B100" s="13" t="s">
        <v>103</v>
      </c>
      <c r="D100" s="13" t="s">
        <v>104</v>
      </c>
      <c r="E100" s="13" t="s">
        <v>105</v>
      </c>
      <c r="F100" s="13" t="s">
        <v>104</v>
      </c>
      <c r="G100" s="13" t="s">
        <v>105</v>
      </c>
      <c r="H100" s="13" t="s">
        <v>227</v>
      </c>
      <c r="J100" s="13" t="s">
        <v>106</v>
      </c>
      <c r="W100" s="13">
        <v>165</v>
      </c>
      <c r="X100" s="13">
        <v>165</v>
      </c>
      <c r="Y100" s="13" t="s">
        <v>107</v>
      </c>
      <c r="Z100" s="13" t="s">
        <v>108</v>
      </c>
      <c r="AA100" s="13" t="s">
        <v>107</v>
      </c>
      <c r="AB100" s="13" t="s">
        <v>2102</v>
      </c>
      <c r="AC100" s="13" t="s">
        <v>2102</v>
      </c>
      <c r="AD100" s="13" t="s">
        <v>2102</v>
      </c>
      <c r="AE100" s="14" t="s">
        <v>112</v>
      </c>
      <c r="AF100" s="13" t="s">
        <v>2102</v>
      </c>
      <c r="AG100" s="13" t="s">
        <v>2102</v>
      </c>
      <c r="AH100" s="13" t="s">
        <v>2103</v>
      </c>
      <c r="AL100" s="13" t="s">
        <v>2104</v>
      </c>
      <c r="AN100" s="13">
        <v>329</v>
      </c>
      <c r="AO100" s="13" t="s">
        <v>2105</v>
      </c>
      <c r="AQ100" s="13" t="s">
        <v>2102</v>
      </c>
      <c r="AR100" s="13" t="s">
        <v>2102</v>
      </c>
      <c r="AS100" s="13" t="s">
        <v>116</v>
      </c>
      <c r="AT100" s="13" t="s">
        <v>2106</v>
      </c>
      <c r="AU100" s="13" t="s">
        <v>2041</v>
      </c>
      <c r="AV100" s="14" t="s">
        <v>2017</v>
      </c>
      <c r="AX100" s="39"/>
      <c r="AY100" s="21" t="s">
        <v>2107</v>
      </c>
      <c r="AZ100" s="17" t="s">
        <v>2108</v>
      </c>
      <c r="BA100" s="17" t="s">
        <v>2108</v>
      </c>
      <c r="BB100" s="17" t="s">
        <v>2109</v>
      </c>
      <c r="BC100" s="17" t="s">
        <v>2110</v>
      </c>
      <c r="BD100" s="27">
        <f t="shared" si="3"/>
        <v>48</v>
      </c>
      <c r="BE100" s="17" t="s">
        <v>1697</v>
      </c>
      <c r="BF100" s="18" t="s">
        <v>2021</v>
      </c>
      <c r="BG100" s="17" t="s">
        <v>2022</v>
      </c>
      <c r="BH100" s="17"/>
      <c r="BI100" s="17"/>
      <c r="BJ100" s="17" t="s">
        <v>2070</v>
      </c>
      <c r="BK100" s="17"/>
      <c r="BL100" s="17"/>
      <c r="BM100" s="17"/>
      <c r="BN100" s="17"/>
      <c r="BO100" s="17" t="s">
        <v>2091</v>
      </c>
      <c r="BP100" s="17"/>
      <c r="BQ100" s="17"/>
      <c r="BR100" s="17"/>
      <c r="BS100" s="17" t="s">
        <v>127</v>
      </c>
      <c r="BT100" s="17" t="s">
        <v>2092</v>
      </c>
      <c r="BU100" s="17" t="s">
        <v>129</v>
      </c>
      <c r="BV100" s="17"/>
      <c r="BW100" s="17"/>
      <c r="BX100" s="13" t="s">
        <v>1813</v>
      </c>
      <c r="BY100" s="13" t="s">
        <v>1897</v>
      </c>
      <c r="DA100" s="13" t="s">
        <v>10348</v>
      </c>
      <c r="DB100" s="13" t="s">
        <v>10348</v>
      </c>
    </row>
    <row r="101" spans="1:106" s="13" customFormat="1" ht="12.75" customHeight="1" x14ac:dyDescent="0.2">
      <c r="A101" s="13" t="s">
        <v>102</v>
      </c>
      <c r="B101" s="13" t="s">
        <v>103</v>
      </c>
      <c r="D101" s="13" t="s">
        <v>104</v>
      </c>
      <c r="E101" s="13" t="s">
        <v>105</v>
      </c>
      <c r="F101" s="13" t="s">
        <v>104</v>
      </c>
      <c r="G101" s="13" t="s">
        <v>105</v>
      </c>
      <c r="H101" s="13" t="s">
        <v>227</v>
      </c>
      <c r="J101" s="13" t="s">
        <v>106</v>
      </c>
      <c r="W101" s="13">
        <v>166</v>
      </c>
      <c r="X101" s="13">
        <v>166</v>
      </c>
      <c r="Y101" s="13" t="s">
        <v>107</v>
      </c>
      <c r="Z101" s="13" t="s">
        <v>108</v>
      </c>
      <c r="AA101" s="13" t="s">
        <v>107</v>
      </c>
      <c r="AB101" s="13" t="s">
        <v>2111</v>
      </c>
      <c r="AC101" s="13" t="s">
        <v>2111</v>
      </c>
      <c r="AD101" s="13" t="s">
        <v>2111</v>
      </c>
      <c r="AE101" s="14" t="s">
        <v>112</v>
      </c>
      <c r="AF101" s="13" t="s">
        <v>2111</v>
      </c>
      <c r="AG101" s="13" t="s">
        <v>2111</v>
      </c>
      <c r="AH101" s="13" t="s">
        <v>2112</v>
      </c>
      <c r="AL101" s="13" t="s">
        <v>2113</v>
      </c>
      <c r="AN101" s="13">
        <v>329</v>
      </c>
      <c r="AO101" s="13" t="s">
        <v>2114</v>
      </c>
      <c r="AQ101" s="13" t="s">
        <v>2111</v>
      </c>
      <c r="AR101" s="13" t="s">
        <v>2111</v>
      </c>
      <c r="AS101" s="13" t="s">
        <v>116</v>
      </c>
      <c r="AT101" s="13" t="s">
        <v>2115</v>
      </c>
      <c r="AU101" s="13" t="s">
        <v>2041</v>
      </c>
      <c r="AV101" s="14" t="s">
        <v>2017</v>
      </c>
      <c r="AX101" s="39"/>
      <c r="AY101" s="21" t="s">
        <v>2116</v>
      </c>
      <c r="AZ101" s="17" t="s">
        <v>2117</v>
      </c>
      <c r="BA101" s="17" t="s">
        <v>2117</v>
      </c>
      <c r="BB101" s="17" t="s">
        <v>2118</v>
      </c>
      <c r="BC101" s="17" t="s">
        <v>2119</v>
      </c>
      <c r="BD101" s="27">
        <f t="shared" si="3"/>
        <v>47</v>
      </c>
      <c r="BE101" s="17" t="s">
        <v>1697</v>
      </c>
      <c r="BF101" s="18" t="s">
        <v>2021</v>
      </c>
      <c r="BG101" s="17" t="s">
        <v>2022</v>
      </c>
      <c r="BH101" s="17"/>
      <c r="BI101" s="17"/>
      <c r="BJ101" s="17" t="s">
        <v>2080</v>
      </c>
      <c r="BK101" s="17"/>
      <c r="BL101" s="17"/>
      <c r="BM101" s="17"/>
      <c r="BN101" s="17"/>
      <c r="BO101" s="17" t="s">
        <v>2091</v>
      </c>
      <c r="BP101" s="17"/>
      <c r="BQ101" s="17"/>
      <c r="BR101" s="17"/>
      <c r="BS101" s="17" t="s">
        <v>127</v>
      </c>
      <c r="BT101" s="17" t="s">
        <v>2092</v>
      </c>
      <c r="BU101" s="17" t="s">
        <v>129</v>
      </c>
      <c r="BV101" s="17"/>
      <c r="BW101" s="17"/>
      <c r="BX101" s="13" t="s">
        <v>1813</v>
      </c>
      <c r="BY101" s="13" t="s">
        <v>1897</v>
      </c>
      <c r="DA101" s="13" t="s">
        <v>10348</v>
      </c>
      <c r="DB101" s="13" t="s">
        <v>10348</v>
      </c>
    </row>
    <row r="102" spans="1:106" s="13" customFormat="1" ht="12.75" customHeight="1" x14ac:dyDescent="0.2">
      <c r="A102" s="13" t="s">
        <v>102</v>
      </c>
      <c r="B102" s="13" t="s">
        <v>103</v>
      </c>
      <c r="D102" s="13" t="s">
        <v>104</v>
      </c>
      <c r="E102" s="13" t="s">
        <v>105</v>
      </c>
      <c r="F102" s="13" t="s">
        <v>104</v>
      </c>
      <c r="G102" s="13" t="s">
        <v>105</v>
      </c>
      <c r="H102" s="13" t="s">
        <v>227</v>
      </c>
      <c r="J102" s="13" t="s">
        <v>106</v>
      </c>
      <c r="W102" s="13">
        <v>167</v>
      </c>
      <c r="X102" s="13">
        <v>167</v>
      </c>
      <c r="Y102" s="13" t="s">
        <v>107</v>
      </c>
      <c r="Z102" s="13" t="s">
        <v>108</v>
      </c>
      <c r="AA102" s="13" t="s">
        <v>107</v>
      </c>
      <c r="AB102" s="13" t="s">
        <v>2120</v>
      </c>
      <c r="AC102" s="13" t="s">
        <v>2120</v>
      </c>
      <c r="AD102" s="13" t="s">
        <v>2120</v>
      </c>
      <c r="AE102" s="14" t="s">
        <v>112</v>
      </c>
      <c r="AF102" s="13" t="s">
        <v>2120</v>
      </c>
      <c r="AG102" s="13" t="s">
        <v>2120</v>
      </c>
      <c r="AH102" s="13" t="s">
        <v>2121</v>
      </c>
      <c r="AL102" s="13" t="s">
        <v>2122</v>
      </c>
      <c r="AN102" s="13">
        <v>329</v>
      </c>
      <c r="AO102" s="13" t="s">
        <v>2123</v>
      </c>
      <c r="AQ102" s="13" t="s">
        <v>2120</v>
      </c>
      <c r="AR102" s="13" t="s">
        <v>2120</v>
      </c>
      <c r="AS102" s="13" t="s">
        <v>116</v>
      </c>
      <c r="AT102" s="13" t="s">
        <v>2124</v>
      </c>
      <c r="AU102" s="13" t="s">
        <v>2041</v>
      </c>
      <c r="AV102" s="14" t="s">
        <v>2017</v>
      </c>
      <c r="AX102" s="39"/>
      <c r="AY102" s="21" t="s">
        <v>2125</v>
      </c>
      <c r="AZ102" s="17" t="s">
        <v>2126</v>
      </c>
      <c r="BA102" s="17" t="s">
        <v>2126</v>
      </c>
      <c r="BB102" s="17" t="s">
        <v>2127</v>
      </c>
      <c r="BC102" s="17" t="s">
        <v>2128</v>
      </c>
      <c r="BD102" s="27">
        <f t="shared" si="3"/>
        <v>59</v>
      </c>
      <c r="BE102" s="17" t="s">
        <v>1697</v>
      </c>
      <c r="BF102" s="18" t="s">
        <v>2021</v>
      </c>
      <c r="BG102" s="17" t="s">
        <v>2022</v>
      </c>
      <c r="BH102" s="17"/>
      <c r="BI102" s="17"/>
      <c r="BJ102" s="17" t="s">
        <v>2090</v>
      </c>
      <c r="BK102" s="17"/>
      <c r="BL102" s="17"/>
      <c r="BM102" s="17"/>
      <c r="BN102" s="17"/>
      <c r="BO102" s="17" t="s">
        <v>2129</v>
      </c>
      <c r="BP102" s="17"/>
      <c r="BQ102" s="17"/>
      <c r="BR102" s="17"/>
      <c r="BS102" s="17" t="s">
        <v>127</v>
      </c>
      <c r="BT102" s="17" t="s">
        <v>2092</v>
      </c>
      <c r="BU102" s="17" t="s">
        <v>129</v>
      </c>
      <c r="BV102" s="17"/>
      <c r="BW102" s="17"/>
      <c r="BX102" s="13" t="s">
        <v>1813</v>
      </c>
      <c r="BY102" s="13" t="s">
        <v>1897</v>
      </c>
      <c r="DA102" s="13" t="s">
        <v>10348</v>
      </c>
      <c r="DB102" s="13" t="s">
        <v>10348</v>
      </c>
    </row>
    <row r="103" spans="1:106" s="13" customFormat="1" ht="12.75" customHeight="1" x14ac:dyDescent="0.2">
      <c r="A103" s="13" t="s">
        <v>102</v>
      </c>
      <c r="B103" s="13" t="s">
        <v>103</v>
      </c>
      <c r="D103" s="13" t="s">
        <v>104</v>
      </c>
      <c r="E103" s="13" t="s">
        <v>105</v>
      </c>
      <c r="F103" s="13" t="s">
        <v>104</v>
      </c>
      <c r="G103" s="13" t="s">
        <v>105</v>
      </c>
      <c r="H103" s="13" t="s">
        <v>227</v>
      </c>
      <c r="J103" s="13" t="s">
        <v>106</v>
      </c>
      <c r="W103" s="13">
        <v>168</v>
      </c>
      <c r="X103" s="13">
        <v>168</v>
      </c>
      <c r="Y103" s="13" t="s">
        <v>107</v>
      </c>
      <c r="Z103" s="13" t="s">
        <v>108</v>
      </c>
      <c r="AA103" s="13" t="s">
        <v>107</v>
      </c>
      <c r="AB103" s="13" t="s">
        <v>2130</v>
      </c>
      <c r="AC103" s="13" t="s">
        <v>2130</v>
      </c>
      <c r="AD103" s="13" t="s">
        <v>2130</v>
      </c>
      <c r="AE103" s="14" t="s">
        <v>112</v>
      </c>
      <c r="AF103" s="13" t="s">
        <v>2130</v>
      </c>
      <c r="AG103" s="13" t="s">
        <v>2130</v>
      </c>
      <c r="AH103" s="13" t="s">
        <v>2131</v>
      </c>
      <c r="AL103" s="13" t="s">
        <v>2132</v>
      </c>
      <c r="AN103" s="13">
        <v>329</v>
      </c>
      <c r="AO103" s="13" t="s">
        <v>2133</v>
      </c>
      <c r="AQ103" s="13" t="s">
        <v>2130</v>
      </c>
      <c r="AR103" s="13" t="s">
        <v>2130</v>
      </c>
      <c r="AS103" s="13" t="s">
        <v>116</v>
      </c>
      <c r="AT103" s="13" t="s">
        <v>2134</v>
      </c>
      <c r="AU103" s="13" t="s">
        <v>2041</v>
      </c>
      <c r="AV103" s="14" t="s">
        <v>2017</v>
      </c>
      <c r="AX103" s="39"/>
      <c r="AY103" s="21" t="s">
        <v>2135</v>
      </c>
      <c r="AZ103" s="17" t="s">
        <v>2136</v>
      </c>
      <c r="BA103" s="17" t="s">
        <v>2136</v>
      </c>
      <c r="BB103" s="17" t="s">
        <v>2137</v>
      </c>
      <c r="BC103" s="17" t="s">
        <v>2138</v>
      </c>
      <c r="BD103" s="27">
        <f t="shared" si="3"/>
        <v>59</v>
      </c>
      <c r="BE103" s="17" t="s">
        <v>1697</v>
      </c>
      <c r="BF103" s="18" t="s">
        <v>2021</v>
      </c>
      <c r="BG103" s="17" t="s">
        <v>2022</v>
      </c>
      <c r="BH103" s="17"/>
      <c r="BI103" s="17"/>
      <c r="BJ103" s="17" t="s">
        <v>2046</v>
      </c>
      <c r="BK103" s="17"/>
      <c r="BL103" s="17"/>
      <c r="BM103" s="17"/>
      <c r="BN103" s="17"/>
      <c r="BO103" s="17" t="s">
        <v>2129</v>
      </c>
      <c r="BP103" s="17"/>
      <c r="BQ103" s="17"/>
      <c r="BR103" s="17"/>
      <c r="BS103" s="17" t="s">
        <v>127</v>
      </c>
      <c r="BT103" s="17" t="s">
        <v>2092</v>
      </c>
      <c r="BU103" s="17" t="s">
        <v>129</v>
      </c>
      <c r="BV103" s="17"/>
      <c r="BW103" s="17"/>
      <c r="BX103" s="13" t="s">
        <v>1813</v>
      </c>
      <c r="BY103" s="13" t="s">
        <v>1897</v>
      </c>
      <c r="DA103" s="13" t="s">
        <v>10348</v>
      </c>
      <c r="DB103" s="13" t="s">
        <v>10348</v>
      </c>
    </row>
    <row r="104" spans="1:106" s="13" customFormat="1" ht="12.75" customHeight="1" x14ac:dyDescent="0.2">
      <c r="A104" s="13" t="s">
        <v>102</v>
      </c>
      <c r="B104" s="13" t="s">
        <v>103</v>
      </c>
      <c r="D104" s="13" t="s">
        <v>104</v>
      </c>
      <c r="E104" s="13" t="s">
        <v>105</v>
      </c>
      <c r="F104" s="13" t="s">
        <v>104</v>
      </c>
      <c r="G104" s="13" t="s">
        <v>105</v>
      </c>
      <c r="H104" s="13" t="s">
        <v>227</v>
      </c>
      <c r="J104" s="13" t="s">
        <v>106</v>
      </c>
      <c r="W104" s="13">
        <v>169</v>
      </c>
      <c r="X104" s="13">
        <v>169</v>
      </c>
      <c r="Y104" s="13" t="s">
        <v>107</v>
      </c>
      <c r="Z104" s="13" t="s">
        <v>108</v>
      </c>
      <c r="AA104" s="13" t="s">
        <v>107</v>
      </c>
      <c r="AB104" s="13" t="s">
        <v>2139</v>
      </c>
      <c r="AC104" s="13" t="s">
        <v>2139</v>
      </c>
      <c r="AD104" s="13" t="s">
        <v>2139</v>
      </c>
      <c r="AE104" s="14" t="s">
        <v>112</v>
      </c>
      <c r="AF104" s="13" t="s">
        <v>2139</v>
      </c>
      <c r="AG104" s="13" t="s">
        <v>2139</v>
      </c>
      <c r="AH104" s="13" t="s">
        <v>2140</v>
      </c>
      <c r="AL104" s="13" t="s">
        <v>2141</v>
      </c>
      <c r="AN104" s="13">
        <v>329</v>
      </c>
      <c r="AO104" s="13" t="s">
        <v>2142</v>
      </c>
      <c r="AQ104" s="13" t="s">
        <v>2139</v>
      </c>
      <c r="AR104" s="13" t="s">
        <v>2139</v>
      </c>
      <c r="AS104" s="13" t="s">
        <v>116</v>
      </c>
      <c r="AT104" s="13" t="s">
        <v>2143</v>
      </c>
      <c r="AU104" s="13" t="s">
        <v>2041</v>
      </c>
      <c r="AV104" s="14" t="s">
        <v>2017</v>
      </c>
      <c r="AX104" s="39"/>
      <c r="AY104" s="21" t="s">
        <v>2144</v>
      </c>
      <c r="AZ104" s="17" t="s">
        <v>2145</v>
      </c>
      <c r="BA104" s="17" t="s">
        <v>2145</v>
      </c>
      <c r="BB104" s="17" t="s">
        <v>2146</v>
      </c>
      <c r="BC104" s="17" t="s">
        <v>2147</v>
      </c>
      <c r="BD104" s="27">
        <f t="shared" si="3"/>
        <v>56</v>
      </c>
      <c r="BE104" s="17" t="s">
        <v>1697</v>
      </c>
      <c r="BF104" s="18" t="s">
        <v>2021</v>
      </c>
      <c r="BG104" s="17" t="s">
        <v>2022</v>
      </c>
      <c r="BH104" s="17"/>
      <c r="BI104" s="17"/>
      <c r="BJ104" s="17" t="s">
        <v>2070</v>
      </c>
      <c r="BK104" s="17"/>
      <c r="BL104" s="17"/>
      <c r="BM104" s="17"/>
      <c r="BN104" s="17"/>
      <c r="BO104" s="17" t="s">
        <v>2129</v>
      </c>
      <c r="BP104" s="17"/>
      <c r="BQ104" s="17"/>
      <c r="BR104" s="17"/>
      <c r="BS104" s="17" t="s">
        <v>127</v>
      </c>
      <c r="BT104" s="17" t="s">
        <v>2092</v>
      </c>
      <c r="BU104" s="17" t="s">
        <v>129</v>
      </c>
      <c r="BV104" s="17"/>
      <c r="BW104" s="17"/>
      <c r="BX104" s="13" t="s">
        <v>1813</v>
      </c>
      <c r="BY104" s="13" t="s">
        <v>1897</v>
      </c>
      <c r="DA104" s="13" t="s">
        <v>10348</v>
      </c>
      <c r="DB104" s="13" t="s">
        <v>10348</v>
      </c>
    </row>
    <row r="105" spans="1:106" s="13" customFormat="1" ht="12.75" customHeight="1" x14ac:dyDescent="0.2">
      <c r="A105" s="13" t="s">
        <v>102</v>
      </c>
      <c r="B105" s="13" t="s">
        <v>103</v>
      </c>
      <c r="D105" s="13" t="s">
        <v>104</v>
      </c>
      <c r="E105" s="13" t="s">
        <v>105</v>
      </c>
      <c r="F105" s="13" t="s">
        <v>104</v>
      </c>
      <c r="G105" s="13" t="s">
        <v>105</v>
      </c>
      <c r="H105" s="13" t="s">
        <v>227</v>
      </c>
      <c r="J105" s="13" t="s">
        <v>106</v>
      </c>
      <c r="W105" s="13">
        <v>170</v>
      </c>
      <c r="X105" s="13">
        <v>170</v>
      </c>
      <c r="Y105" s="13" t="s">
        <v>107</v>
      </c>
      <c r="Z105" s="13" t="s">
        <v>108</v>
      </c>
      <c r="AA105" s="13" t="s">
        <v>107</v>
      </c>
      <c r="AB105" s="13" t="s">
        <v>2148</v>
      </c>
      <c r="AC105" s="13" t="s">
        <v>2148</v>
      </c>
      <c r="AD105" s="13" t="s">
        <v>2148</v>
      </c>
      <c r="AE105" s="14" t="s">
        <v>112</v>
      </c>
      <c r="AF105" s="13" t="s">
        <v>2148</v>
      </c>
      <c r="AG105" s="13" t="s">
        <v>2148</v>
      </c>
      <c r="AH105" s="13" t="s">
        <v>2149</v>
      </c>
      <c r="AL105" s="13" t="s">
        <v>2150</v>
      </c>
      <c r="AN105" s="13">
        <v>329</v>
      </c>
      <c r="AO105" s="13" t="s">
        <v>2151</v>
      </c>
      <c r="AQ105" s="13" t="s">
        <v>2148</v>
      </c>
      <c r="AR105" s="13" t="s">
        <v>2148</v>
      </c>
      <c r="AS105" s="13" t="s">
        <v>116</v>
      </c>
      <c r="AT105" s="13" t="s">
        <v>2152</v>
      </c>
      <c r="AU105" s="13" t="s">
        <v>2041</v>
      </c>
      <c r="AV105" s="14" t="s">
        <v>2017</v>
      </c>
      <c r="AX105" s="39"/>
      <c r="AY105" s="21" t="s">
        <v>2153</v>
      </c>
      <c r="AZ105" s="17" t="s">
        <v>2154</v>
      </c>
      <c r="BA105" s="17" t="s">
        <v>2154</v>
      </c>
      <c r="BB105" s="17" t="s">
        <v>2155</v>
      </c>
      <c r="BC105" s="17" t="s">
        <v>2156</v>
      </c>
      <c r="BD105" s="27">
        <f t="shared" si="3"/>
        <v>60</v>
      </c>
      <c r="BE105" s="17" t="s">
        <v>1697</v>
      </c>
      <c r="BF105" s="18" t="s">
        <v>2021</v>
      </c>
      <c r="BG105" s="17" t="s">
        <v>2022</v>
      </c>
      <c r="BH105" s="17"/>
      <c r="BI105" s="17"/>
      <c r="BJ105" s="17" t="s">
        <v>2080</v>
      </c>
      <c r="BK105" s="17"/>
      <c r="BL105" s="17"/>
      <c r="BM105" s="17"/>
      <c r="BN105" s="17"/>
      <c r="BO105" s="17" t="s">
        <v>2129</v>
      </c>
      <c r="BP105" s="17"/>
      <c r="BQ105" s="17"/>
      <c r="BR105" s="17"/>
      <c r="BS105" s="17" t="s">
        <v>127</v>
      </c>
      <c r="BT105" s="17" t="s">
        <v>2092</v>
      </c>
      <c r="BU105" s="17" t="s">
        <v>129</v>
      </c>
      <c r="BV105" s="17"/>
      <c r="BW105" s="17"/>
      <c r="BX105" s="13" t="s">
        <v>1813</v>
      </c>
      <c r="BY105" s="13" t="s">
        <v>1897</v>
      </c>
      <c r="DA105" s="13" t="s">
        <v>10348</v>
      </c>
      <c r="DB105" s="13" t="s">
        <v>10348</v>
      </c>
    </row>
    <row r="106" spans="1:106" s="13" customFormat="1" ht="12.75" customHeight="1" x14ac:dyDescent="0.2">
      <c r="A106" s="13" t="s">
        <v>102</v>
      </c>
      <c r="B106" s="13" t="s">
        <v>103</v>
      </c>
      <c r="D106" s="13" t="s">
        <v>104</v>
      </c>
      <c r="E106" s="13" t="s">
        <v>105</v>
      </c>
      <c r="F106" s="13" t="s">
        <v>104</v>
      </c>
      <c r="G106" s="13" t="s">
        <v>105</v>
      </c>
      <c r="H106" s="13" t="s">
        <v>227</v>
      </c>
      <c r="J106" s="13" t="s">
        <v>106</v>
      </c>
      <c r="W106" s="13">
        <v>171</v>
      </c>
      <c r="X106" s="13">
        <v>171</v>
      </c>
      <c r="Y106" s="13" t="s">
        <v>107</v>
      </c>
      <c r="Z106" s="13" t="s">
        <v>108</v>
      </c>
      <c r="AA106" s="13" t="s">
        <v>107</v>
      </c>
      <c r="AB106" s="13" t="s">
        <v>2157</v>
      </c>
      <c r="AC106" s="13" t="s">
        <v>2157</v>
      </c>
      <c r="AD106" s="13" t="s">
        <v>2157</v>
      </c>
      <c r="AE106" s="14" t="s">
        <v>112</v>
      </c>
      <c r="AF106" s="13" t="s">
        <v>2157</v>
      </c>
      <c r="AG106" s="13" t="s">
        <v>2157</v>
      </c>
      <c r="AH106" s="13" t="s">
        <v>2158</v>
      </c>
      <c r="AL106" s="13" t="s">
        <v>2159</v>
      </c>
      <c r="AN106" s="13">
        <v>329</v>
      </c>
      <c r="AO106" s="13" t="s">
        <v>2160</v>
      </c>
      <c r="AQ106" s="13" t="s">
        <v>2157</v>
      </c>
      <c r="AR106" s="13" t="s">
        <v>2157</v>
      </c>
      <c r="AS106" s="13" t="s">
        <v>116</v>
      </c>
      <c r="AT106" s="13" t="s">
        <v>2161</v>
      </c>
      <c r="AU106" s="13" t="s">
        <v>2041</v>
      </c>
      <c r="AV106" s="14" t="s">
        <v>2017</v>
      </c>
      <c r="AX106" s="39"/>
      <c r="AY106" s="21" t="s">
        <v>2162</v>
      </c>
      <c r="AZ106" s="17" t="s">
        <v>2163</v>
      </c>
      <c r="BA106" s="17" t="s">
        <v>2163</v>
      </c>
      <c r="BB106" s="17" t="s">
        <v>2164</v>
      </c>
      <c r="BC106" s="17" t="s">
        <v>2165</v>
      </c>
      <c r="BD106" s="27">
        <f t="shared" si="3"/>
        <v>57</v>
      </c>
      <c r="BE106" s="17" t="s">
        <v>1697</v>
      </c>
      <c r="BF106" s="18" t="s">
        <v>2021</v>
      </c>
      <c r="BG106" s="17" t="s">
        <v>2022</v>
      </c>
      <c r="BH106" s="17"/>
      <c r="BI106" s="17"/>
      <c r="BJ106" s="17" t="s">
        <v>2046</v>
      </c>
      <c r="BK106" s="17"/>
      <c r="BL106" s="17"/>
      <c r="BM106" s="17"/>
      <c r="BN106" s="17"/>
      <c r="BO106" s="17" t="s">
        <v>2166</v>
      </c>
      <c r="BP106" s="17"/>
      <c r="BQ106" s="17"/>
      <c r="BR106" s="17"/>
      <c r="BS106" s="17" t="s">
        <v>127</v>
      </c>
      <c r="BT106" s="17" t="s">
        <v>2167</v>
      </c>
      <c r="BU106" s="17" t="s">
        <v>129</v>
      </c>
      <c r="BV106" s="17"/>
      <c r="BW106" s="17"/>
      <c r="BX106" s="13" t="s">
        <v>212</v>
      </c>
      <c r="BY106" s="13" t="s">
        <v>2168</v>
      </c>
      <c r="DA106" s="13" t="s">
        <v>10348</v>
      </c>
      <c r="DB106" s="13" t="s">
        <v>10348</v>
      </c>
    </row>
    <row r="107" spans="1:106" s="13" customFormat="1" ht="12.75" customHeight="1" x14ac:dyDescent="0.2">
      <c r="A107" s="13" t="s">
        <v>102</v>
      </c>
      <c r="B107" s="13" t="s">
        <v>103</v>
      </c>
      <c r="D107" s="13" t="s">
        <v>104</v>
      </c>
      <c r="E107" s="13" t="s">
        <v>105</v>
      </c>
      <c r="F107" s="13" t="s">
        <v>104</v>
      </c>
      <c r="G107" s="13" t="s">
        <v>105</v>
      </c>
      <c r="H107" s="13" t="s">
        <v>227</v>
      </c>
      <c r="J107" s="13" t="s">
        <v>106</v>
      </c>
      <c r="W107" s="13">
        <v>172</v>
      </c>
      <c r="X107" s="13">
        <v>172</v>
      </c>
      <c r="Y107" s="13" t="s">
        <v>107</v>
      </c>
      <c r="Z107" s="13" t="s">
        <v>108</v>
      </c>
      <c r="AA107" s="13" t="s">
        <v>107</v>
      </c>
      <c r="AB107" s="13" t="s">
        <v>2169</v>
      </c>
      <c r="AC107" s="13" t="s">
        <v>2169</v>
      </c>
      <c r="AD107" s="13" t="s">
        <v>2169</v>
      </c>
      <c r="AE107" s="14" t="s">
        <v>112</v>
      </c>
      <c r="AF107" s="13" t="s">
        <v>2169</v>
      </c>
      <c r="AG107" s="13" t="s">
        <v>2169</v>
      </c>
      <c r="AH107" s="13" t="s">
        <v>2170</v>
      </c>
      <c r="AL107" s="13" t="s">
        <v>2171</v>
      </c>
      <c r="AN107" s="13">
        <v>329</v>
      </c>
      <c r="AO107" s="13" t="s">
        <v>2172</v>
      </c>
      <c r="AQ107" s="13" t="s">
        <v>2169</v>
      </c>
      <c r="AR107" s="13" t="s">
        <v>2169</v>
      </c>
      <c r="AS107" s="13" t="s">
        <v>116</v>
      </c>
      <c r="AT107" s="13" t="s">
        <v>2173</v>
      </c>
      <c r="AU107" s="13" t="s">
        <v>2041</v>
      </c>
      <c r="AV107" s="14" t="s">
        <v>2017</v>
      </c>
      <c r="AX107" s="39"/>
      <c r="AY107" s="21" t="s">
        <v>2174</v>
      </c>
      <c r="AZ107" s="17" t="s">
        <v>2175</v>
      </c>
      <c r="BA107" s="17" t="s">
        <v>2175</v>
      </c>
      <c r="BB107" s="17" t="s">
        <v>2176</v>
      </c>
      <c r="BC107" s="17" t="s">
        <v>2177</v>
      </c>
      <c r="BD107" s="27">
        <f t="shared" si="3"/>
        <v>59</v>
      </c>
      <c r="BE107" s="17" t="s">
        <v>1697</v>
      </c>
      <c r="BF107" s="18" t="s">
        <v>2021</v>
      </c>
      <c r="BG107" s="17" t="s">
        <v>2022</v>
      </c>
      <c r="BH107" s="17"/>
      <c r="BI107" s="17"/>
      <c r="BJ107" s="17" t="s">
        <v>2070</v>
      </c>
      <c r="BK107" s="17"/>
      <c r="BL107" s="17"/>
      <c r="BM107" s="17"/>
      <c r="BN107" s="17"/>
      <c r="BO107" s="17" t="s">
        <v>2166</v>
      </c>
      <c r="BP107" s="17"/>
      <c r="BQ107" s="17"/>
      <c r="BR107" s="17"/>
      <c r="BS107" s="17" t="s">
        <v>127</v>
      </c>
      <c r="BT107" s="17" t="s">
        <v>2167</v>
      </c>
      <c r="BU107" s="17" t="s">
        <v>129</v>
      </c>
      <c r="BV107" s="17"/>
      <c r="BW107" s="17"/>
      <c r="BX107" s="13" t="s">
        <v>212</v>
      </c>
      <c r="BY107" s="13" t="s">
        <v>1897</v>
      </c>
      <c r="DA107" s="13" t="s">
        <v>10348</v>
      </c>
      <c r="DB107" s="13" t="s">
        <v>10348</v>
      </c>
    </row>
    <row r="108" spans="1:106" s="13" customFormat="1" ht="12.75" customHeight="1" x14ac:dyDescent="0.2">
      <c r="A108" s="13" t="s">
        <v>102</v>
      </c>
      <c r="B108" s="13" t="s">
        <v>103</v>
      </c>
      <c r="D108" s="13" t="s">
        <v>104</v>
      </c>
      <c r="E108" s="13" t="s">
        <v>105</v>
      </c>
      <c r="F108" s="13" t="s">
        <v>104</v>
      </c>
      <c r="G108" s="13" t="s">
        <v>105</v>
      </c>
      <c r="H108" s="13" t="s">
        <v>227</v>
      </c>
      <c r="J108" s="13" t="s">
        <v>106</v>
      </c>
      <c r="W108" s="13">
        <v>173</v>
      </c>
      <c r="X108" s="13">
        <v>173</v>
      </c>
      <c r="Y108" s="13" t="s">
        <v>107</v>
      </c>
      <c r="Z108" s="13" t="s">
        <v>108</v>
      </c>
      <c r="AA108" s="13" t="s">
        <v>107</v>
      </c>
      <c r="AB108" s="13" t="s">
        <v>2178</v>
      </c>
      <c r="AC108" s="13" t="s">
        <v>2178</v>
      </c>
      <c r="AD108" s="13" t="s">
        <v>2178</v>
      </c>
      <c r="AE108" s="14" t="s">
        <v>112</v>
      </c>
      <c r="AF108" s="13" t="s">
        <v>2178</v>
      </c>
      <c r="AG108" s="13" t="s">
        <v>2178</v>
      </c>
      <c r="AH108" s="13" t="s">
        <v>2179</v>
      </c>
      <c r="AL108" s="13" t="s">
        <v>2180</v>
      </c>
      <c r="AN108" s="13">
        <v>329</v>
      </c>
      <c r="AO108" s="13" t="s">
        <v>2181</v>
      </c>
      <c r="AQ108" s="13" t="s">
        <v>2178</v>
      </c>
      <c r="AR108" s="13" t="s">
        <v>2178</v>
      </c>
      <c r="AS108" s="13" t="s">
        <v>116</v>
      </c>
      <c r="AT108" s="13" t="s">
        <v>2182</v>
      </c>
      <c r="AU108" s="13" t="s">
        <v>2041</v>
      </c>
      <c r="AV108" s="14" t="s">
        <v>2017</v>
      </c>
      <c r="AX108" s="39"/>
      <c r="AY108" s="21" t="s">
        <v>2183</v>
      </c>
      <c r="AZ108" s="17" t="s">
        <v>2184</v>
      </c>
      <c r="BA108" s="17" t="s">
        <v>2184</v>
      </c>
      <c r="BB108" s="17" t="s">
        <v>2185</v>
      </c>
      <c r="BC108" s="17" t="s">
        <v>2186</v>
      </c>
      <c r="BD108" s="27">
        <f t="shared" si="3"/>
        <v>58</v>
      </c>
      <c r="BE108" s="17" t="s">
        <v>1697</v>
      </c>
      <c r="BF108" s="18" t="s">
        <v>2021</v>
      </c>
      <c r="BG108" s="17" t="s">
        <v>2022</v>
      </c>
      <c r="BH108" s="17"/>
      <c r="BI108" s="17"/>
      <c r="BJ108" s="17" t="s">
        <v>2080</v>
      </c>
      <c r="BK108" s="17"/>
      <c r="BL108" s="17"/>
      <c r="BM108" s="17"/>
      <c r="BN108" s="17"/>
      <c r="BO108" s="17" t="s">
        <v>2166</v>
      </c>
      <c r="BP108" s="17"/>
      <c r="BQ108" s="17"/>
      <c r="BR108" s="17"/>
      <c r="BS108" s="17" t="s">
        <v>127</v>
      </c>
      <c r="BT108" s="17" t="s">
        <v>2167</v>
      </c>
      <c r="BU108" s="17" t="s">
        <v>129</v>
      </c>
      <c r="BV108" s="17"/>
      <c r="BW108" s="17"/>
      <c r="BX108" s="13" t="s">
        <v>212</v>
      </c>
      <c r="BY108" s="13" t="s">
        <v>1897</v>
      </c>
      <c r="DA108" s="13" t="s">
        <v>10348</v>
      </c>
      <c r="DB108" s="13" t="s">
        <v>10348</v>
      </c>
    </row>
    <row r="109" spans="1:106" s="13" customFormat="1" ht="12.75" customHeight="1" x14ac:dyDescent="0.2">
      <c r="A109" s="13" t="s">
        <v>102</v>
      </c>
      <c r="B109" s="13" t="s">
        <v>103</v>
      </c>
      <c r="D109" s="13" t="s">
        <v>104</v>
      </c>
      <c r="E109" s="13" t="s">
        <v>105</v>
      </c>
      <c r="F109" s="13" t="s">
        <v>104</v>
      </c>
      <c r="G109" s="13" t="s">
        <v>105</v>
      </c>
      <c r="H109" s="13" t="s">
        <v>227</v>
      </c>
      <c r="J109" s="13" t="s">
        <v>106</v>
      </c>
      <c r="W109" s="13">
        <v>174</v>
      </c>
      <c r="X109" s="13">
        <v>174</v>
      </c>
      <c r="Y109" s="13" t="s">
        <v>107</v>
      </c>
      <c r="Z109" s="13" t="s">
        <v>108</v>
      </c>
      <c r="AA109" s="13" t="s">
        <v>107</v>
      </c>
      <c r="AB109" s="13" t="s">
        <v>2187</v>
      </c>
      <c r="AC109" s="13" t="s">
        <v>2187</v>
      </c>
      <c r="AD109" s="13" t="s">
        <v>2187</v>
      </c>
      <c r="AE109" s="14" t="s">
        <v>112</v>
      </c>
      <c r="AF109" s="13" t="s">
        <v>2187</v>
      </c>
      <c r="AG109" s="13" t="s">
        <v>2187</v>
      </c>
      <c r="AH109" s="13" t="s">
        <v>2188</v>
      </c>
      <c r="AL109" s="13" t="s">
        <v>2189</v>
      </c>
      <c r="AN109" s="13">
        <v>329</v>
      </c>
      <c r="AO109" s="13" t="s">
        <v>2190</v>
      </c>
      <c r="AQ109" s="13" t="s">
        <v>2187</v>
      </c>
      <c r="AR109" s="13" t="s">
        <v>2187</v>
      </c>
      <c r="AS109" s="13" t="s">
        <v>116</v>
      </c>
      <c r="AT109" s="13" t="s">
        <v>2191</v>
      </c>
      <c r="AU109" s="13" t="s">
        <v>2041</v>
      </c>
      <c r="AV109" s="14" t="s">
        <v>2017</v>
      </c>
      <c r="AX109" s="39"/>
      <c r="AY109" s="21" t="s">
        <v>2192</v>
      </c>
      <c r="AZ109" s="17" t="s">
        <v>2193</v>
      </c>
      <c r="BA109" s="17" t="s">
        <v>2193</v>
      </c>
      <c r="BB109" s="17" t="s">
        <v>2194</v>
      </c>
      <c r="BC109" s="17" t="s">
        <v>2195</v>
      </c>
      <c r="BD109" s="27">
        <f t="shared" si="3"/>
        <v>60</v>
      </c>
      <c r="BE109" s="17" t="s">
        <v>1697</v>
      </c>
      <c r="BF109" s="18" t="s">
        <v>2021</v>
      </c>
      <c r="BG109" s="17" t="s">
        <v>2022</v>
      </c>
      <c r="BH109" s="17"/>
      <c r="BI109" s="17"/>
      <c r="BJ109" s="17" t="s">
        <v>2196</v>
      </c>
      <c r="BK109" s="17"/>
      <c r="BL109" s="17"/>
      <c r="BM109" s="17"/>
      <c r="BN109" s="17"/>
      <c r="BO109" s="17" t="s">
        <v>2166</v>
      </c>
      <c r="BP109" s="17"/>
      <c r="BQ109" s="17"/>
      <c r="BR109" s="17"/>
      <c r="BS109" s="17" t="s">
        <v>127</v>
      </c>
      <c r="BT109" s="17" t="s">
        <v>2167</v>
      </c>
      <c r="BU109" s="17" t="s">
        <v>129</v>
      </c>
      <c r="BV109" s="17"/>
      <c r="BW109" s="17"/>
      <c r="BX109" s="13" t="s">
        <v>212</v>
      </c>
      <c r="BY109" s="13" t="s">
        <v>1897</v>
      </c>
      <c r="DA109" s="13" t="s">
        <v>10348</v>
      </c>
      <c r="DB109" s="13" t="s">
        <v>10348</v>
      </c>
    </row>
    <row r="110" spans="1:106" s="13" customFormat="1" ht="12.75" customHeight="1" x14ac:dyDescent="0.2">
      <c r="A110" s="13" t="s">
        <v>102</v>
      </c>
      <c r="B110" s="13" t="s">
        <v>103</v>
      </c>
      <c r="D110" s="13" t="s">
        <v>104</v>
      </c>
      <c r="E110" s="13" t="s">
        <v>105</v>
      </c>
      <c r="F110" s="13" t="s">
        <v>104</v>
      </c>
      <c r="G110" s="13" t="s">
        <v>105</v>
      </c>
      <c r="H110" s="13" t="s">
        <v>227</v>
      </c>
      <c r="J110" s="13" t="s">
        <v>106</v>
      </c>
      <c r="W110" s="13">
        <v>179</v>
      </c>
      <c r="X110" s="13">
        <v>179</v>
      </c>
      <c r="Y110" s="13" t="s">
        <v>107</v>
      </c>
      <c r="Z110" s="13" t="s">
        <v>108</v>
      </c>
      <c r="AA110" s="13" t="s">
        <v>107</v>
      </c>
      <c r="AB110" s="13" t="s">
        <v>2255</v>
      </c>
      <c r="AC110" s="13" t="s">
        <v>2255</v>
      </c>
      <c r="AD110" s="13" t="s">
        <v>2255</v>
      </c>
      <c r="AE110" s="14" t="s">
        <v>112</v>
      </c>
      <c r="AF110" s="13" t="s">
        <v>2255</v>
      </c>
      <c r="AG110" s="13" t="s">
        <v>2255</v>
      </c>
      <c r="AH110" s="13" t="s">
        <v>2256</v>
      </c>
      <c r="AL110" s="13" t="s">
        <v>2257</v>
      </c>
      <c r="AN110" s="13">
        <v>329</v>
      </c>
      <c r="AO110" s="13" t="s">
        <v>2258</v>
      </c>
      <c r="AQ110" s="13" t="s">
        <v>2255</v>
      </c>
      <c r="AR110" s="13" t="s">
        <v>2255</v>
      </c>
      <c r="AS110" s="13" t="s">
        <v>116</v>
      </c>
      <c r="AT110" s="13" t="s">
        <v>2259</v>
      </c>
      <c r="AU110" s="13" t="s">
        <v>2260</v>
      </c>
      <c r="AV110" s="14" t="s">
        <v>2261</v>
      </c>
      <c r="AY110" s="21" t="s">
        <v>2262</v>
      </c>
      <c r="AZ110" s="17" t="s">
        <v>2263</v>
      </c>
      <c r="BA110" s="17" t="s">
        <v>2263</v>
      </c>
      <c r="BB110" s="17" t="s">
        <v>2264</v>
      </c>
      <c r="BC110" s="17" t="s">
        <v>2264</v>
      </c>
      <c r="BD110" s="27">
        <f t="shared" si="3"/>
        <v>52</v>
      </c>
      <c r="BE110" s="17" t="s">
        <v>1287</v>
      </c>
      <c r="BF110" s="17" t="s">
        <v>789</v>
      </c>
      <c r="BG110" s="17" t="s">
        <v>2265</v>
      </c>
      <c r="BH110" s="17"/>
      <c r="BI110" s="17"/>
      <c r="BJ110" s="17"/>
      <c r="BK110" s="17"/>
      <c r="BL110" s="17" t="s">
        <v>2266</v>
      </c>
      <c r="BM110" s="17"/>
      <c r="BN110" s="17"/>
      <c r="BO110" s="17" t="s">
        <v>2267</v>
      </c>
      <c r="BP110" s="17"/>
      <c r="BQ110" s="17"/>
      <c r="BR110" s="17" t="s">
        <v>144</v>
      </c>
      <c r="BS110" s="17" t="s">
        <v>127</v>
      </c>
      <c r="BT110" s="17"/>
      <c r="BU110" s="17" t="s">
        <v>129</v>
      </c>
      <c r="BV110" s="17"/>
      <c r="BW110" s="17"/>
      <c r="BX110" s="13" t="s">
        <v>212</v>
      </c>
      <c r="BY110" s="13" t="s">
        <v>2268</v>
      </c>
      <c r="DA110" s="13" t="s">
        <v>10348</v>
      </c>
      <c r="DB110" s="13" t="s">
        <v>10348</v>
      </c>
    </row>
    <row r="111" spans="1:106" s="13" customFormat="1" ht="12.75" customHeight="1" x14ac:dyDescent="0.2">
      <c r="A111" s="13" t="s">
        <v>102</v>
      </c>
      <c r="B111" s="13" t="s">
        <v>103</v>
      </c>
      <c r="D111" s="13" t="s">
        <v>104</v>
      </c>
      <c r="E111" s="13" t="s">
        <v>105</v>
      </c>
      <c r="F111" s="13" t="s">
        <v>104</v>
      </c>
      <c r="G111" s="13" t="s">
        <v>105</v>
      </c>
      <c r="H111" s="13" t="s">
        <v>227</v>
      </c>
      <c r="J111" s="13" t="s">
        <v>106</v>
      </c>
      <c r="W111" s="13">
        <v>180</v>
      </c>
      <c r="X111" s="13">
        <v>180</v>
      </c>
      <c r="Y111" s="13" t="s">
        <v>107</v>
      </c>
      <c r="Z111" s="13" t="s">
        <v>108</v>
      </c>
      <c r="AA111" s="13" t="s">
        <v>107</v>
      </c>
      <c r="AB111" s="13" t="s">
        <v>2269</v>
      </c>
      <c r="AC111" s="13" t="s">
        <v>2269</v>
      </c>
      <c r="AD111" s="13" t="s">
        <v>2269</v>
      </c>
      <c r="AE111" s="14" t="s">
        <v>112</v>
      </c>
      <c r="AF111" s="13" t="s">
        <v>2269</v>
      </c>
      <c r="AG111" s="13" t="s">
        <v>2269</v>
      </c>
      <c r="AH111" s="13" t="s">
        <v>2270</v>
      </c>
      <c r="AL111" s="13" t="s">
        <v>2271</v>
      </c>
      <c r="AN111" s="13">
        <v>329</v>
      </c>
      <c r="AO111" s="13" t="s">
        <v>2272</v>
      </c>
      <c r="AQ111" s="13" t="s">
        <v>2269</v>
      </c>
      <c r="AR111" s="13" t="s">
        <v>2269</v>
      </c>
      <c r="AS111" s="13" t="s">
        <v>116</v>
      </c>
      <c r="AT111" s="13" t="s">
        <v>2273</v>
      </c>
      <c r="AU111" s="13" t="s">
        <v>2260</v>
      </c>
      <c r="AV111" s="14" t="s">
        <v>2261</v>
      </c>
      <c r="AY111" s="21" t="s">
        <v>2274</v>
      </c>
      <c r="AZ111" s="17" t="s">
        <v>2275</v>
      </c>
      <c r="BA111" s="17" t="s">
        <v>2275</v>
      </c>
      <c r="BB111" s="17" t="s">
        <v>2276</v>
      </c>
      <c r="BC111" s="17" t="s">
        <v>2276</v>
      </c>
      <c r="BD111" s="27">
        <f t="shared" si="3"/>
        <v>56</v>
      </c>
      <c r="BE111" s="17" t="s">
        <v>1287</v>
      </c>
      <c r="BF111" s="17" t="s">
        <v>789</v>
      </c>
      <c r="BG111" s="17" t="s">
        <v>2277</v>
      </c>
      <c r="BH111" s="17"/>
      <c r="BI111" s="17"/>
      <c r="BJ111" s="17"/>
      <c r="BK111" s="17"/>
      <c r="BL111" s="17" t="s">
        <v>2266</v>
      </c>
      <c r="BM111" s="17"/>
      <c r="BN111" s="17"/>
      <c r="BO111" s="17" t="s">
        <v>2278</v>
      </c>
      <c r="BP111" s="17"/>
      <c r="BQ111" s="17"/>
      <c r="BR111" s="17" t="s">
        <v>144</v>
      </c>
      <c r="BS111" s="17" t="s">
        <v>127</v>
      </c>
      <c r="BT111" s="17"/>
      <c r="BU111" s="17" t="s">
        <v>129</v>
      </c>
      <c r="BV111" s="17"/>
      <c r="BW111" s="17"/>
      <c r="BX111" s="13" t="s">
        <v>212</v>
      </c>
      <c r="BY111" s="13" t="s">
        <v>1897</v>
      </c>
      <c r="DA111" s="13" t="s">
        <v>10348</v>
      </c>
      <c r="DB111" s="13" t="s">
        <v>10348</v>
      </c>
    </row>
    <row r="112" spans="1:106" s="13" customFormat="1" ht="12.75" customHeight="1" x14ac:dyDescent="0.2">
      <c r="A112" s="13" t="s">
        <v>102</v>
      </c>
      <c r="B112" s="13" t="s">
        <v>103</v>
      </c>
      <c r="D112" s="13" t="s">
        <v>104</v>
      </c>
      <c r="E112" s="13" t="s">
        <v>105</v>
      </c>
      <c r="F112" s="13" t="s">
        <v>104</v>
      </c>
      <c r="G112" s="13" t="s">
        <v>105</v>
      </c>
      <c r="H112" s="13" t="s">
        <v>227</v>
      </c>
      <c r="J112" s="13" t="s">
        <v>106</v>
      </c>
      <c r="W112" s="13">
        <v>182</v>
      </c>
      <c r="X112" s="13">
        <v>182</v>
      </c>
      <c r="Y112" s="13" t="s">
        <v>107</v>
      </c>
      <c r="Z112" s="13" t="s">
        <v>108</v>
      </c>
      <c r="AA112" s="13" t="s">
        <v>107</v>
      </c>
      <c r="AB112" s="13" t="s">
        <v>2294</v>
      </c>
      <c r="AC112" s="13" t="s">
        <v>2294</v>
      </c>
      <c r="AD112" s="13" t="s">
        <v>2294</v>
      </c>
      <c r="AE112" s="14" t="s">
        <v>112</v>
      </c>
      <c r="AF112" s="13" t="s">
        <v>2294</v>
      </c>
      <c r="AG112" s="13" t="s">
        <v>2294</v>
      </c>
      <c r="AH112" s="13" t="s">
        <v>2295</v>
      </c>
      <c r="AL112" s="13" t="s">
        <v>2296</v>
      </c>
      <c r="AN112" s="13">
        <v>329</v>
      </c>
      <c r="AO112" s="13" t="s">
        <v>2297</v>
      </c>
      <c r="AQ112" s="13" t="s">
        <v>2294</v>
      </c>
      <c r="AR112" s="13" t="s">
        <v>2294</v>
      </c>
      <c r="AS112" s="13" t="s">
        <v>116</v>
      </c>
      <c r="AT112" s="13" t="s">
        <v>2298</v>
      </c>
      <c r="AU112" s="13" t="s">
        <v>2260</v>
      </c>
      <c r="AV112" s="14" t="s">
        <v>2261</v>
      </c>
      <c r="AY112" s="21" t="s">
        <v>2299</v>
      </c>
      <c r="AZ112" s="17" t="s">
        <v>2300</v>
      </c>
      <c r="BA112" s="17" t="s">
        <v>2300</v>
      </c>
      <c r="BB112" s="17" t="s">
        <v>2301</v>
      </c>
      <c r="BC112" s="17" t="s">
        <v>2301</v>
      </c>
      <c r="BD112" s="27">
        <f t="shared" si="3"/>
        <v>52</v>
      </c>
      <c r="BE112" s="17" t="s">
        <v>1287</v>
      </c>
      <c r="BF112" s="17" t="s">
        <v>789</v>
      </c>
      <c r="BG112" s="17" t="s">
        <v>2265</v>
      </c>
      <c r="BH112" s="17"/>
      <c r="BI112" s="17"/>
      <c r="BJ112" s="17"/>
      <c r="BK112" s="17"/>
      <c r="BL112" s="17" t="s">
        <v>2266</v>
      </c>
      <c r="BM112" s="17"/>
      <c r="BN112" s="17"/>
      <c r="BO112" s="17" t="s">
        <v>2267</v>
      </c>
      <c r="BP112" s="17"/>
      <c r="BQ112" s="17"/>
      <c r="BR112" s="17" t="s">
        <v>2302</v>
      </c>
      <c r="BS112" s="17" t="s">
        <v>127</v>
      </c>
      <c r="BT112" s="17"/>
      <c r="BU112" s="17" t="s">
        <v>129</v>
      </c>
      <c r="BV112" s="17"/>
      <c r="BW112" s="17"/>
      <c r="BX112" s="13" t="s">
        <v>212</v>
      </c>
      <c r="BY112" s="13" t="s">
        <v>1897</v>
      </c>
      <c r="DA112" s="13" t="s">
        <v>10348</v>
      </c>
      <c r="DB112" s="13" t="s">
        <v>10348</v>
      </c>
    </row>
    <row r="113" spans="1:106" s="13" customFormat="1" ht="12.75" customHeight="1" x14ac:dyDescent="0.2">
      <c r="A113" s="13" t="s">
        <v>102</v>
      </c>
      <c r="B113" s="13" t="s">
        <v>103</v>
      </c>
      <c r="D113" s="13" t="s">
        <v>104</v>
      </c>
      <c r="E113" s="13" t="s">
        <v>105</v>
      </c>
      <c r="F113" s="13" t="s">
        <v>104</v>
      </c>
      <c r="G113" s="13" t="s">
        <v>105</v>
      </c>
      <c r="H113" s="13" t="s">
        <v>227</v>
      </c>
      <c r="J113" s="13" t="s">
        <v>106</v>
      </c>
      <c r="W113" s="13">
        <v>183</v>
      </c>
      <c r="X113" s="13">
        <v>183</v>
      </c>
      <c r="Y113" s="13" t="s">
        <v>107</v>
      </c>
      <c r="Z113" s="13" t="s">
        <v>108</v>
      </c>
      <c r="AA113" s="13" t="s">
        <v>107</v>
      </c>
      <c r="AB113" s="13" t="s">
        <v>2303</v>
      </c>
      <c r="AC113" s="13" t="s">
        <v>2303</v>
      </c>
      <c r="AD113" s="13" t="s">
        <v>2303</v>
      </c>
      <c r="AE113" s="14" t="s">
        <v>112</v>
      </c>
      <c r="AF113" s="13" t="s">
        <v>2303</v>
      </c>
      <c r="AG113" s="13" t="s">
        <v>2303</v>
      </c>
      <c r="AH113" s="13" t="s">
        <v>2304</v>
      </c>
      <c r="AL113" s="13" t="s">
        <v>2305</v>
      </c>
      <c r="AN113" s="13">
        <v>329</v>
      </c>
      <c r="AO113" s="13" t="s">
        <v>2306</v>
      </c>
      <c r="AQ113" s="13" t="s">
        <v>2303</v>
      </c>
      <c r="AR113" s="13" t="s">
        <v>2303</v>
      </c>
      <c r="AS113" s="13" t="s">
        <v>116</v>
      </c>
      <c r="AT113" s="13" t="s">
        <v>2307</v>
      </c>
      <c r="AU113" s="13" t="s">
        <v>2260</v>
      </c>
      <c r="AV113" s="14" t="s">
        <v>2261</v>
      </c>
      <c r="AX113" s="39"/>
      <c r="AY113" s="21" t="s">
        <v>2308</v>
      </c>
      <c r="AZ113" s="17" t="s">
        <v>2309</v>
      </c>
      <c r="BA113" s="17" t="s">
        <v>2309</v>
      </c>
      <c r="BB113" s="17" t="s">
        <v>2310</v>
      </c>
      <c r="BC113" s="17" t="s">
        <v>2310</v>
      </c>
      <c r="BD113" s="27">
        <f t="shared" si="3"/>
        <v>58</v>
      </c>
      <c r="BE113" s="17" t="s">
        <v>1287</v>
      </c>
      <c r="BF113" s="17" t="s">
        <v>789</v>
      </c>
      <c r="BG113" s="17" t="s">
        <v>2277</v>
      </c>
      <c r="BH113" s="17"/>
      <c r="BI113" s="17"/>
      <c r="BJ113" s="17"/>
      <c r="BK113" s="17"/>
      <c r="BL113" s="17" t="s">
        <v>2266</v>
      </c>
      <c r="BM113" s="17"/>
      <c r="BN113" s="17"/>
      <c r="BO113" s="17" t="s">
        <v>2311</v>
      </c>
      <c r="BP113" s="17"/>
      <c r="BQ113" s="17"/>
      <c r="BR113" s="17" t="s">
        <v>2302</v>
      </c>
      <c r="BS113" s="17" t="s">
        <v>127</v>
      </c>
      <c r="BT113" s="17"/>
      <c r="BU113" s="17" t="s">
        <v>129</v>
      </c>
      <c r="BV113" s="17"/>
      <c r="BW113" s="17"/>
      <c r="BX113" s="13" t="s">
        <v>212</v>
      </c>
      <c r="BY113" s="13" t="s">
        <v>1897</v>
      </c>
      <c r="DA113" s="13" t="s">
        <v>10348</v>
      </c>
      <c r="DB113" s="13" t="s">
        <v>10348</v>
      </c>
    </row>
    <row r="114" spans="1:106" s="13" customFormat="1" ht="12.75" customHeight="1" x14ac:dyDescent="0.2">
      <c r="A114" s="13" t="s">
        <v>102</v>
      </c>
      <c r="B114" s="13" t="s">
        <v>103</v>
      </c>
      <c r="D114" s="13" t="s">
        <v>104</v>
      </c>
      <c r="E114" s="13" t="s">
        <v>105</v>
      </c>
      <c r="F114" s="13" t="s">
        <v>104</v>
      </c>
      <c r="G114" s="13" t="s">
        <v>105</v>
      </c>
      <c r="H114" s="13" t="s">
        <v>227</v>
      </c>
      <c r="J114" s="13" t="s">
        <v>106</v>
      </c>
      <c r="W114" s="13">
        <v>184</v>
      </c>
      <c r="X114" s="13">
        <v>184</v>
      </c>
      <c r="Y114" s="13" t="s">
        <v>107</v>
      </c>
      <c r="Z114" s="13" t="s">
        <v>108</v>
      </c>
      <c r="AA114" s="13" t="s">
        <v>107</v>
      </c>
      <c r="AB114" s="13" t="s">
        <v>2312</v>
      </c>
      <c r="AC114" s="13" t="s">
        <v>2312</v>
      </c>
      <c r="AD114" s="13" t="s">
        <v>2312</v>
      </c>
      <c r="AE114" s="14" t="s">
        <v>112</v>
      </c>
      <c r="AF114" s="13" t="s">
        <v>2312</v>
      </c>
      <c r="AG114" s="13" t="s">
        <v>2312</v>
      </c>
      <c r="AH114" s="13" t="s">
        <v>2313</v>
      </c>
      <c r="AL114" s="13" t="s">
        <v>2314</v>
      </c>
      <c r="AN114" s="13">
        <v>329</v>
      </c>
      <c r="AO114" s="13" t="s">
        <v>2315</v>
      </c>
      <c r="AQ114" s="13" t="s">
        <v>2312</v>
      </c>
      <c r="AR114" s="13" t="s">
        <v>2312</v>
      </c>
      <c r="AS114" s="13" t="s">
        <v>116</v>
      </c>
      <c r="AT114" s="13" t="s">
        <v>2316</v>
      </c>
      <c r="AU114" s="13" t="s">
        <v>2260</v>
      </c>
      <c r="AV114" s="14" t="s">
        <v>2261</v>
      </c>
      <c r="AY114" s="21" t="s">
        <v>2317</v>
      </c>
      <c r="AZ114" s="17" t="s">
        <v>2318</v>
      </c>
      <c r="BA114" s="17" t="s">
        <v>2318</v>
      </c>
      <c r="BB114" s="17" t="s">
        <v>2319</v>
      </c>
      <c r="BC114" s="17" t="s">
        <v>2319</v>
      </c>
      <c r="BD114" s="27">
        <f t="shared" si="3"/>
        <v>56</v>
      </c>
      <c r="BE114" s="17" t="s">
        <v>1287</v>
      </c>
      <c r="BF114" s="17" t="s">
        <v>789</v>
      </c>
      <c r="BG114" s="17" t="s">
        <v>2277</v>
      </c>
      <c r="BH114" s="17"/>
      <c r="BI114" s="17"/>
      <c r="BJ114" s="17"/>
      <c r="BK114" s="17"/>
      <c r="BL114" s="17" t="s">
        <v>2266</v>
      </c>
      <c r="BM114" s="17"/>
      <c r="BN114" s="17"/>
      <c r="BO114" s="17" t="s">
        <v>2278</v>
      </c>
      <c r="BP114" s="17"/>
      <c r="BQ114" s="17"/>
      <c r="BR114" s="17" t="s">
        <v>2302</v>
      </c>
      <c r="BS114" s="17" t="s">
        <v>127</v>
      </c>
      <c r="BT114" s="17"/>
      <c r="BU114" s="17" t="s">
        <v>129</v>
      </c>
      <c r="BV114" s="17"/>
      <c r="BW114" s="17"/>
      <c r="BX114" s="13" t="s">
        <v>212</v>
      </c>
      <c r="BY114" s="13" t="s">
        <v>1897</v>
      </c>
      <c r="DA114" s="13" t="s">
        <v>10348</v>
      </c>
      <c r="DB114" s="13" t="s">
        <v>10348</v>
      </c>
    </row>
    <row r="115" spans="1:106" s="13" customFormat="1" ht="12.75" customHeight="1" x14ac:dyDescent="0.2">
      <c r="A115" s="13" t="s">
        <v>102</v>
      </c>
      <c r="B115" s="13" t="s">
        <v>103</v>
      </c>
      <c r="D115" s="13" t="s">
        <v>104</v>
      </c>
      <c r="E115" s="13" t="s">
        <v>105</v>
      </c>
      <c r="F115" s="13" t="s">
        <v>104</v>
      </c>
      <c r="G115" s="13" t="s">
        <v>105</v>
      </c>
      <c r="H115" s="13" t="s">
        <v>227</v>
      </c>
      <c r="J115" s="13" t="s">
        <v>106</v>
      </c>
      <c r="W115" s="13">
        <v>185</v>
      </c>
      <c r="X115" s="13">
        <v>185</v>
      </c>
      <c r="Y115" s="13" t="s">
        <v>107</v>
      </c>
      <c r="Z115" s="13" t="s">
        <v>108</v>
      </c>
      <c r="AA115" s="13" t="s">
        <v>107</v>
      </c>
      <c r="AB115" s="13" t="s">
        <v>2320</v>
      </c>
      <c r="AC115" s="13" t="s">
        <v>2320</v>
      </c>
      <c r="AD115" s="13" t="s">
        <v>2320</v>
      </c>
      <c r="AE115" s="14" t="s">
        <v>112</v>
      </c>
      <c r="AF115" s="13" t="s">
        <v>2320</v>
      </c>
      <c r="AG115" s="13" t="s">
        <v>2320</v>
      </c>
      <c r="AH115" s="13" t="s">
        <v>2321</v>
      </c>
      <c r="AL115" s="13" t="s">
        <v>2322</v>
      </c>
      <c r="AN115" s="13">
        <v>329</v>
      </c>
      <c r="AO115" s="13" t="s">
        <v>2323</v>
      </c>
      <c r="AQ115" s="13" t="s">
        <v>2320</v>
      </c>
      <c r="AR115" s="13" t="s">
        <v>2320</v>
      </c>
      <c r="AS115" s="13" t="s">
        <v>116</v>
      </c>
      <c r="AT115" s="13" t="s">
        <v>2324</v>
      </c>
      <c r="AU115" s="13" t="s">
        <v>2260</v>
      </c>
      <c r="AV115" s="14" t="s">
        <v>2261</v>
      </c>
      <c r="AY115" s="21" t="s">
        <v>2325</v>
      </c>
      <c r="AZ115" s="17" t="s">
        <v>2326</v>
      </c>
      <c r="BA115" s="17" t="s">
        <v>2326</v>
      </c>
      <c r="BB115" s="17" t="s">
        <v>2327</v>
      </c>
      <c r="BC115" s="17" t="s">
        <v>2327</v>
      </c>
      <c r="BD115" s="27">
        <f t="shared" si="3"/>
        <v>52</v>
      </c>
      <c r="BE115" s="17" t="s">
        <v>1287</v>
      </c>
      <c r="BF115" s="17" t="s">
        <v>789</v>
      </c>
      <c r="BG115" s="17" t="s">
        <v>2265</v>
      </c>
      <c r="BH115" s="17"/>
      <c r="BI115" s="17"/>
      <c r="BJ115" s="17"/>
      <c r="BK115" s="17"/>
      <c r="BL115" s="17" t="s">
        <v>2266</v>
      </c>
      <c r="BM115" s="17"/>
      <c r="BN115" s="17"/>
      <c r="BO115" s="17" t="s">
        <v>2267</v>
      </c>
      <c r="BP115" s="17"/>
      <c r="BQ115" s="17"/>
      <c r="BR115" s="17" t="s">
        <v>126</v>
      </c>
      <c r="BS115" s="17" t="s">
        <v>127</v>
      </c>
      <c r="BT115" s="17"/>
      <c r="BU115" s="17" t="s">
        <v>129</v>
      </c>
      <c r="BV115" s="17"/>
      <c r="BW115" s="17"/>
      <c r="BX115" s="13" t="s">
        <v>212</v>
      </c>
      <c r="BY115" s="13" t="s">
        <v>1897</v>
      </c>
      <c r="DA115" s="13" t="s">
        <v>10348</v>
      </c>
      <c r="DB115" s="13" t="s">
        <v>10348</v>
      </c>
    </row>
    <row r="116" spans="1:106" s="13" customFormat="1" ht="12.75" customHeight="1" x14ac:dyDescent="0.2">
      <c r="A116" s="13" t="s">
        <v>102</v>
      </c>
      <c r="B116" s="13" t="s">
        <v>103</v>
      </c>
      <c r="D116" s="13" t="s">
        <v>104</v>
      </c>
      <c r="E116" s="13" t="s">
        <v>105</v>
      </c>
      <c r="F116" s="13" t="s">
        <v>104</v>
      </c>
      <c r="G116" s="13" t="s">
        <v>105</v>
      </c>
      <c r="H116" s="13" t="s">
        <v>227</v>
      </c>
      <c r="J116" s="13" t="s">
        <v>106</v>
      </c>
      <c r="W116" s="13">
        <v>186</v>
      </c>
      <c r="X116" s="13">
        <v>186</v>
      </c>
      <c r="Y116" s="13" t="s">
        <v>107</v>
      </c>
      <c r="Z116" s="13" t="s">
        <v>108</v>
      </c>
      <c r="AA116" s="13" t="s">
        <v>107</v>
      </c>
      <c r="AB116" s="13" t="s">
        <v>2328</v>
      </c>
      <c r="AC116" s="13" t="s">
        <v>2328</v>
      </c>
      <c r="AD116" s="13" t="s">
        <v>2328</v>
      </c>
      <c r="AE116" s="14" t="s">
        <v>112</v>
      </c>
      <c r="AF116" s="13" t="s">
        <v>2328</v>
      </c>
      <c r="AG116" s="13" t="s">
        <v>2328</v>
      </c>
      <c r="AH116" s="13" t="s">
        <v>2329</v>
      </c>
      <c r="AL116" s="13" t="s">
        <v>2330</v>
      </c>
      <c r="AN116" s="13">
        <v>329</v>
      </c>
      <c r="AO116" s="13" t="s">
        <v>2331</v>
      </c>
      <c r="AQ116" s="13" t="s">
        <v>2328</v>
      </c>
      <c r="AR116" s="13" t="s">
        <v>2328</v>
      </c>
      <c r="AS116" s="13" t="s">
        <v>116</v>
      </c>
      <c r="AT116" s="13" t="s">
        <v>2332</v>
      </c>
      <c r="AU116" s="13" t="s">
        <v>2260</v>
      </c>
      <c r="AV116" s="14" t="s">
        <v>2261</v>
      </c>
      <c r="AY116" s="21" t="s">
        <v>2333</v>
      </c>
      <c r="AZ116" s="17" t="s">
        <v>2334</v>
      </c>
      <c r="BA116" s="17" t="s">
        <v>2334</v>
      </c>
      <c r="BB116" s="17" t="s">
        <v>2335</v>
      </c>
      <c r="BC116" s="17" t="s">
        <v>2335</v>
      </c>
      <c r="BD116" s="27">
        <f t="shared" si="3"/>
        <v>56</v>
      </c>
      <c r="BE116" s="17" t="s">
        <v>1287</v>
      </c>
      <c r="BF116" s="17" t="s">
        <v>789</v>
      </c>
      <c r="BG116" s="17" t="s">
        <v>2277</v>
      </c>
      <c r="BH116" s="17"/>
      <c r="BI116" s="17"/>
      <c r="BJ116" s="17"/>
      <c r="BK116" s="17"/>
      <c r="BL116" s="17" t="s">
        <v>2266</v>
      </c>
      <c r="BM116" s="17"/>
      <c r="BN116" s="17"/>
      <c r="BO116" s="17" t="s">
        <v>2336</v>
      </c>
      <c r="BP116" s="17"/>
      <c r="BQ116" s="17"/>
      <c r="BR116" s="17" t="s">
        <v>126</v>
      </c>
      <c r="BS116" s="17" t="s">
        <v>127</v>
      </c>
      <c r="BT116" s="17"/>
      <c r="BU116" s="17" t="s">
        <v>129</v>
      </c>
      <c r="BV116" s="17"/>
      <c r="BW116" s="17"/>
      <c r="BX116" s="13" t="s">
        <v>212</v>
      </c>
      <c r="BY116" s="13" t="s">
        <v>1897</v>
      </c>
      <c r="DA116" s="13" t="s">
        <v>10348</v>
      </c>
      <c r="DB116" s="13" t="s">
        <v>10348</v>
      </c>
    </row>
    <row r="117" spans="1:106" s="13" customFormat="1" ht="12.75" customHeight="1" x14ac:dyDescent="0.2">
      <c r="A117" s="13" t="s">
        <v>102</v>
      </c>
      <c r="B117" s="13" t="s">
        <v>103</v>
      </c>
      <c r="D117" s="13" t="s">
        <v>104</v>
      </c>
      <c r="E117" s="13" t="s">
        <v>105</v>
      </c>
      <c r="F117" s="13" t="s">
        <v>104</v>
      </c>
      <c r="G117" s="13" t="s">
        <v>105</v>
      </c>
      <c r="H117" s="13" t="s">
        <v>227</v>
      </c>
      <c r="J117" s="13" t="s">
        <v>106</v>
      </c>
      <c r="W117" s="13">
        <v>187</v>
      </c>
      <c r="X117" s="13">
        <v>187</v>
      </c>
      <c r="Y117" s="13" t="s">
        <v>107</v>
      </c>
      <c r="Z117" s="13" t="s">
        <v>108</v>
      </c>
      <c r="AA117" s="13" t="s">
        <v>107</v>
      </c>
      <c r="AB117" s="13" t="s">
        <v>2337</v>
      </c>
      <c r="AC117" s="13" t="s">
        <v>2337</v>
      </c>
      <c r="AD117" s="13" t="s">
        <v>2337</v>
      </c>
      <c r="AE117" s="14" t="s">
        <v>112</v>
      </c>
      <c r="AF117" s="13" t="s">
        <v>2337</v>
      </c>
      <c r="AG117" s="13" t="s">
        <v>2337</v>
      </c>
      <c r="AH117" s="13" t="s">
        <v>2338</v>
      </c>
      <c r="AL117" s="13" t="s">
        <v>2339</v>
      </c>
      <c r="AN117" s="13">
        <v>329</v>
      </c>
      <c r="AO117" s="13" t="s">
        <v>2340</v>
      </c>
      <c r="AQ117" s="13" t="s">
        <v>2337</v>
      </c>
      <c r="AR117" s="13" t="s">
        <v>2337</v>
      </c>
      <c r="AS117" s="13" t="s">
        <v>116</v>
      </c>
      <c r="AT117" s="13" t="s">
        <v>2341</v>
      </c>
      <c r="AU117" s="13" t="s">
        <v>2260</v>
      </c>
      <c r="AV117" s="14" t="s">
        <v>2261</v>
      </c>
      <c r="AY117" s="21" t="s">
        <v>2342</v>
      </c>
      <c r="AZ117" s="17" t="s">
        <v>2343</v>
      </c>
      <c r="BA117" s="17" t="s">
        <v>2343</v>
      </c>
      <c r="BB117" s="17" t="s">
        <v>2344</v>
      </c>
      <c r="BC117" s="17" t="s">
        <v>2344</v>
      </c>
      <c r="BD117" s="27">
        <f t="shared" si="3"/>
        <v>56</v>
      </c>
      <c r="BE117" s="17" t="s">
        <v>1287</v>
      </c>
      <c r="BF117" s="17" t="s">
        <v>789</v>
      </c>
      <c r="BG117" s="17" t="s">
        <v>2277</v>
      </c>
      <c r="BH117" s="17"/>
      <c r="BI117" s="17"/>
      <c r="BJ117" s="17"/>
      <c r="BK117" s="17"/>
      <c r="BL117" s="17" t="s">
        <v>2266</v>
      </c>
      <c r="BM117" s="17"/>
      <c r="BN117" s="17"/>
      <c r="BO117" s="17" t="s">
        <v>2278</v>
      </c>
      <c r="BP117" s="17"/>
      <c r="BQ117" s="17"/>
      <c r="BR117" s="17" t="s">
        <v>126</v>
      </c>
      <c r="BS117" s="17" t="s">
        <v>127</v>
      </c>
      <c r="BT117" s="17"/>
      <c r="BU117" s="17" t="s">
        <v>129</v>
      </c>
      <c r="BV117" s="17"/>
      <c r="BW117" s="17"/>
      <c r="BX117" s="13" t="s">
        <v>212</v>
      </c>
      <c r="BY117" s="13" t="s">
        <v>1897</v>
      </c>
      <c r="DA117" s="13" t="s">
        <v>10348</v>
      </c>
      <c r="DB117" s="13" t="s">
        <v>10348</v>
      </c>
    </row>
    <row r="118" spans="1:106" s="13" customFormat="1" ht="12.75" customHeight="1" x14ac:dyDescent="0.2">
      <c r="A118" s="13" t="s">
        <v>102</v>
      </c>
      <c r="B118" s="13" t="s">
        <v>103</v>
      </c>
      <c r="D118" s="13" t="s">
        <v>104</v>
      </c>
      <c r="E118" s="13" t="s">
        <v>105</v>
      </c>
      <c r="F118" s="13" t="s">
        <v>104</v>
      </c>
      <c r="G118" s="13" t="s">
        <v>105</v>
      </c>
      <c r="H118" s="13" t="s">
        <v>227</v>
      </c>
      <c r="J118" s="13" t="s">
        <v>106</v>
      </c>
      <c r="W118" s="13">
        <v>188</v>
      </c>
      <c r="X118" s="13">
        <v>188</v>
      </c>
      <c r="Y118" s="13" t="s">
        <v>107</v>
      </c>
      <c r="Z118" s="13" t="s">
        <v>108</v>
      </c>
      <c r="AA118" s="13" t="s">
        <v>107</v>
      </c>
      <c r="AB118" s="13" t="s">
        <v>2345</v>
      </c>
      <c r="AC118" s="13" t="s">
        <v>2345</v>
      </c>
      <c r="AD118" s="13" t="s">
        <v>2345</v>
      </c>
      <c r="AE118" s="14" t="s">
        <v>112</v>
      </c>
      <c r="AF118" s="13" t="s">
        <v>2345</v>
      </c>
      <c r="AG118" s="13" t="s">
        <v>2345</v>
      </c>
      <c r="AH118" s="13" t="s">
        <v>2346</v>
      </c>
      <c r="AL118" s="13" t="s">
        <v>2347</v>
      </c>
      <c r="AN118" s="13">
        <v>329</v>
      </c>
      <c r="AO118" s="13" t="s">
        <v>2348</v>
      </c>
      <c r="AQ118" s="13" t="s">
        <v>2345</v>
      </c>
      <c r="AR118" s="13" t="s">
        <v>2345</v>
      </c>
      <c r="AS118" s="13" t="s">
        <v>116</v>
      </c>
      <c r="AT118" s="13" t="s">
        <v>2349</v>
      </c>
      <c r="AU118" s="13" t="s">
        <v>2260</v>
      </c>
      <c r="AV118" s="14" t="s">
        <v>2261</v>
      </c>
      <c r="AY118" s="21" t="s">
        <v>2350</v>
      </c>
      <c r="AZ118" s="17" t="s">
        <v>2351</v>
      </c>
      <c r="BA118" s="17" t="s">
        <v>2351</v>
      </c>
      <c r="BB118" s="17" t="s">
        <v>2352</v>
      </c>
      <c r="BC118" s="17" t="s">
        <v>2352</v>
      </c>
      <c r="BD118" s="27">
        <f t="shared" si="3"/>
        <v>55</v>
      </c>
      <c r="BE118" s="17" t="s">
        <v>1287</v>
      </c>
      <c r="BF118" s="17" t="s">
        <v>789</v>
      </c>
      <c r="BG118" s="17" t="s">
        <v>2265</v>
      </c>
      <c r="BH118" s="17"/>
      <c r="BI118" s="17"/>
      <c r="BJ118" s="17"/>
      <c r="BK118" s="17"/>
      <c r="BL118" s="17" t="s">
        <v>2266</v>
      </c>
      <c r="BM118" s="17"/>
      <c r="BN118" s="17"/>
      <c r="BO118" s="17" t="s">
        <v>2267</v>
      </c>
      <c r="BP118" s="17"/>
      <c r="BQ118" s="17"/>
      <c r="BR118" s="17" t="s">
        <v>2353</v>
      </c>
      <c r="BS118" s="17" t="s">
        <v>127</v>
      </c>
      <c r="BT118" s="17"/>
      <c r="BU118" s="17" t="s">
        <v>129</v>
      </c>
      <c r="BV118" s="17"/>
      <c r="BW118" s="17"/>
      <c r="BX118" s="13" t="s">
        <v>212</v>
      </c>
      <c r="BY118" s="13" t="s">
        <v>1897</v>
      </c>
      <c r="DA118" s="13" t="s">
        <v>10348</v>
      </c>
      <c r="DB118" s="13" t="s">
        <v>10348</v>
      </c>
    </row>
    <row r="119" spans="1:106" s="13" customFormat="1" ht="12.75" customHeight="1" x14ac:dyDescent="0.2">
      <c r="A119" s="13" t="s">
        <v>102</v>
      </c>
      <c r="B119" s="13" t="s">
        <v>103</v>
      </c>
      <c r="D119" s="13" t="s">
        <v>104</v>
      </c>
      <c r="E119" s="13" t="s">
        <v>105</v>
      </c>
      <c r="F119" s="13" t="s">
        <v>104</v>
      </c>
      <c r="G119" s="13" t="s">
        <v>105</v>
      </c>
      <c r="H119" s="13" t="s">
        <v>227</v>
      </c>
      <c r="J119" s="13" t="s">
        <v>106</v>
      </c>
      <c r="W119" s="13">
        <v>189</v>
      </c>
      <c r="X119" s="13">
        <v>189</v>
      </c>
      <c r="Y119" s="13" t="s">
        <v>107</v>
      </c>
      <c r="Z119" s="13" t="s">
        <v>108</v>
      </c>
      <c r="AA119" s="13" t="s">
        <v>107</v>
      </c>
      <c r="AB119" s="13" t="s">
        <v>2354</v>
      </c>
      <c r="AC119" s="13" t="s">
        <v>2354</v>
      </c>
      <c r="AD119" s="13" t="s">
        <v>2354</v>
      </c>
      <c r="AE119" s="14" t="s">
        <v>112</v>
      </c>
      <c r="AF119" s="13" t="s">
        <v>2354</v>
      </c>
      <c r="AG119" s="13" t="s">
        <v>2354</v>
      </c>
      <c r="AH119" s="13" t="s">
        <v>2355</v>
      </c>
      <c r="AL119" s="13" t="s">
        <v>2356</v>
      </c>
      <c r="AN119" s="13">
        <v>329</v>
      </c>
      <c r="AO119" s="13" t="s">
        <v>2357</v>
      </c>
      <c r="AQ119" s="13" t="s">
        <v>2354</v>
      </c>
      <c r="AR119" s="13" t="s">
        <v>2354</v>
      </c>
      <c r="AS119" s="13" t="s">
        <v>116</v>
      </c>
      <c r="AT119" s="13" t="s">
        <v>2358</v>
      </c>
      <c r="AU119" s="13" t="s">
        <v>2260</v>
      </c>
      <c r="AV119" s="14" t="s">
        <v>2261</v>
      </c>
      <c r="AY119" s="21" t="s">
        <v>2359</v>
      </c>
      <c r="AZ119" s="17" t="s">
        <v>2360</v>
      </c>
      <c r="BA119" s="17" t="s">
        <v>2360</v>
      </c>
      <c r="BB119" s="17" t="s">
        <v>2361</v>
      </c>
      <c r="BC119" s="17" t="s">
        <v>2361</v>
      </c>
      <c r="BD119" s="27">
        <f t="shared" si="3"/>
        <v>60</v>
      </c>
      <c r="BE119" s="17" t="s">
        <v>1287</v>
      </c>
      <c r="BF119" s="17" t="s">
        <v>789</v>
      </c>
      <c r="BG119" s="17" t="s">
        <v>2277</v>
      </c>
      <c r="BH119" s="17"/>
      <c r="BI119" s="17"/>
      <c r="BJ119" s="17"/>
      <c r="BK119" s="17"/>
      <c r="BL119" s="17" t="s">
        <v>2266</v>
      </c>
      <c r="BM119" s="17"/>
      <c r="BN119" s="17"/>
      <c r="BO119" s="17" t="s">
        <v>2362</v>
      </c>
      <c r="BP119" s="17"/>
      <c r="BQ119" s="17"/>
      <c r="BR119" s="17" t="s">
        <v>2353</v>
      </c>
      <c r="BS119" s="17" t="s">
        <v>127</v>
      </c>
      <c r="BT119" s="17"/>
      <c r="BU119" s="17" t="s">
        <v>129</v>
      </c>
      <c r="BV119" s="17"/>
      <c r="BW119" s="17"/>
      <c r="BX119" s="13" t="s">
        <v>212</v>
      </c>
      <c r="BY119" s="13" t="s">
        <v>1897</v>
      </c>
      <c r="DA119" s="13" t="s">
        <v>10348</v>
      </c>
      <c r="DB119" s="13" t="s">
        <v>10348</v>
      </c>
    </row>
    <row r="120" spans="1:106" s="13" customFormat="1" ht="12.75" customHeight="1" x14ac:dyDescent="0.2">
      <c r="A120" s="13" t="s">
        <v>102</v>
      </c>
      <c r="B120" s="13" t="s">
        <v>103</v>
      </c>
      <c r="D120" s="13" t="s">
        <v>104</v>
      </c>
      <c r="E120" s="13" t="s">
        <v>105</v>
      </c>
      <c r="F120" s="13" t="s">
        <v>104</v>
      </c>
      <c r="G120" s="13" t="s">
        <v>105</v>
      </c>
      <c r="H120" s="13" t="s">
        <v>227</v>
      </c>
      <c r="J120" s="13" t="s">
        <v>106</v>
      </c>
      <c r="W120" s="13">
        <v>190</v>
      </c>
      <c r="X120" s="13">
        <v>190</v>
      </c>
      <c r="Y120" s="13" t="s">
        <v>107</v>
      </c>
      <c r="Z120" s="13" t="s">
        <v>108</v>
      </c>
      <c r="AA120" s="13" t="s">
        <v>107</v>
      </c>
      <c r="AB120" s="13" t="s">
        <v>2363</v>
      </c>
      <c r="AC120" s="13" t="s">
        <v>2363</v>
      </c>
      <c r="AD120" s="13" t="s">
        <v>2363</v>
      </c>
      <c r="AE120" s="14" t="s">
        <v>112</v>
      </c>
      <c r="AF120" s="13" t="s">
        <v>2363</v>
      </c>
      <c r="AG120" s="13" t="s">
        <v>2363</v>
      </c>
      <c r="AH120" s="13" t="s">
        <v>2364</v>
      </c>
      <c r="AL120" s="13" t="s">
        <v>2365</v>
      </c>
      <c r="AN120" s="13">
        <v>329</v>
      </c>
      <c r="AO120" s="13" t="s">
        <v>2366</v>
      </c>
      <c r="AQ120" s="13" t="s">
        <v>2363</v>
      </c>
      <c r="AR120" s="13" t="s">
        <v>2363</v>
      </c>
      <c r="AS120" s="13" t="s">
        <v>116</v>
      </c>
      <c r="AT120" s="13" t="s">
        <v>2367</v>
      </c>
      <c r="AU120" s="13" t="s">
        <v>2260</v>
      </c>
      <c r="AV120" s="14" t="s">
        <v>2261</v>
      </c>
      <c r="AY120" s="21" t="s">
        <v>2368</v>
      </c>
      <c r="AZ120" s="17" t="s">
        <v>2369</v>
      </c>
      <c r="BA120" s="17" t="s">
        <v>2369</v>
      </c>
      <c r="BB120" s="17" t="s">
        <v>2370</v>
      </c>
      <c r="BC120" s="17" t="s">
        <v>2370</v>
      </c>
      <c r="BD120" s="27">
        <f t="shared" si="3"/>
        <v>52</v>
      </c>
      <c r="BE120" s="17" t="s">
        <v>1287</v>
      </c>
      <c r="BF120" s="17" t="s">
        <v>789</v>
      </c>
      <c r="BG120" s="17" t="s">
        <v>2265</v>
      </c>
      <c r="BH120" s="17"/>
      <c r="BI120" s="17"/>
      <c r="BJ120" s="17"/>
      <c r="BK120" s="17"/>
      <c r="BL120" s="17" t="s">
        <v>2266</v>
      </c>
      <c r="BM120" s="17"/>
      <c r="BN120" s="17"/>
      <c r="BO120" s="17" t="s">
        <v>2267</v>
      </c>
      <c r="BP120" s="17"/>
      <c r="BQ120" s="17"/>
      <c r="BR120" s="17" t="s">
        <v>2371</v>
      </c>
      <c r="BS120" s="17" t="s">
        <v>127</v>
      </c>
      <c r="BT120" s="17"/>
      <c r="BU120" s="17" t="s">
        <v>129</v>
      </c>
      <c r="BV120" s="17"/>
      <c r="BW120" s="17"/>
      <c r="BX120" s="13" t="s">
        <v>212</v>
      </c>
      <c r="BY120" s="13" t="s">
        <v>1897</v>
      </c>
      <c r="DA120" s="13" t="s">
        <v>10348</v>
      </c>
      <c r="DB120" s="13" t="s">
        <v>10348</v>
      </c>
    </row>
    <row r="121" spans="1:106" s="13" customFormat="1" ht="12.75" customHeight="1" x14ac:dyDescent="0.2">
      <c r="A121" s="13" t="s">
        <v>102</v>
      </c>
      <c r="B121" s="13" t="s">
        <v>103</v>
      </c>
      <c r="D121" s="13" t="s">
        <v>820</v>
      </c>
      <c r="E121" s="13" t="s">
        <v>228</v>
      </c>
      <c r="F121" s="13" t="s">
        <v>820</v>
      </c>
      <c r="G121" s="13" t="s">
        <v>229</v>
      </c>
      <c r="H121" s="13" t="s">
        <v>227</v>
      </c>
      <c r="J121" s="13" t="s">
        <v>106</v>
      </c>
      <c r="W121" s="13">
        <v>191</v>
      </c>
      <c r="X121" s="13">
        <v>191</v>
      </c>
      <c r="Y121" s="13" t="s">
        <v>107</v>
      </c>
      <c r="Z121" s="13" t="s">
        <v>108</v>
      </c>
      <c r="AA121" s="13" t="s">
        <v>107</v>
      </c>
      <c r="AB121" s="13" t="s">
        <v>2372</v>
      </c>
      <c r="AC121" s="13" t="s">
        <v>2372</v>
      </c>
      <c r="AD121" s="13" t="s">
        <v>2372</v>
      </c>
      <c r="AE121" s="39" t="s">
        <v>112</v>
      </c>
      <c r="AF121" s="13" t="s">
        <v>2372</v>
      </c>
      <c r="AG121" s="13" t="s">
        <v>2372</v>
      </c>
      <c r="AH121" s="13" t="s">
        <v>2373</v>
      </c>
      <c r="AL121" s="13" t="s">
        <v>2374</v>
      </c>
      <c r="AN121" s="13">
        <v>329</v>
      </c>
      <c r="AO121" s="13" t="s">
        <v>2375</v>
      </c>
      <c r="AQ121" s="13" t="s">
        <v>2372</v>
      </c>
      <c r="AR121" s="13" t="s">
        <v>2372</v>
      </c>
      <c r="AS121" s="13" t="s">
        <v>116</v>
      </c>
      <c r="AT121" s="13" t="s">
        <v>2376</v>
      </c>
      <c r="AU121" s="13" t="s">
        <v>2377</v>
      </c>
      <c r="AV121" s="13" t="s">
        <v>827</v>
      </c>
      <c r="AW121" s="13" t="s">
        <v>828</v>
      </c>
      <c r="AX121" s="13" t="s">
        <v>829</v>
      </c>
      <c r="AY121" s="13" t="s">
        <v>2378</v>
      </c>
      <c r="AZ121" s="13" t="s">
        <v>2379</v>
      </c>
      <c r="BA121" s="13" t="s">
        <v>2379</v>
      </c>
      <c r="BB121" s="13" t="s">
        <v>2380</v>
      </c>
      <c r="BC121" s="13" t="s">
        <v>2381</v>
      </c>
      <c r="BD121" s="13">
        <f t="shared" ref="BD121:BD128" si="4">LEN(SUBSTITUTE(BC121, ", "," "))</f>
        <v>60</v>
      </c>
      <c r="BE121" s="17" t="s">
        <v>834</v>
      </c>
      <c r="BF121" s="17" t="s">
        <v>736</v>
      </c>
      <c r="BG121" s="17" t="s">
        <v>924</v>
      </c>
      <c r="BH121" s="17" t="s">
        <v>2382</v>
      </c>
      <c r="BJ121" s="31" t="s">
        <v>849</v>
      </c>
      <c r="BO121" s="17" t="s">
        <v>2383</v>
      </c>
      <c r="BP121" s="17" t="s">
        <v>2384</v>
      </c>
      <c r="BS121" s="17" t="s">
        <v>127</v>
      </c>
      <c r="BU121" s="17" t="s">
        <v>129</v>
      </c>
      <c r="BX121" s="13" t="s">
        <v>2385</v>
      </c>
      <c r="DA121" s="13" t="s">
        <v>10348</v>
      </c>
      <c r="DB121" s="13" t="s">
        <v>10348</v>
      </c>
    </row>
    <row r="122" spans="1:106" s="13" customFormat="1" ht="12.75" customHeight="1" x14ac:dyDescent="0.2">
      <c r="A122" s="13" t="s">
        <v>102</v>
      </c>
      <c r="B122" s="13" t="s">
        <v>103</v>
      </c>
      <c r="D122" s="13" t="s">
        <v>820</v>
      </c>
      <c r="E122" s="13" t="s">
        <v>228</v>
      </c>
      <c r="F122" s="13" t="s">
        <v>820</v>
      </c>
      <c r="G122" s="13" t="s">
        <v>229</v>
      </c>
      <c r="H122" s="13" t="s">
        <v>227</v>
      </c>
      <c r="J122" s="13" t="s">
        <v>106</v>
      </c>
      <c r="W122" s="13">
        <v>192</v>
      </c>
      <c r="X122" s="13">
        <v>192</v>
      </c>
      <c r="Y122" s="13" t="s">
        <v>107</v>
      </c>
      <c r="Z122" s="13" t="s">
        <v>108</v>
      </c>
      <c r="AA122" s="13" t="s">
        <v>107</v>
      </c>
      <c r="AB122" s="13" t="s">
        <v>2386</v>
      </c>
      <c r="AC122" s="13" t="s">
        <v>2386</v>
      </c>
      <c r="AD122" s="13" t="s">
        <v>2386</v>
      </c>
      <c r="AE122" s="39" t="s">
        <v>112</v>
      </c>
      <c r="AF122" s="13" t="s">
        <v>2386</v>
      </c>
      <c r="AG122" s="13" t="s">
        <v>2386</v>
      </c>
      <c r="AH122" s="13" t="s">
        <v>2387</v>
      </c>
      <c r="AL122" s="13" t="s">
        <v>2388</v>
      </c>
      <c r="AN122" s="13">
        <v>329</v>
      </c>
      <c r="AO122" s="13" t="s">
        <v>2389</v>
      </c>
      <c r="AQ122" s="13" t="s">
        <v>2386</v>
      </c>
      <c r="AR122" s="13" t="s">
        <v>2386</v>
      </c>
      <c r="AS122" s="13" t="s">
        <v>116</v>
      </c>
      <c r="AT122" s="13" t="s">
        <v>2390</v>
      </c>
      <c r="AU122" s="13" t="s">
        <v>2377</v>
      </c>
      <c r="AV122" s="13" t="s">
        <v>827</v>
      </c>
      <c r="AW122" s="13" t="s">
        <v>828</v>
      </c>
      <c r="AX122" s="13" t="s">
        <v>829</v>
      </c>
      <c r="AY122" s="13" t="s">
        <v>2391</v>
      </c>
      <c r="AZ122" s="13" t="s">
        <v>2392</v>
      </c>
      <c r="BA122" s="13" t="s">
        <v>2392</v>
      </c>
      <c r="BB122" s="13" t="s">
        <v>2393</v>
      </c>
      <c r="BC122" s="13" t="s">
        <v>2394</v>
      </c>
      <c r="BD122" s="13">
        <f t="shared" si="4"/>
        <v>60</v>
      </c>
      <c r="BE122" s="17" t="s">
        <v>834</v>
      </c>
      <c r="BF122" s="17" t="s">
        <v>736</v>
      </c>
      <c r="BG122" s="17" t="s">
        <v>924</v>
      </c>
      <c r="BH122" s="17" t="s">
        <v>2382</v>
      </c>
      <c r="BJ122" s="31" t="s">
        <v>2395</v>
      </c>
      <c r="BO122" s="17" t="s">
        <v>2383</v>
      </c>
      <c r="BP122" s="17" t="s">
        <v>2384</v>
      </c>
      <c r="BS122" s="17" t="s">
        <v>127</v>
      </c>
      <c r="BU122" s="17" t="s">
        <v>129</v>
      </c>
      <c r="BX122" s="13" t="s">
        <v>2396</v>
      </c>
      <c r="DA122" s="13" t="s">
        <v>10348</v>
      </c>
      <c r="DB122" s="13" t="s">
        <v>10348</v>
      </c>
    </row>
    <row r="123" spans="1:106" s="13" customFormat="1" ht="12.75" customHeight="1" x14ac:dyDescent="0.2">
      <c r="A123" s="13" t="s">
        <v>102</v>
      </c>
      <c r="B123" s="13" t="s">
        <v>103</v>
      </c>
      <c r="D123" s="13" t="s">
        <v>820</v>
      </c>
      <c r="E123" s="13" t="s">
        <v>228</v>
      </c>
      <c r="F123" s="13" t="s">
        <v>820</v>
      </c>
      <c r="G123" s="13" t="s">
        <v>229</v>
      </c>
      <c r="H123" s="13" t="s">
        <v>227</v>
      </c>
      <c r="J123" s="13" t="s">
        <v>106</v>
      </c>
      <c r="W123" s="13">
        <v>193</v>
      </c>
      <c r="X123" s="13">
        <v>193</v>
      </c>
      <c r="Y123" s="13" t="s">
        <v>107</v>
      </c>
      <c r="Z123" s="13" t="s">
        <v>108</v>
      </c>
      <c r="AA123" s="13" t="s">
        <v>107</v>
      </c>
      <c r="AB123" s="13" t="s">
        <v>2397</v>
      </c>
      <c r="AC123" s="13" t="s">
        <v>2397</v>
      </c>
      <c r="AD123" s="13" t="s">
        <v>2397</v>
      </c>
      <c r="AE123" s="39" t="s">
        <v>112</v>
      </c>
      <c r="AF123" s="13" t="s">
        <v>2397</v>
      </c>
      <c r="AG123" s="13" t="s">
        <v>2397</v>
      </c>
      <c r="AH123" s="13" t="s">
        <v>2398</v>
      </c>
      <c r="AL123" s="13" t="s">
        <v>2399</v>
      </c>
      <c r="AN123" s="13">
        <v>329</v>
      </c>
      <c r="AO123" s="13" t="s">
        <v>2400</v>
      </c>
      <c r="AQ123" s="13" t="s">
        <v>2397</v>
      </c>
      <c r="AR123" s="13" t="s">
        <v>2397</v>
      </c>
      <c r="AS123" s="13" t="s">
        <v>116</v>
      </c>
      <c r="AT123" s="13" t="s">
        <v>2401</v>
      </c>
      <c r="AU123" s="13" t="s">
        <v>2377</v>
      </c>
      <c r="AV123" s="13" t="s">
        <v>827</v>
      </c>
      <c r="AW123" s="13" t="s">
        <v>828</v>
      </c>
      <c r="AX123" s="13" t="s">
        <v>829</v>
      </c>
      <c r="AY123" s="13" t="s">
        <v>2402</v>
      </c>
      <c r="AZ123" s="13" t="s">
        <v>2403</v>
      </c>
      <c r="BA123" s="13" t="s">
        <v>2403</v>
      </c>
      <c r="BB123" s="13" t="s">
        <v>2404</v>
      </c>
      <c r="BC123" s="13" t="s">
        <v>2405</v>
      </c>
      <c r="BD123" s="13">
        <f t="shared" si="4"/>
        <v>56</v>
      </c>
      <c r="BE123" s="17" t="s">
        <v>834</v>
      </c>
      <c r="BF123" s="17" t="s">
        <v>736</v>
      </c>
      <c r="BG123" s="17" t="s">
        <v>2406</v>
      </c>
      <c r="BH123" s="17" t="s">
        <v>2382</v>
      </c>
      <c r="BJ123" s="31" t="s">
        <v>849</v>
      </c>
      <c r="BO123" s="17" t="s">
        <v>2407</v>
      </c>
      <c r="BP123" s="17" t="s">
        <v>2408</v>
      </c>
      <c r="BS123" s="17" t="s">
        <v>127</v>
      </c>
      <c r="BU123" s="17" t="s">
        <v>129</v>
      </c>
      <c r="BX123" s="13" t="s">
        <v>2409</v>
      </c>
      <c r="DA123" s="13" t="s">
        <v>10348</v>
      </c>
      <c r="DB123" s="13" t="s">
        <v>10348</v>
      </c>
    </row>
    <row r="124" spans="1:106" s="13" customFormat="1" ht="12.75" customHeight="1" x14ac:dyDescent="0.2">
      <c r="A124" s="13" t="s">
        <v>102</v>
      </c>
      <c r="B124" s="13" t="s">
        <v>103</v>
      </c>
      <c r="D124" s="13" t="s">
        <v>820</v>
      </c>
      <c r="E124" s="13" t="s">
        <v>471</v>
      </c>
      <c r="F124" s="13" t="s">
        <v>820</v>
      </c>
      <c r="G124" s="13" t="s">
        <v>229</v>
      </c>
      <c r="H124" s="13" t="s">
        <v>227</v>
      </c>
      <c r="J124" s="13" t="s">
        <v>106</v>
      </c>
      <c r="W124" s="13">
        <v>194</v>
      </c>
      <c r="X124" s="13">
        <v>194</v>
      </c>
      <c r="Y124" s="13" t="s">
        <v>107</v>
      </c>
      <c r="Z124" s="13" t="s">
        <v>108</v>
      </c>
      <c r="AA124" s="13" t="s">
        <v>107</v>
      </c>
      <c r="AB124" s="13" t="s">
        <v>2410</v>
      </c>
      <c r="AC124" s="13" t="s">
        <v>2410</v>
      </c>
      <c r="AD124" s="13" t="s">
        <v>2410</v>
      </c>
      <c r="AE124" s="39" t="s">
        <v>112</v>
      </c>
      <c r="AF124" s="13" t="s">
        <v>2410</v>
      </c>
      <c r="AG124" s="13" t="s">
        <v>2410</v>
      </c>
      <c r="AH124" s="13" t="s">
        <v>2411</v>
      </c>
      <c r="AL124" s="13" t="s">
        <v>2412</v>
      </c>
      <c r="AN124" s="13">
        <v>329</v>
      </c>
      <c r="AO124" s="13" t="s">
        <v>2413</v>
      </c>
      <c r="AQ124" s="13" t="s">
        <v>2410</v>
      </c>
      <c r="AR124" s="13" t="s">
        <v>2410</v>
      </c>
      <c r="AS124" s="13" t="s">
        <v>116</v>
      </c>
      <c r="AT124" s="13" t="s">
        <v>2414</v>
      </c>
      <c r="AU124" s="13" t="s">
        <v>2377</v>
      </c>
      <c r="AV124" s="13" t="s">
        <v>827</v>
      </c>
      <c r="AW124" s="13" t="s">
        <v>828</v>
      </c>
      <c r="AX124" s="13" t="s">
        <v>829</v>
      </c>
      <c r="AY124" s="13" t="s">
        <v>2414</v>
      </c>
      <c r="AZ124" s="13" t="s">
        <v>2415</v>
      </c>
      <c r="BA124" s="13" t="s">
        <v>2415</v>
      </c>
      <c r="BB124" s="13" t="s">
        <v>2416</v>
      </c>
      <c r="BC124" s="13" t="s">
        <v>2417</v>
      </c>
      <c r="BD124" s="13">
        <f t="shared" si="4"/>
        <v>55</v>
      </c>
      <c r="BE124" s="17" t="s">
        <v>834</v>
      </c>
      <c r="BF124" s="17" t="s">
        <v>736</v>
      </c>
      <c r="BG124" s="17" t="s">
        <v>751</v>
      </c>
      <c r="BJ124" s="31" t="s">
        <v>849</v>
      </c>
      <c r="BO124" s="17" t="s">
        <v>2407</v>
      </c>
      <c r="BP124" s="17" t="s">
        <v>2408</v>
      </c>
      <c r="BS124" s="17" t="s">
        <v>127</v>
      </c>
      <c r="BU124" s="17" t="s">
        <v>129</v>
      </c>
      <c r="BX124" s="13" t="s">
        <v>2418</v>
      </c>
      <c r="DA124" s="13" t="s">
        <v>10348</v>
      </c>
      <c r="DB124" s="13" t="s">
        <v>10348</v>
      </c>
    </row>
    <row r="125" spans="1:106" s="13" customFormat="1" ht="12.75" customHeight="1" x14ac:dyDescent="0.2">
      <c r="A125" s="13" t="s">
        <v>102</v>
      </c>
      <c r="B125" s="13" t="s">
        <v>103</v>
      </c>
      <c r="D125" s="13" t="s">
        <v>820</v>
      </c>
      <c r="E125" s="13" t="s">
        <v>471</v>
      </c>
      <c r="F125" s="13" t="s">
        <v>820</v>
      </c>
      <c r="G125" s="13" t="s">
        <v>229</v>
      </c>
      <c r="H125" s="13" t="s">
        <v>227</v>
      </c>
      <c r="J125" s="13" t="s">
        <v>106</v>
      </c>
      <c r="W125" s="13">
        <v>195</v>
      </c>
      <c r="X125" s="13">
        <v>195</v>
      </c>
      <c r="Y125" s="13" t="s">
        <v>107</v>
      </c>
      <c r="Z125" s="13" t="s">
        <v>108</v>
      </c>
      <c r="AA125" s="13" t="s">
        <v>107</v>
      </c>
      <c r="AB125" s="13" t="s">
        <v>2419</v>
      </c>
      <c r="AC125" s="13" t="s">
        <v>2419</v>
      </c>
      <c r="AD125" s="13" t="s">
        <v>2419</v>
      </c>
      <c r="AE125" s="39" t="s">
        <v>112</v>
      </c>
      <c r="AF125" s="13" t="s">
        <v>2419</v>
      </c>
      <c r="AG125" s="13" t="s">
        <v>2419</v>
      </c>
      <c r="AH125" s="13" t="s">
        <v>2420</v>
      </c>
      <c r="AL125" s="13" t="s">
        <v>2421</v>
      </c>
      <c r="AN125" s="13">
        <v>329</v>
      </c>
      <c r="AO125" s="13" t="s">
        <v>2422</v>
      </c>
      <c r="AQ125" s="13" t="s">
        <v>2419</v>
      </c>
      <c r="AR125" s="13" t="s">
        <v>2419</v>
      </c>
      <c r="AS125" s="13" t="s">
        <v>116</v>
      </c>
      <c r="AT125" s="13" t="s">
        <v>2423</v>
      </c>
      <c r="AU125" s="13" t="s">
        <v>2377</v>
      </c>
      <c r="AV125" s="13" t="s">
        <v>827</v>
      </c>
      <c r="AW125" s="13" t="s">
        <v>828</v>
      </c>
      <c r="AX125" s="13" t="s">
        <v>829</v>
      </c>
      <c r="AY125" s="13" t="s">
        <v>2423</v>
      </c>
      <c r="AZ125" s="13" t="s">
        <v>2424</v>
      </c>
      <c r="BA125" s="13" t="s">
        <v>2424</v>
      </c>
      <c r="BB125" s="13" t="s">
        <v>2425</v>
      </c>
      <c r="BC125" s="13" t="s">
        <v>2426</v>
      </c>
      <c r="BD125" s="13">
        <f t="shared" si="4"/>
        <v>58</v>
      </c>
      <c r="BE125" s="17" t="s">
        <v>834</v>
      </c>
      <c r="BF125" s="17" t="s">
        <v>736</v>
      </c>
      <c r="BG125" s="17" t="s">
        <v>924</v>
      </c>
      <c r="BH125" s="17" t="s">
        <v>2382</v>
      </c>
      <c r="BJ125" s="31" t="s">
        <v>2427</v>
      </c>
      <c r="BO125" s="17" t="s">
        <v>2428</v>
      </c>
      <c r="BP125" s="17" t="s">
        <v>2408</v>
      </c>
      <c r="BS125" s="17" t="s">
        <v>127</v>
      </c>
      <c r="BU125" s="17" t="s">
        <v>129</v>
      </c>
      <c r="BX125" s="13" t="s">
        <v>2429</v>
      </c>
      <c r="DA125" s="13" t="s">
        <v>10348</v>
      </c>
      <c r="DB125" s="13" t="s">
        <v>10348</v>
      </c>
    </row>
    <row r="126" spans="1:106" s="13" customFormat="1" ht="12.75" customHeight="1" x14ac:dyDescent="0.2">
      <c r="A126" s="13" t="s">
        <v>102</v>
      </c>
      <c r="B126" s="13" t="s">
        <v>103</v>
      </c>
      <c r="D126" s="13" t="s">
        <v>820</v>
      </c>
      <c r="E126" s="13" t="s">
        <v>228</v>
      </c>
      <c r="F126" s="13" t="s">
        <v>820</v>
      </c>
      <c r="G126" s="13" t="s">
        <v>229</v>
      </c>
      <c r="H126" s="13" t="s">
        <v>227</v>
      </c>
      <c r="J126" s="13" t="s">
        <v>106</v>
      </c>
      <c r="W126" s="13">
        <v>196</v>
      </c>
      <c r="X126" s="13">
        <v>196</v>
      </c>
      <c r="Y126" s="13" t="s">
        <v>107</v>
      </c>
      <c r="Z126" s="13" t="s">
        <v>108</v>
      </c>
      <c r="AA126" s="13" t="s">
        <v>107</v>
      </c>
      <c r="AB126" s="13" t="s">
        <v>2430</v>
      </c>
      <c r="AC126" s="13" t="s">
        <v>2430</v>
      </c>
      <c r="AD126" s="13" t="s">
        <v>2430</v>
      </c>
      <c r="AE126" s="39" t="s">
        <v>112</v>
      </c>
      <c r="AF126" s="13" t="s">
        <v>2430</v>
      </c>
      <c r="AG126" s="13" t="s">
        <v>2430</v>
      </c>
      <c r="AH126" s="13" t="s">
        <v>2431</v>
      </c>
      <c r="AL126" s="13" t="s">
        <v>2432</v>
      </c>
      <c r="AN126" s="13">
        <v>329</v>
      </c>
      <c r="AO126" s="13" t="s">
        <v>2433</v>
      </c>
      <c r="AQ126" s="13" t="s">
        <v>2430</v>
      </c>
      <c r="AR126" s="13" t="s">
        <v>2430</v>
      </c>
      <c r="AS126" s="13" t="s">
        <v>116</v>
      </c>
      <c r="AT126" s="13" t="s">
        <v>2434</v>
      </c>
      <c r="AU126" s="13" t="s">
        <v>2377</v>
      </c>
      <c r="AV126" s="13" t="s">
        <v>827</v>
      </c>
      <c r="AW126" s="13" t="s">
        <v>828</v>
      </c>
      <c r="AX126" s="13" t="s">
        <v>829</v>
      </c>
      <c r="AY126" s="13" t="s">
        <v>2435</v>
      </c>
      <c r="AZ126" s="13" t="s">
        <v>2436</v>
      </c>
      <c r="BA126" s="13" t="s">
        <v>2436</v>
      </c>
      <c r="BB126" s="13" t="s">
        <v>2437</v>
      </c>
      <c r="BC126" s="13" t="s">
        <v>2438</v>
      </c>
      <c r="BD126" s="13">
        <f t="shared" si="4"/>
        <v>59</v>
      </c>
      <c r="BE126" s="17" t="s">
        <v>834</v>
      </c>
      <c r="BF126" s="17" t="s">
        <v>736</v>
      </c>
      <c r="BG126" s="17" t="s">
        <v>924</v>
      </c>
      <c r="BH126" s="17" t="s">
        <v>2382</v>
      </c>
      <c r="BJ126" s="31" t="s">
        <v>2427</v>
      </c>
      <c r="BO126" s="17" t="s">
        <v>2439</v>
      </c>
      <c r="BP126" s="17" t="s">
        <v>2384</v>
      </c>
      <c r="BS126" s="17" t="s">
        <v>127</v>
      </c>
      <c r="BU126" s="17" t="s">
        <v>129</v>
      </c>
      <c r="BX126" s="13" t="s">
        <v>2440</v>
      </c>
      <c r="DA126" s="13" t="s">
        <v>10348</v>
      </c>
      <c r="DB126" s="13" t="s">
        <v>10348</v>
      </c>
    </row>
    <row r="127" spans="1:106" s="13" customFormat="1" ht="12.75" customHeight="1" x14ac:dyDescent="0.2">
      <c r="A127" s="13" t="s">
        <v>102</v>
      </c>
      <c r="B127" s="13" t="s">
        <v>103</v>
      </c>
      <c r="D127" s="13" t="s">
        <v>820</v>
      </c>
      <c r="E127" s="13" t="s">
        <v>228</v>
      </c>
      <c r="F127" s="13" t="s">
        <v>820</v>
      </c>
      <c r="G127" s="13" t="s">
        <v>229</v>
      </c>
      <c r="H127" s="13" t="s">
        <v>227</v>
      </c>
      <c r="J127" s="13" t="s">
        <v>106</v>
      </c>
      <c r="W127" s="13">
        <v>198</v>
      </c>
      <c r="X127" s="13">
        <v>198</v>
      </c>
      <c r="Y127" s="13" t="s">
        <v>107</v>
      </c>
      <c r="Z127" s="13" t="s">
        <v>108</v>
      </c>
      <c r="AA127" s="13" t="s">
        <v>107</v>
      </c>
      <c r="AB127" s="13" t="s">
        <v>2459</v>
      </c>
      <c r="AC127" s="13" t="s">
        <v>2459</v>
      </c>
      <c r="AD127" s="13" t="s">
        <v>2459</v>
      </c>
      <c r="AE127" s="39" t="s">
        <v>112</v>
      </c>
      <c r="AF127" s="13" t="s">
        <v>2459</v>
      </c>
      <c r="AG127" s="13" t="s">
        <v>2459</v>
      </c>
      <c r="AH127" s="13" t="s">
        <v>2460</v>
      </c>
      <c r="AL127" s="13" t="s">
        <v>2461</v>
      </c>
      <c r="AN127" s="13">
        <v>329</v>
      </c>
      <c r="AO127" s="13" t="s">
        <v>2462</v>
      </c>
      <c r="AQ127" s="13" t="s">
        <v>2459</v>
      </c>
      <c r="AR127" s="13" t="s">
        <v>2459</v>
      </c>
      <c r="AS127" s="13" t="s">
        <v>116</v>
      </c>
      <c r="AT127" s="13" t="s">
        <v>2463</v>
      </c>
      <c r="AU127" s="13" t="s">
        <v>2377</v>
      </c>
      <c r="AV127" s="13" t="s">
        <v>827</v>
      </c>
      <c r="AW127" s="13" t="s">
        <v>828</v>
      </c>
      <c r="AX127" s="13" t="s">
        <v>829</v>
      </c>
      <c r="AY127" s="13" t="s">
        <v>2464</v>
      </c>
      <c r="AZ127" s="13" t="s">
        <v>2465</v>
      </c>
      <c r="BA127" s="13" t="s">
        <v>2465</v>
      </c>
      <c r="BB127" s="13" t="s">
        <v>2466</v>
      </c>
      <c r="BC127" s="13" t="s">
        <v>2467</v>
      </c>
      <c r="BD127" s="13">
        <f t="shared" si="4"/>
        <v>60</v>
      </c>
      <c r="BE127" s="17" t="s">
        <v>834</v>
      </c>
      <c r="BF127" s="17" t="s">
        <v>736</v>
      </c>
      <c r="BG127" s="17" t="s">
        <v>924</v>
      </c>
      <c r="BH127" s="17" t="s">
        <v>2382</v>
      </c>
      <c r="BJ127" s="31" t="s">
        <v>849</v>
      </c>
      <c r="BO127" s="17" t="s">
        <v>2468</v>
      </c>
      <c r="BP127" s="17" t="s">
        <v>2384</v>
      </c>
      <c r="BS127" s="17" t="s">
        <v>127</v>
      </c>
      <c r="BU127" s="17" t="s">
        <v>129</v>
      </c>
      <c r="BX127" s="13" t="s">
        <v>2469</v>
      </c>
      <c r="DA127" s="13" t="s">
        <v>10348</v>
      </c>
      <c r="DB127" s="13" t="s">
        <v>10348</v>
      </c>
    </row>
    <row r="128" spans="1:106" s="13" customFormat="1" ht="12.75" customHeight="1" x14ac:dyDescent="0.2">
      <c r="A128" s="13" t="s">
        <v>102</v>
      </c>
      <c r="B128" s="13" t="s">
        <v>103</v>
      </c>
      <c r="D128" s="13" t="s">
        <v>820</v>
      </c>
      <c r="E128" s="13" t="s">
        <v>228</v>
      </c>
      <c r="F128" s="13" t="s">
        <v>820</v>
      </c>
      <c r="G128" s="13" t="s">
        <v>229</v>
      </c>
      <c r="H128" s="13" t="s">
        <v>227</v>
      </c>
      <c r="J128" s="13" t="s">
        <v>106</v>
      </c>
      <c r="W128" s="13">
        <v>199</v>
      </c>
      <c r="X128" s="13">
        <v>199</v>
      </c>
      <c r="Y128" s="13" t="s">
        <v>107</v>
      </c>
      <c r="Z128" s="13" t="s">
        <v>108</v>
      </c>
      <c r="AA128" s="13" t="s">
        <v>107</v>
      </c>
      <c r="AB128" s="13" t="s">
        <v>2470</v>
      </c>
      <c r="AC128" s="13" t="s">
        <v>2470</v>
      </c>
      <c r="AD128" s="13" t="s">
        <v>2470</v>
      </c>
      <c r="AE128" s="39" t="s">
        <v>112</v>
      </c>
      <c r="AF128" s="13" t="s">
        <v>2470</v>
      </c>
      <c r="AG128" s="13" t="s">
        <v>2470</v>
      </c>
      <c r="AH128" s="13" t="s">
        <v>2471</v>
      </c>
      <c r="AL128" s="13" t="s">
        <v>2472</v>
      </c>
      <c r="AN128" s="13">
        <v>329</v>
      </c>
      <c r="AO128" s="13" t="s">
        <v>2473</v>
      </c>
      <c r="AQ128" s="13" t="s">
        <v>2470</v>
      </c>
      <c r="AR128" s="13" t="s">
        <v>2470</v>
      </c>
      <c r="AS128" s="13" t="s">
        <v>116</v>
      </c>
      <c r="AT128" s="13" t="s">
        <v>2474</v>
      </c>
      <c r="AU128" s="13" t="s">
        <v>2377</v>
      </c>
      <c r="AV128" s="13" t="s">
        <v>827</v>
      </c>
      <c r="AW128" s="13" t="s">
        <v>828</v>
      </c>
      <c r="AX128" s="13" t="s">
        <v>829</v>
      </c>
      <c r="AY128" s="13" t="s">
        <v>2475</v>
      </c>
      <c r="AZ128" s="13" t="s">
        <v>2476</v>
      </c>
      <c r="BA128" s="13" t="s">
        <v>2476</v>
      </c>
      <c r="BB128" s="13" t="s">
        <v>2477</v>
      </c>
      <c r="BC128" s="13" t="s">
        <v>2478</v>
      </c>
      <c r="BD128" s="13">
        <f t="shared" si="4"/>
        <v>60</v>
      </c>
      <c r="BE128" s="17" t="s">
        <v>834</v>
      </c>
      <c r="BF128" s="17" t="s">
        <v>736</v>
      </c>
      <c r="BG128" s="17" t="s">
        <v>924</v>
      </c>
      <c r="BH128" s="17" t="s">
        <v>2382</v>
      </c>
      <c r="BJ128" s="31" t="s">
        <v>2395</v>
      </c>
      <c r="BO128" s="17" t="s">
        <v>2468</v>
      </c>
      <c r="BP128" s="17" t="s">
        <v>2384</v>
      </c>
      <c r="BS128" s="17" t="s">
        <v>127</v>
      </c>
      <c r="BU128" s="17" t="s">
        <v>129</v>
      </c>
      <c r="BX128" s="13" t="s">
        <v>2479</v>
      </c>
      <c r="DA128" s="13" t="s">
        <v>10348</v>
      </c>
      <c r="DB128" s="13" t="s">
        <v>10348</v>
      </c>
    </row>
    <row r="129" spans="1:106" s="13" customFormat="1" ht="12.75" customHeight="1" x14ac:dyDescent="0.2">
      <c r="A129" s="13" t="s">
        <v>102</v>
      </c>
      <c r="B129" s="13" t="s">
        <v>103</v>
      </c>
      <c r="D129" s="13" t="s">
        <v>104</v>
      </c>
      <c r="E129" s="13" t="s">
        <v>105</v>
      </c>
      <c r="F129" s="13" t="s">
        <v>104</v>
      </c>
      <c r="G129" s="13" t="s">
        <v>105</v>
      </c>
      <c r="H129" s="13" t="s">
        <v>227</v>
      </c>
      <c r="J129" s="13" t="s">
        <v>106</v>
      </c>
      <c r="W129" s="13">
        <v>213</v>
      </c>
      <c r="X129" s="13">
        <v>213</v>
      </c>
      <c r="Y129" s="13" t="s">
        <v>107</v>
      </c>
      <c r="Z129" s="13" t="s">
        <v>108</v>
      </c>
      <c r="AA129" s="13" t="s">
        <v>107</v>
      </c>
      <c r="AB129" s="13" t="s">
        <v>2585</v>
      </c>
      <c r="AC129" s="13" t="s">
        <v>2585</v>
      </c>
      <c r="AD129" s="13" t="s">
        <v>2585</v>
      </c>
      <c r="AE129" s="14" t="s">
        <v>112</v>
      </c>
      <c r="AF129" s="13" t="s">
        <v>2585</v>
      </c>
      <c r="AG129" s="13" t="s">
        <v>2585</v>
      </c>
      <c r="AH129" s="13" t="s">
        <v>2586</v>
      </c>
      <c r="AL129" s="13" t="s">
        <v>2587</v>
      </c>
      <c r="AN129" s="13">
        <v>329</v>
      </c>
      <c r="AO129" s="13" t="s">
        <v>2588</v>
      </c>
      <c r="AQ129" s="13" t="s">
        <v>2585</v>
      </c>
      <c r="AR129" s="13" t="s">
        <v>2585</v>
      </c>
      <c r="AS129" s="13" t="s">
        <v>116</v>
      </c>
      <c r="AT129" s="13" t="s">
        <v>2589</v>
      </c>
      <c r="AU129" s="13" t="s">
        <v>2590</v>
      </c>
      <c r="AV129" s="14" t="s">
        <v>1127</v>
      </c>
      <c r="AY129" s="21" t="s">
        <v>2591</v>
      </c>
      <c r="AZ129" s="17" t="s">
        <v>2592</v>
      </c>
      <c r="BA129" s="17" t="s">
        <v>2592</v>
      </c>
      <c r="BB129" s="17" t="s">
        <v>2593</v>
      </c>
      <c r="BC129" s="17" t="s">
        <v>2594</v>
      </c>
      <c r="BD129" s="27">
        <f t="shared" ref="BD129:BD145" si="5">LEN(SUBSTITUTE(BC129,", ",","))</f>
        <v>58</v>
      </c>
      <c r="BE129" s="17" t="s">
        <v>2595</v>
      </c>
      <c r="BF129" s="17" t="s">
        <v>2596</v>
      </c>
      <c r="BG129" s="17" t="s">
        <v>2290</v>
      </c>
      <c r="BH129" s="17"/>
      <c r="BI129" s="17"/>
      <c r="BJ129" s="17" t="s">
        <v>2597</v>
      </c>
      <c r="BK129" s="31" t="s">
        <v>2598</v>
      </c>
      <c r="BL129" s="17"/>
      <c r="BM129" s="17"/>
      <c r="BN129" s="17"/>
      <c r="BO129" s="17" t="s">
        <v>2599</v>
      </c>
      <c r="BP129" s="17"/>
      <c r="BQ129" s="17"/>
      <c r="BR129" s="17"/>
      <c r="BS129" s="17" t="s">
        <v>127</v>
      </c>
      <c r="BT129" s="17"/>
      <c r="BU129" s="17" t="s">
        <v>129</v>
      </c>
      <c r="BV129" s="17"/>
      <c r="BW129" s="17"/>
      <c r="BX129" s="13" t="s">
        <v>212</v>
      </c>
      <c r="BY129" s="13" t="s">
        <v>2600</v>
      </c>
      <c r="DA129" s="13" t="s">
        <v>10348</v>
      </c>
      <c r="DB129" s="13" t="s">
        <v>10348</v>
      </c>
    </row>
    <row r="130" spans="1:106" s="13" customFormat="1" ht="12.75" customHeight="1" x14ac:dyDescent="0.2">
      <c r="A130" s="13" t="s">
        <v>102</v>
      </c>
      <c r="B130" s="13" t="s">
        <v>103</v>
      </c>
      <c r="D130" s="13" t="s">
        <v>104</v>
      </c>
      <c r="E130" s="13" t="s">
        <v>105</v>
      </c>
      <c r="F130" s="13" t="s">
        <v>104</v>
      </c>
      <c r="G130" s="13" t="s">
        <v>105</v>
      </c>
      <c r="H130" s="13" t="s">
        <v>227</v>
      </c>
      <c r="J130" s="13" t="s">
        <v>106</v>
      </c>
      <c r="W130" s="13">
        <v>214</v>
      </c>
      <c r="X130" s="13">
        <v>214</v>
      </c>
      <c r="Y130" s="13" t="s">
        <v>107</v>
      </c>
      <c r="Z130" s="13" t="s">
        <v>108</v>
      </c>
      <c r="AA130" s="13" t="s">
        <v>107</v>
      </c>
      <c r="AB130" s="13" t="s">
        <v>2601</v>
      </c>
      <c r="AC130" s="13" t="s">
        <v>2601</v>
      </c>
      <c r="AD130" s="13" t="s">
        <v>2601</v>
      </c>
      <c r="AE130" s="14" t="s">
        <v>112</v>
      </c>
      <c r="AF130" s="13" t="s">
        <v>2601</v>
      </c>
      <c r="AG130" s="13" t="s">
        <v>2601</v>
      </c>
      <c r="AH130" s="13" t="s">
        <v>2602</v>
      </c>
      <c r="AL130" s="13" t="s">
        <v>2603</v>
      </c>
      <c r="AN130" s="13">
        <v>329</v>
      </c>
      <c r="AO130" s="13" t="s">
        <v>2604</v>
      </c>
      <c r="AQ130" s="13" t="s">
        <v>2601</v>
      </c>
      <c r="AR130" s="13" t="s">
        <v>2601</v>
      </c>
      <c r="AS130" s="13" t="s">
        <v>116</v>
      </c>
      <c r="AT130" s="13" t="s">
        <v>2589</v>
      </c>
      <c r="AU130" s="13" t="s">
        <v>2590</v>
      </c>
      <c r="AV130" s="14" t="s">
        <v>1127</v>
      </c>
      <c r="AY130" s="21" t="s">
        <v>2605</v>
      </c>
      <c r="AZ130" s="17" t="s">
        <v>2606</v>
      </c>
      <c r="BA130" s="17" t="s">
        <v>2606</v>
      </c>
      <c r="BB130" s="17" t="s">
        <v>2607</v>
      </c>
      <c r="BC130" s="17" t="s">
        <v>2608</v>
      </c>
      <c r="BD130" s="27">
        <f t="shared" si="5"/>
        <v>56</v>
      </c>
      <c r="BE130" s="17" t="s">
        <v>2595</v>
      </c>
      <c r="BF130" s="17" t="s">
        <v>2596</v>
      </c>
      <c r="BG130" s="17" t="s">
        <v>2290</v>
      </c>
      <c r="BH130" s="17"/>
      <c r="BI130" s="17"/>
      <c r="BJ130" s="17" t="s">
        <v>2609</v>
      </c>
      <c r="BK130" s="31" t="s">
        <v>2610</v>
      </c>
      <c r="BL130" s="17"/>
      <c r="BM130" s="17"/>
      <c r="BN130" s="17"/>
      <c r="BO130" s="17" t="s">
        <v>2611</v>
      </c>
      <c r="BP130" s="17"/>
      <c r="BQ130" s="17"/>
      <c r="BR130" s="17"/>
      <c r="BS130" s="17" t="s">
        <v>127</v>
      </c>
      <c r="BT130" s="17"/>
      <c r="BU130" s="17" t="s">
        <v>129</v>
      </c>
      <c r="BV130" s="17"/>
      <c r="BW130" s="17"/>
      <c r="BX130" s="13" t="s">
        <v>2612</v>
      </c>
      <c r="BY130" s="13" t="s">
        <v>1897</v>
      </c>
      <c r="DA130" s="13" t="s">
        <v>10348</v>
      </c>
      <c r="DB130" s="13" t="s">
        <v>10348</v>
      </c>
    </row>
    <row r="131" spans="1:106" s="13" customFormat="1" ht="12.75" customHeight="1" x14ac:dyDescent="0.2">
      <c r="A131" s="13" t="s">
        <v>102</v>
      </c>
      <c r="B131" s="13" t="s">
        <v>103</v>
      </c>
      <c r="D131" s="13" t="s">
        <v>104</v>
      </c>
      <c r="E131" s="13" t="s">
        <v>105</v>
      </c>
      <c r="F131" s="13" t="s">
        <v>104</v>
      </c>
      <c r="G131" s="13" t="s">
        <v>105</v>
      </c>
      <c r="H131" s="13" t="s">
        <v>227</v>
      </c>
      <c r="J131" s="13" t="s">
        <v>106</v>
      </c>
      <c r="W131" s="13">
        <v>215</v>
      </c>
      <c r="X131" s="13">
        <v>215</v>
      </c>
      <c r="Y131" s="13" t="s">
        <v>107</v>
      </c>
      <c r="Z131" s="13" t="s">
        <v>108</v>
      </c>
      <c r="AA131" s="13" t="s">
        <v>107</v>
      </c>
      <c r="AB131" s="13" t="s">
        <v>2613</v>
      </c>
      <c r="AC131" s="13" t="s">
        <v>2613</v>
      </c>
      <c r="AD131" s="13" t="s">
        <v>2613</v>
      </c>
      <c r="AE131" s="14" t="s">
        <v>112</v>
      </c>
      <c r="AF131" s="13" t="s">
        <v>2613</v>
      </c>
      <c r="AG131" s="13" t="s">
        <v>2613</v>
      </c>
      <c r="AH131" s="13" t="s">
        <v>2614</v>
      </c>
      <c r="AL131" s="13" t="s">
        <v>2615</v>
      </c>
      <c r="AN131" s="13">
        <v>329</v>
      </c>
      <c r="AO131" s="13" t="s">
        <v>2616</v>
      </c>
      <c r="AQ131" s="13" t="s">
        <v>2613</v>
      </c>
      <c r="AR131" s="13" t="s">
        <v>2613</v>
      </c>
      <c r="AS131" s="13" t="s">
        <v>116</v>
      </c>
      <c r="AT131" s="13" t="s">
        <v>2589</v>
      </c>
      <c r="AU131" s="13" t="s">
        <v>2590</v>
      </c>
      <c r="AV131" s="14" t="s">
        <v>1127</v>
      </c>
      <c r="AY131" s="21" t="s">
        <v>2617</v>
      </c>
      <c r="AZ131" s="17" t="s">
        <v>2618</v>
      </c>
      <c r="BA131" s="17" t="s">
        <v>2618</v>
      </c>
      <c r="BB131" s="17" t="s">
        <v>2619</v>
      </c>
      <c r="BC131" s="17" t="s">
        <v>2620</v>
      </c>
      <c r="BD131" s="27">
        <f t="shared" si="5"/>
        <v>51</v>
      </c>
      <c r="BE131" s="17" t="s">
        <v>2595</v>
      </c>
      <c r="BF131" s="17" t="s">
        <v>2596</v>
      </c>
      <c r="BG131" s="17"/>
      <c r="BH131" s="17"/>
      <c r="BI131" s="17"/>
      <c r="BJ131" s="17" t="s">
        <v>2455</v>
      </c>
      <c r="BK131" s="31" t="s">
        <v>2621</v>
      </c>
      <c r="BL131" s="17"/>
      <c r="BM131" s="17"/>
      <c r="BN131" s="17"/>
      <c r="BO131" s="17" t="s">
        <v>2622</v>
      </c>
      <c r="BP131" s="17"/>
      <c r="BQ131" s="17"/>
      <c r="BR131" s="17"/>
      <c r="BS131" s="17" t="s">
        <v>127</v>
      </c>
      <c r="BT131" s="17"/>
      <c r="BU131" s="17" t="s">
        <v>129</v>
      </c>
      <c r="BV131" s="17"/>
      <c r="BW131" s="17"/>
      <c r="BX131" s="13" t="s">
        <v>2623</v>
      </c>
      <c r="BY131" s="13" t="s">
        <v>1897</v>
      </c>
      <c r="DA131" s="13" t="s">
        <v>10348</v>
      </c>
      <c r="DB131" s="13" t="s">
        <v>10348</v>
      </c>
    </row>
    <row r="132" spans="1:106" s="13" customFormat="1" ht="12.75" customHeight="1" x14ac:dyDescent="0.2">
      <c r="A132" s="13" t="s">
        <v>102</v>
      </c>
      <c r="B132" s="13" t="s">
        <v>103</v>
      </c>
      <c r="D132" s="13" t="s">
        <v>104</v>
      </c>
      <c r="E132" s="13" t="s">
        <v>105</v>
      </c>
      <c r="F132" s="13" t="s">
        <v>104</v>
      </c>
      <c r="G132" s="13" t="s">
        <v>105</v>
      </c>
      <c r="H132" s="13" t="s">
        <v>227</v>
      </c>
      <c r="J132" s="13" t="s">
        <v>106</v>
      </c>
      <c r="W132" s="13">
        <v>216</v>
      </c>
      <c r="X132" s="13">
        <v>216</v>
      </c>
      <c r="Y132" s="13" t="s">
        <v>107</v>
      </c>
      <c r="Z132" s="13" t="s">
        <v>108</v>
      </c>
      <c r="AA132" s="13" t="s">
        <v>107</v>
      </c>
      <c r="AB132" s="13" t="s">
        <v>2624</v>
      </c>
      <c r="AC132" s="13" t="s">
        <v>2624</v>
      </c>
      <c r="AD132" s="13" t="s">
        <v>2624</v>
      </c>
      <c r="AE132" s="14" t="s">
        <v>112</v>
      </c>
      <c r="AF132" s="13" t="s">
        <v>2624</v>
      </c>
      <c r="AG132" s="13" t="s">
        <v>2624</v>
      </c>
      <c r="AH132" s="13" t="s">
        <v>2625</v>
      </c>
      <c r="AL132" s="13" t="s">
        <v>2626</v>
      </c>
      <c r="AN132" s="13">
        <v>329</v>
      </c>
      <c r="AO132" s="13" t="s">
        <v>2627</v>
      </c>
      <c r="AQ132" s="13" t="s">
        <v>2624</v>
      </c>
      <c r="AR132" s="13" t="s">
        <v>2624</v>
      </c>
      <c r="AS132" s="13" t="s">
        <v>116</v>
      </c>
      <c r="AT132" s="13" t="s">
        <v>2628</v>
      </c>
      <c r="AU132" s="13" t="s">
        <v>2590</v>
      </c>
      <c r="AV132" s="14" t="s">
        <v>1127</v>
      </c>
      <c r="AY132" s="21" t="s">
        <v>2629</v>
      </c>
      <c r="AZ132" s="17" t="s">
        <v>2630</v>
      </c>
      <c r="BA132" s="17" t="s">
        <v>2630</v>
      </c>
      <c r="BB132" s="17" t="s">
        <v>2631</v>
      </c>
      <c r="BC132" s="17" t="s">
        <v>2632</v>
      </c>
      <c r="BD132" s="27">
        <f t="shared" si="5"/>
        <v>51</v>
      </c>
      <c r="BE132" s="17" t="s">
        <v>2595</v>
      </c>
      <c r="BF132" s="17" t="s">
        <v>2596</v>
      </c>
      <c r="BG132" s="17"/>
      <c r="BH132" s="17"/>
      <c r="BI132" s="17"/>
      <c r="BJ132" s="17" t="s">
        <v>2517</v>
      </c>
      <c r="BK132" s="31" t="s">
        <v>2633</v>
      </c>
      <c r="BL132" s="17"/>
      <c r="BM132" s="17"/>
      <c r="BN132" s="17"/>
      <c r="BO132" s="17" t="s">
        <v>2599</v>
      </c>
      <c r="BP132" s="17"/>
      <c r="BQ132" s="17"/>
      <c r="BR132" s="17"/>
      <c r="BS132" s="17" t="s">
        <v>127</v>
      </c>
      <c r="BT132" s="17"/>
      <c r="BU132" s="17" t="s">
        <v>129</v>
      </c>
      <c r="BV132" s="17"/>
      <c r="BW132" s="17"/>
      <c r="BX132" s="13" t="s">
        <v>2634</v>
      </c>
      <c r="BY132" s="13" t="s">
        <v>1897</v>
      </c>
      <c r="DA132" s="13" t="s">
        <v>10348</v>
      </c>
      <c r="DB132" s="13" t="s">
        <v>10348</v>
      </c>
    </row>
    <row r="133" spans="1:106" s="13" customFormat="1" ht="12.75" customHeight="1" x14ac:dyDescent="0.2">
      <c r="A133" s="13" t="s">
        <v>102</v>
      </c>
      <c r="B133" s="13" t="s">
        <v>103</v>
      </c>
      <c r="D133" s="13" t="s">
        <v>104</v>
      </c>
      <c r="E133" s="13" t="s">
        <v>105</v>
      </c>
      <c r="F133" s="13" t="s">
        <v>104</v>
      </c>
      <c r="G133" s="13" t="s">
        <v>105</v>
      </c>
      <c r="H133" s="13" t="s">
        <v>227</v>
      </c>
      <c r="J133" s="13" t="s">
        <v>106</v>
      </c>
      <c r="W133" s="13">
        <v>217</v>
      </c>
      <c r="X133" s="13">
        <v>217</v>
      </c>
      <c r="Y133" s="13" t="s">
        <v>107</v>
      </c>
      <c r="Z133" s="13" t="s">
        <v>108</v>
      </c>
      <c r="AA133" s="13" t="s">
        <v>107</v>
      </c>
      <c r="AB133" s="13" t="s">
        <v>2635</v>
      </c>
      <c r="AC133" s="13" t="s">
        <v>2635</v>
      </c>
      <c r="AD133" s="13" t="s">
        <v>2635</v>
      </c>
      <c r="AE133" s="14" t="s">
        <v>112</v>
      </c>
      <c r="AF133" s="13" t="s">
        <v>2635</v>
      </c>
      <c r="AG133" s="13" t="s">
        <v>2635</v>
      </c>
      <c r="AH133" s="13" t="s">
        <v>2636</v>
      </c>
      <c r="AL133" s="13" t="s">
        <v>2637</v>
      </c>
      <c r="AN133" s="13">
        <v>329</v>
      </c>
      <c r="AO133" s="13" t="s">
        <v>2638</v>
      </c>
      <c r="AQ133" s="13" t="s">
        <v>2635</v>
      </c>
      <c r="AR133" s="13" t="s">
        <v>2635</v>
      </c>
      <c r="AS133" s="13" t="s">
        <v>116</v>
      </c>
      <c r="AT133" s="13" t="s">
        <v>2639</v>
      </c>
      <c r="AU133" s="13" t="s">
        <v>2590</v>
      </c>
      <c r="AV133" s="14" t="s">
        <v>1127</v>
      </c>
      <c r="AY133" s="21" t="s">
        <v>2640</v>
      </c>
      <c r="AZ133" s="17" t="s">
        <v>2641</v>
      </c>
      <c r="BA133" s="17" t="s">
        <v>2641</v>
      </c>
      <c r="BB133" s="17" t="s">
        <v>2642</v>
      </c>
      <c r="BC133" s="17" t="s">
        <v>2643</v>
      </c>
      <c r="BD133" s="27">
        <f t="shared" si="5"/>
        <v>51</v>
      </c>
      <c r="BE133" s="17" t="s">
        <v>2595</v>
      </c>
      <c r="BF133" s="17" t="s">
        <v>2596</v>
      </c>
      <c r="BG133" s="17"/>
      <c r="BH133" s="17"/>
      <c r="BI133" s="17"/>
      <c r="BJ133" s="17" t="s">
        <v>2644</v>
      </c>
      <c r="BK133" s="31" t="s">
        <v>2633</v>
      </c>
      <c r="BL133" s="17"/>
      <c r="BM133" s="17"/>
      <c r="BN133" s="17"/>
      <c r="BO133" s="17" t="s">
        <v>2599</v>
      </c>
      <c r="BP133" s="17"/>
      <c r="BQ133" s="17"/>
      <c r="BR133" s="17"/>
      <c r="BS133" s="17" t="s">
        <v>127</v>
      </c>
      <c r="BT133" s="17"/>
      <c r="BU133" s="17" t="s">
        <v>129</v>
      </c>
      <c r="BV133" s="17"/>
      <c r="BW133" s="17"/>
      <c r="BX133" s="13" t="s">
        <v>2645</v>
      </c>
      <c r="BY133" s="13" t="s">
        <v>1897</v>
      </c>
      <c r="DA133" s="13" t="s">
        <v>10348</v>
      </c>
      <c r="DB133" s="13" t="s">
        <v>10348</v>
      </c>
    </row>
    <row r="134" spans="1:106" s="13" customFormat="1" ht="12.75" customHeight="1" x14ac:dyDescent="0.2">
      <c r="A134" s="13" t="s">
        <v>102</v>
      </c>
      <c r="B134" s="13" t="s">
        <v>103</v>
      </c>
      <c r="D134" s="13" t="s">
        <v>104</v>
      </c>
      <c r="E134" s="13" t="s">
        <v>105</v>
      </c>
      <c r="F134" s="13" t="s">
        <v>104</v>
      </c>
      <c r="G134" s="13" t="s">
        <v>105</v>
      </c>
      <c r="H134" s="13" t="s">
        <v>227</v>
      </c>
      <c r="J134" s="13" t="s">
        <v>106</v>
      </c>
      <c r="W134" s="13">
        <v>218</v>
      </c>
      <c r="X134" s="13">
        <v>218</v>
      </c>
      <c r="Y134" s="13" t="s">
        <v>107</v>
      </c>
      <c r="Z134" s="13" t="s">
        <v>108</v>
      </c>
      <c r="AA134" s="13" t="s">
        <v>107</v>
      </c>
      <c r="AB134" s="13" t="s">
        <v>2646</v>
      </c>
      <c r="AC134" s="13" t="s">
        <v>2646</v>
      </c>
      <c r="AD134" s="13" t="s">
        <v>2646</v>
      </c>
      <c r="AE134" s="14" t="s">
        <v>112</v>
      </c>
      <c r="AF134" s="13" t="s">
        <v>2646</v>
      </c>
      <c r="AG134" s="13" t="s">
        <v>2646</v>
      </c>
      <c r="AH134" s="13" t="s">
        <v>2647</v>
      </c>
      <c r="AL134" s="13" t="s">
        <v>2648</v>
      </c>
      <c r="AN134" s="13">
        <v>329</v>
      </c>
      <c r="AO134" s="13" t="s">
        <v>2649</v>
      </c>
      <c r="AQ134" s="13" t="s">
        <v>2646</v>
      </c>
      <c r="AR134" s="13" t="s">
        <v>2646</v>
      </c>
      <c r="AS134" s="13" t="s">
        <v>116</v>
      </c>
      <c r="AT134" s="13" t="s">
        <v>2639</v>
      </c>
      <c r="AU134" s="13" t="s">
        <v>2590</v>
      </c>
      <c r="AV134" s="14" t="s">
        <v>1127</v>
      </c>
      <c r="AY134" s="21" t="s">
        <v>2640</v>
      </c>
      <c r="AZ134" s="17" t="s">
        <v>2650</v>
      </c>
      <c r="BA134" s="17" t="s">
        <v>2650</v>
      </c>
      <c r="BB134" s="17" t="s">
        <v>2651</v>
      </c>
      <c r="BC134" s="17" t="s">
        <v>2652</v>
      </c>
      <c r="BD134" s="27">
        <f t="shared" si="5"/>
        <v>58</v>
      </c>
      <c r="BE134" s="17" t="s">
        <v>2595</v>
      </c>
      <c r="BF134" s="17" t="s">
        <v>2596</v>
      </c>
      <c r="BG134" s="17" t="s">
        <v>2290</v>
      </c>
      <c r="BH134" s="17"/>
      <c r="BI134" s="17"/>
      <c r="BJ134" s="17" t="s">
        <v>2653</v>
      </c>
      <c r="BK134" s="31" t="s">
        <v>2654</v>
      </c>
      <c r="BL134" s="17"/>
      <c r="BM134" s="17"/>
      <c r="BN134" s="17"/>
      <c r="BO134" s="17" t="s">
        <v>2655</v>
      </c>
      <c r="BP134" s="17"/>
      <c r="BQ134" s="17"/>
      <c r="BR134" s="17"/>
      <c r="BS134" s="17" t="s">
        <v>127</v>
      </c>
      <c r="BT134" s="17"/>
      <c r="BU134" s="17" t="s">
        <v>129</v>
      </c>
      <c r="BV134" s="17"/>
      <c r="BW134" s="17"/>
      <c r="BX134" s="13" t="s">
        <v>212</v>
      </c>
      <c r="BY134" s="13" t="s">
        <v>1897</v>
      </c>
      <c r="DA134" s="13" t="s">
        <v>10348</v>
      </c>
      <c r="DB134" s="13" t="s">
        <v>10348</v>
      </c>
    </row>
    <row r="135" spans="1:106" s="13" customFormat="1" ht="12.75" customHeight="1" x14ac:dyDescent="0.2">
      <c r="A135" s="13" t="s">
        <v>102</v>
      </c>
      <c r="B135" s="13" t="s">
        <v>103</v>
      </c>
      <c r="D135" s="13" t="s">
        <v>104</v>
      </c>
      <c r="E135" s="13" t="s">
        <v>105</v>
      </c>
      <c r="F135" s="13" t="s">
        <v>104</v>
      </c>
      <c r="G135" s="13" t="s">
        <v>105</v>
      </c>
      <c r="H135" s="13" t="s">
        <v>227</v>
      </c>
      <c r="J135" s="13" t="s">
        <v>106</v>
      </c>
      <c r="W135" s="13">
        <v>219</v>
      </c>
      <c r="X135" s="13">
        <v>219</v>
      </c>
      <c r="Y135" s="13" t="s">
        <v>107</v>
      </c>
      <c r="Z135" s="13" t="s">
        <v>108</v>
      </c>
      <c r="AA135" s="13" t="s">
        <v>107</v>
      </c>
      <c r="AB135" s="13" t="s">
        <v>2656</v>
      </c>
      <c r="AC135" s="13" t="s">
        <v>2656</v>
      </c>
      <c r="AD135" s="13" t="s">
        <v>2656</v>
      </c>
      <c r="AE135" s="14" t="s">
        <v>112</v>
      </c>
      <c r="AF135" s="13" t="s">
        <v>2656</v>
      </c>
      <c r="AG135" s="13" t="s">
        <v>2656</v>
      </c>
      <c r="AH135" s="13" t="s">
        <v>2657</v>
      </c>
      <c r="AL135" s="13" t="s">
        <v>2658</v>
      </c>
      <c r="AN135" s="13">
        <v>329</v>
      </c>
      <c r="AO135" s="13" t="s">
        <v>2659</v>
      </c>
      <c r="AQ135" s="13" t="s">
        <v>2656</v>
      </c>
      <c r="AR135" s="13" t="s">
        <v>2656</v>
      </c>
      <c r="AS135" s="13" t="s">
        <v>116</v>
      </c>
      <c r="AT135" s="13" t="s">
        <v>2660</v>
      </c>
      <c r="AU135" s="13" t="s">
        <v>2590</v>
      </c>
      <c r="AV135" s="14" t="s">
        <v>1127</v>
      </c>
      <c r="AY135" s="21" t="s">
        <v>2661</v>
      </c>
      <c r="AZ135" s="17" t="s">
        <v>2662</v>
      </c>
      <c r="BA135" s="17" t="s">
        <v>2662</v>
      </c>
      <c r="BB135" s="17" t="s">
        <v>2663</v>
      </c>
      <c r="BC135" s="17" t="s">
        <v>2664</v>
      </c>
      <c r="BD135" s="27">
        <f t="shared" si="5"/>
        <v>58</v>
      </c>
      <c r="BE135" s="17" t="s">
        <v>2595</v>
      </c>
      <c r="BF135" s="17" t="s">
        <v>2596</v>
      </c>
      <c r="BG135" s="17" t="s">
        <v>2290</v>
      </c>
      <c r="BH135" s="17"/>
      <c r="BI135" s="17"/>
      <c r="BJ135" s="17" t="s">
        <v>2665</v>
      </c>
      <c r="BK135" s="31" t="s">
        <v>2654</v>
      </c>
      <c r="BL135" s="17"/>
      <c r="BM135" s="17"/>
      <c r="BN135" s="17"/>
      <c r="BO135" s="17" t="s">
        <v>2655</v>
      </c>
      <c r="BP135" s="17"/>
      <c r="BQ135" s="17"/>
      <c r="BR135" s="17"/>
      <c r="BS135" s="17" t="s">
        <v>127</v>
      </c>
      <c r="BT135" s="17"/>
      <c r="BU135" s="17" t="s">
        <v>129</v>
      </c>
      <c r="BV135" s="17"/>
      <c r="BW135" s="17"/>
      <c r="BX135" s="13" t="s">
        <v>212</v>
      </c>
      <c r="BY135" s="13" t="s">
        <v>1897</v>
      </c>
      <c r="DA135" s="13" t="s">
        <v>10348</v>
      </c>
      <c r="DB135" s="13" t="s">
        <v>10348</v>
      </c>
    </row>
    <row r="136" spans="1:106" s="13" customFormat="1" ht="12.75" customHeight="1" x14ac:dyDescent="0.2">
      <c r="A136" s="13" t="s">
        <v>102</v>
      </c>
      <c r="B136" s="13" t="s">
        <v>103</v>
      </c>
      <c r="D136" s="13" t="s">
        <v>104</v>
      </c>
      <c r="E136" s="13" t="s">
        <v>105</v>
      </c>
      <c r="F136" s="13" t="s">
        <v>104</v>
      </c>
      <c r="G136" s="13" t="s">
        <v>105</v>
      </c>
      <c r="H136" s="13" t="s">
        <v>227</v>
      </c>
      <c r="J136" s="13" t="s">
        <v>106</v>
      </c>
      <c r="W136" s="13">
        <v>220</v>
      </c>
      <c r="X136" s="13">
        <v>220</v>
      </c>
      <c r="Y136" s="13" t="s">
        <v>107</v>
      </c>
      <c r="Z136" s="13" t="s">
        <v>108</v>
      </c>
      <c r="AA136" s="13" t="s">
        <v>107</v>
      </c>
      <c r="AB136" s="13" t="s">
        <v>2666</v>
      </c>
      <c r="AC136" s="13" t="s">
        <v>2666</v>
      </c>
      <c r="AD136" s="13" t="s">
        <v>2666</v>
      </c>
      <c r="AE136" s="14" t="s">
        <v>112</v>
      </c>
      <c r="AF136" s="13" t="s">
        <v>2666</v>
      </c>
      <c r="AG136" s="13" t="s">
        <v>2666</v>
      </c>
      <c r="AH136" s="13" t="s">
        <v>2667</v>
      </c>
      <c r="AL136" s="13" t="s">
        <v>2668</v>
      </c>
      <c r="AN136" s="13">
        <v>329</v>
      </c>
      <c r="AO136" s="13" t="s">
        <v>2669</v>
      </c>
      <c r="AQ136" s="13" t="s">
        <v>2666</v>
      </c>
      <c r="AR136" s="13" t="s">
        <v>2666</v>
      </c>
      <c r="AS136" s="13" t="s">
        <v>116</v>
      </c>
      <c r="AT136" s="13" t="s">
        <v>2670</v>
      </c>
      <c r="AU136" s="13" t="s">
        <v>2590</v>
      </c>
      <c r="AV136" s="14" t="s">
        <v>1127</v>
      </c>
      <c r="AY136" s="21" t="s">
        <v>2671</v>
      </c>
      <c r="AZ136" s="17" t="s">
        <v>2672</v>
      </c>
      <c r="BA136" s="17" t="s">
        <v>2672</v>
      </c>
      <c r="BB136" s="17" t="s">
        <v>2673</v>
      </c>
      <c r="BC136" s="17" t="s">
        <v>2674</v>
      </c>
      <c r="BD136" s="27">
        <f t="shared" si="5"/>
        <v>58</v>
      </c>
      <c r="BE136" s="17" t="s">
        <v>2595</v>
      </c>
      <c r="BF136" s="17" t="s">
        <v>2596</v>
      </c>
      <c r="BG136" s="17" t="s">
        <v>2290</v>
      </c>
      <c r="BH136" s="17"/>
      <c r="BI136" s="17"/>
      <c r="BJ136" s="17" t="s">
        <v>2675</v>
      </c>
      <c r="BK136" s="31" t="s">
        <v>2654</v>
      </c>
      <c r="BL136" s="17"/>
      <c r="BM136" s="17"/>
      <c r="BN136" s="17"/>
      <c r="BO136" s="17" t="s">
        <v>2655</v>
      </c>
      <c r="BP136" s="17"/>
      <c r="BQ136" s="17"/>
      <c r="BR136" s="17"/>
      <c r="BS136" s="17" t="s">
        <v>127</v>
      </c>
      <c r="BT136" s="17"/>
      <c r="BU136" s="17" t="s">
        <v>129</v>
      </c>
      <c r="BV136" s="17"/>
      <c r="BW136" s="17"/>
      <c r="BX136" s="13" t="s">
        <v>212</v>
      </c>
      <c r="BY136" s="13" t="s">
        <v>1897</v>
      </c>
      <c r="DA136" s="13" t="s">
        <v>10348</v>
      </c>
      <c r="DB136" s="13" t="s">
        <v>10348</v>
      </c>
    </row>
    <row r="137" spans="1:106" s="13" customFormat="1" ht="12.75" customHeight="1" x14ac:dyDescent="0.2">
      <c r="A137" s="13" t="s">
        <v>102</v>
      </c>
      <c r="B137" s="13" t="s">
        <v>103</v>
      </c>
      <c r="D137" s="13" t="s">
        <v>104</v>
      </c>
      <c r="E137" s="13" t="s">
        <v>105</v>
      </c>
      <c r="F137" s="13" t="s">
        <v>104</v>
      </c>
      <c r="G137" s="13" t="s">
        <v>105</v>
      </c>
      <c r="H137" s="13" t="s">
        <v>227</v>
      </c>
      <c r="J137" s="13" t="s">
        <v>106</v>
      </c>
      <c r="W137" s="13">
        <v>221</v>
      </c>
      <c r="X137" s="13">
        <v>221</v>
      </c>
      <c r="Y137" s="13" t="s">
        <v>107</v>
      </c>
      <c r="Z137" s="13" t="s">
        <v>108</v>
      </c>
      <c r="AA137" s="13" t="s">
        <v>107</v>
      </c>
      <c r="AB137" s="13" t="s">
        <v>2676</v>
      </c>
      <c r="AC137" s="13" t="s">
        <v>2676</v>
      </c>
      <c r="AD137" s="13" t="s">
        <v>2676</v>
      </c>
      <c r="AE137" s="14" t="s">
        <v>112</v>
      </c>
      <c r="AF137" s="13" t="s">
        <v>2676</v>
      </c>
      <c r="AG137" s="13" t="s">
        <v>2676</v>
      </c>
      <c r="AH137" s="13" t="s">
        <v>2677</v>
      </c>
      <c r="AL137" s="13" t="s">
        <v>2678</v>
      </c>
      <c r="AN137" s="13">
        <v>329</v>
      </c>
      <c r="AO137" s="13" t="s">
        <v>2679</v>
      </c>
      <c r="AQ137" s="13" t="s">
        <v>2676</v>
      </c>
      <c r="AR137" s="13" t="s">
        <v>2676</v>
      </c>
      <c r="AS137" s="13" t="s">
        <v>116</v>
      </c>
      <c r="AT137" s="13" t="s">
        <v>2589</v>
      </c>
      <c r="AU137" s="13" t="s">
        <v>2590</v>
      </c>
      <c r="AV137" s="14" t="s">
        <v>1127</v>
      </c>
      <c r="AY137" s="21" t="s">
        <v>2591</v>
      </c>
      <c r="AZ137" s="17" t="s">
        <v>2680</v>
      </c>
      <c r="BA137" s="17" t="s">
        <v>2680</v>
      </c>
      <c r="BB137" s="17" t="s">
        <v>2681</v>
      </c>
      <c r="BC137" s="17" t="s">
        <v>2682</v>
      </c>
      <c r="BD137" s="27">
        <f t="shared" si="5"/>
        <v>60</v>
      </c>
      <c r="BE137" s="17" t="s">
        <v>2595</v>
      </c>
      <c r="BF137" s="17" t="s">
        <v>2596</v>
      </c>
      <c r="BG137" s="17" t="s">
        <v>2683</v>
      </c>
      <c r="BH137" s="17"/>
      <c r="BI137" s="17"/>
      <c r="BJ137" s="17" t="s">
        <v>2684</v>
      </c>
      <c r="BK137" s="31" t="s">
        <v>2685</v>
      </c>
      <c r="BL137" s="17"/>
      <c r="BM137" s="17"/>
      <c r="BN137" s="17"/>
      <c r="BO137" s="17" t="s">
        <v>2611</v>
      </c>
      <c r="BP137" s="17"/>
      <c r="BQ137" s="17"/>
      <c r="BR137" s="17"/>
      <c r="BS137" s="17" t="s">
        <v>127</v>
      </c>
      <c r="BT137" s="17"/>
      <c r="BU137" s="17" t="s">
        <v>129</v>
      </c>
      <c r="BV137" s="17"/>
      <c r="BW137" s="17"/>
      <c r="BX137" s="13" t="s">
        <v>212</v>
      </c>
      <c r="BY137" s="13" t="s">
        <v>1897</v>
      </c>
      <c r="DA137" s="13" t="s">
        <v>10348</v>
      </c>
      <c r="DB137" s="13" t="s">
        <v>10348</v>
      </c>
    </row>
    <row r="138" spans="1:106" s="13" customFormat="1" ht="12.75" customHeight="1" x14ac:dyDescent="0.2">
      <c r="A138" s="13" t="s">
        <v>102</v>
      </c>
      <c r="B138" s="13" t="s">
        <v>103</v>
      </c>
      <c r="D138" s="13" t="s">
        <v>104</v>
      </c>
      <c r="E138" s="13" t="s">
        <v>105</v>
      </c>
      <c r="F138" s="13" t="s">
        <v>104</v>
      </c>
      <c r="G138" s="13" t="s">
        <v>105</v>
      </c>
      <c r="H138" s="13" t="s">
        <v>227</v>
      </c>
      <c r="J138" s="13" t="s">
        <v>106</v>
      </c>
      <c r="W138" s="13">
        <v>222</v>
      </c>
      <c r="X138" s="13">
        <v>222</v>
      </c>
      <c r="Y138" s="13" t="s">
        <v>107</v>
      </c>
      <c r="Z138" s="13" t="s">
        <v>108</v>
      </c>
      <c r="AA138" s="13" t="s">
        <v>107</v>
      </c>
      <c r="AB138" s="13" t="s">
        <v>2686</v>
      </c>
      <c r="AC138" s="13" t="s">
        <v>2686</v>
      </c>
      <c r="AD138" s="13" t="s">
        <v>2686</v>
      </c>
      <c r="AE138" s="14" t="s">
        <v>112</v>
      </c>
      <c r="AF138" s="13" t="s">
        <v>2686</v>
      </c>
      <c r="AG138" s="13" t="s">
        <v>2686</v>
      </c>
      <c r="AH138" s="13" t="s">
        <v>2687</v>
      </c>
      <c r="AL138" s="13" t="s">
        <v>2688</v>
      </c>
      <c r="AN138" s="13">
        <v>329</v>
      </c>
      <c r="AO138" s="13" t="s">
        <v>2689</v>
      </c>
      <c r="AQ138" s="13" t="s">
        <v>2686</v>
      </c>
      <c r="AR138" s="13" t="s">
        <v>2686</v>
      </c>
      <c r="AS138" s="13" t="s">
        <v>116</v>
      </c>
      <c r="AT138" s="13" t="s">
        <v>2690</v>
      </c>
      <c r="AU138" s="13" t="s">
        <v>2691</v>
      </c>
      <c r="AV138" s="14" t="s">
        <v>1127</v>
      </c>
      <c r="AY138" s="21" t="s">
        <v>2692</v>
      </c>
      <c r="AZ138" s="17" t="s">
        <v>2693</v>
      </c>
      <c r="BA138" s="17" t="s">
        <v>2693</v>
      </c>
      <c r="BB138" s="17" t="s">
        <v>2694</v>
      </c>
      <c r="BC138" s="17" t="s">
        <v>2695</v>
      </c>
      <c r="BD138" s="27">
        <f t="shared" si="5"/>
        <v>60</v>
      </c>
      <c r="BE138" s="17" t="s">
        <v>2595</v>
      </c>
      <c r="BF138" s="17" t="s">
        <v>2596</v>
      </c>
      <c r="BG138" s="17" t="s">
        <v>2683</v>
      </c>
      <c r="BH138" s="17"/>
      <c r="BI138" s="17"/>
      <c r="BJ138" s="17" t="s">
        <v>2696</v>
      </c>
      <c r="BK138" s="31" t="s">
        <v>2685</v>
      </c>
      <c r="BL138" s="17"/>
      <c r="BM138" s="17"/>
      <c r="BN138" s="17"/>
      <c r="BO138" s="17" t="s">
        <v>2611</v>
      </c>
      <c r="BP138" s="17"/>
      <c r="BQ138" s="17"/>
      <c r="BR138" s="17"/>
      <c r="BS138" s="17" t="s">
        <v>127</v>
      </c>
      <c r="BT138" s="17"/>
      <c r="BU138" s="17" t="s">
        <v>129</v>
      </c>
      <c r="BV138" s="17"/>
      <c r="BW138" s="17"/>
      <c r="BX138" s="13" t="s">
        <v>212</v>
      </c>
      <c r="BY138" s="13" t="s">
        <v>1897</v>
      </c>
      <c r="DA138" s="13" t="s">
        <v>10348</v>
      </c>
      <c r="DB138" s="13" t="s">
        <v>10348</v>
      </c>
    </row>
    <row r="139" spans="1:106" s="13" customFormat="1" ht="12.75" customHeight="1" x14ac:dyDescent="0.2">
      <c r="A139" s="13" t="s">
        <v>102</v>
      </c>
      <c r="B139" s="13" t="s">
        <v>103</v>
      </c>
      <c r="D139" s="13" t="s">
        <v>104</v>
      </c>
      <c r="E139" s="13" t="s">
        <v>105</v>
      </c>
      <c r="F139" s="13" t="s">
        <v>104</v>
      </c>
      <c r="G139" s="13" t="s">
        <v>105</v>
      </c>
      <c r="H139" s="13" t="s">
        <v>227</v>
      </c>
      <c r="J139" s="13" t="s">
        <v>106</v>
      </c>
      <c r="W139" s="13">
        <v>223</v>
      </c>
      <c r="X139" s="13">
        <v>223</v>
      </c>
      <c r="Y139" s="13" t="s">
        <v>107</v>
      </c>
      <c r="Z139" s="13" t="s">
        <v>108</v>
      </c>
      <c r="AA139" s="13" t="s">
        <v>107</v>
      </c>
      <c r="AB139" s="13" t="s">
        <v>2697</v>
      </c>
      <c r="AC139" s="13" t="s">
        <v>2697</v>
      </c>
      <c r="AD139" s="13" t="s">
        <v>2697</v>
      </c>
      <c r="AE139" s="14" t="s">
        <v>112</v>
      </c>
      <c r="AF139" s="13" t="s">
        <v>2697</v>
      </c>
      <c r="AG139" s="13" t="s">
        <v>2697</v>
      </c>
      <c r="AH139" s="13" t="s">
        <v>2698</v>
      </c>
      <c r="AL139" s="13" t="s">
        <v>2699</v>
      </c>
      <c r="AN139" s="13">
        <v>329</v>
      </c>
      <c r="AO139" s="13" t="s">
        <v>2700</v>
      </c>
      <c r="AQ139" s="13" t="s">
        <v>2697</v>
      </c>
      <c r="AR139" s="13" t="s">
        <v>2697</v>
      </c>
      <c r="AS139" s="13" t="s">
        <v>116</v>
      </c>
      <c r="AT139" s="13" t="s">
        <v>2701</v>
      </c>
      <c r="AU139" s="13" t="s">
        <v>2691</v>
      </c>
      <c r="AV139" s="14" t="s">
        <v>1127</v>
      </c>
      <c r="AY139" s="21" t="s">
        <v>2702</v>
      </c>
      <c r="AZ139" s="17" t="s">
        <v>2703</v>
      </c>
      <c r="BA139" s="17" t="s">
        <v>2703</v>
      </c>
      <c r="BB139" s="17" t="s">
        <v>2704</v>
      </c>
      <c r="BC139" s="17" t="s">
        <v>2705</v>
      </c>
      <c r="BD139" s="27">
        <f t="shared" si="5"/>
        <v>60</v>
      </c>
      <c r="BE139" s="17" t="s">
        <v>2595</v>
      </c>
      <c r="BF139" s="17" t="s">
        <v>2596</v>
      </c>
      <c r="BG139" s="17" t="s">
        <v>2683</v>
      </c>
      <c r="BH139" s="17"/>
      <c r="BI139" s="17"/>
      <c r="BJ139" s="17" t="s">
        <v>2665</v>
      </c>
      <c r="BK139" s="31" t="s">
        <v>2685</v>
      </c>
      <c r="BL139" s="17"/>
      <c r="BM139" s="17"/>
      <c r="BN139" s="17"/>
      <c r="BO139" s="17" t="s">
        <v>2611</v>
      </c>
      <c r="BP139" s="17"/>
      <c r="BQ139" s="17"/>
      <c r="BR139" s="17"/>
      <c r="BS139" s="17" t="s">
        <v>127</v>
      </c>
      <c r="BT139" s="17"/>
      <c r="BU139" s="17" t="s">
        <v>129</v>
      </c>
      <c r="BV139" s="17"/>
      <c r="BW139" s="17"/>
      <c r="BX139" s="13" t="s">
        <v>2706</v>
      </c>
      <c r="BY139" s="13" t="s">
        <v>1897</v>
      </c>
      <c r="DA139" s="13" t="s">
        <v>10348</v>
      </c>
      <c r="DB139" s="13" t="s">
        <v>10348</v>
      </c>
    </row>
    <row r="140" spans="1:106" s="13" customFormat="1" ht="12.75" customHeight="1" x14ac:dyDescent="0.2">
      <c r="A140" s="13" t="s">
        <v>102</v>
      </c>
      <c r="B140" s="13" t="s">
        <v>103</v>
      </c>
      <c r="D140" s="13" t="s">
        <v>104</v>
      </c>
      <c r="E140" s="13" t="s">
        <v>105</v>
      </c>
      <c r="F140" s="13" t="s">
        <v>104</v>
      </c>
      <c r="G140" s="13" t="s">
        <v>105</v>
      </c>
      <c r="H140" s="13" t="s">
        <v>227</v>
      </c>
      <c r="J140" s="13" t="s">
        <v>106</v>
      </c>
      <c r="W140" s="13">
        <v>224</v>
      </c>
      <c r="X140" s="13">
        <v>224</v>
      </c>
      <c r="Y140" s="13" t="s">
        <v>107</v>
      </c>
      <c r="Z140" s="13" t="s">
        <v>108</v>
      </c>
      <c r="AA140" s="13" t="s">
        <v>107</v>
      </c>
      <c r="AB140" s="13" t="s">
        <v>2707</v>
      </c>
      <c r="AC140" s="13" t="s">
        <v>2707</v>
      </c>
      <c r="AD140" s="25" t="s">
        <v>2708</v>
      </c>
      <c r="AE140" s="14" t="s">
        <v>112</v>
      </c>
      <c r="AF140" s="13" t="s">
        <v>2708</v>
      </c>
      <c r="AG140" s="25" t="s">
        <v>2709</v>
      </c>
      <c r="AH140" s="13" t="s">
        <v>2710</v>
      </c>
      <c r="AL140" s="13" t="s">
        <v>2711</v>
      </c>
      <c r="AN140" s="13">
        <v>329</v>
      </c>
      <c r="AO140" s="13" t="s">
        <v>2712</v>
      </c>
      <c r="AQ140" s="13" t="s">
        <v>2707</v>
      </c>
      <c r="AR140" s="13" t="s">
        <v>2707</v>
      </c>
      <c r="AS140" s="13" t="s">
        <v>116</v>
      </c>
      <c r="AT140" s="13" t="s">
        <v>2713</v>
      </c>
      <c r="AU140" s="13" t="s">
        <v>2714</v>
      </c>
      <c r="AV140" s="14" t="s">
        <v>2715</v>
      </c>
      <c r="AY140" s="21" t="s">
        <v>2716</v>
      </c>
      <c r="AZ140" s="18" t="s">
        <v>2717</v>
      </c>
      <c r="BA140" s="18" t="s">
        <v>2717</v>
      </c>
      <c r="BB140" s="18" t="s">
        <v>2718</v>
      </c>
      <c r="BC140" s="18" t="s">
        <v>2718</v>
      </c>
      <c r="BD140" s="27">
        <f t="shared" si="5"/>
        <v>49</v>
      </c>
      <c r="BE140" s="18" t="s">
        <v>2719</v>
      </c>
      <c r="BF140" s="18" t="s">
        <v>950</v>
      </c>
      <c r="BG140" s="17"/>
      <c r="BH140" s="17"/>
      <c r="BI140" s="17"/>
      <c r="BJ140" s="17" t="s">
        <v>2720</v>
      </c>
      <c r="BK140" s="17"/>
      <c r="BL140" s="17"/>
      <c r="BM140" s="17"/>
      <c r="BN140" s="17"/>
      <c r="BO140" s="17" t="s">
        <v>2721</v>
      </c>
      <c r="BP140" s="17"/>
      <c r="BQ140" s="17"/>
      <c r="BR140" s="17"/>
      <c r="BS140" s="17" t="s">
        <v>127</v>
      </c>
      <c r="BT140" s="17"/>
      <c r="BU140" s="17" t="s">
        <v>129</v>
      </c>
      <c r="BV140" s="17"/>
      <c r="BW140" s="17"/>
      <c r="BX140" s="13" t="s">
        <v>2722</v>
      </c>
      <c r="BY140" s="13" t="s">
        <v>2723</v>
      </c>
      <c r="DA140" s="13" t="s">
        <v>10348</v>
      </c>
      <c r="DB140" s="13" t="s">
        <v>10348</v>
      </c>
    </row>
    <row r="141" spans="1:106" s="13" customFormat="1" ht="12.75" customHeight="1" x14ac:dyDescent="0.2">
      <c r="A141" s="13" t="s">
        <v>102</v>
      </c>
      <c r="B141" s="13" t="s">
        <v>103</v>
      </c>
      <c r="D141" s="13" t="s">
        <v>104</v>
      </c>
      <c r="E141" s="13" t="s">
        <v>105</v>
      </c>
      <c r="F141" s="13" t="s">
        <v>104</v>
      </c>
      <c r="G141" s="13" t="s">
        <v>105</v>
      </c>
      <c r="H141" s="13" t="s">
        <v>227</v>
      </c>
      <c r="J141" s="13" t="s">
        <v>106</v>
      </c>
      <c r="W141" s="13">
        <v>225</v>
      </c>
      <c r="X141" s="13">
        <v>225</v>
      </c>
      <c r="Y141" s="13" t="s">
        <v>107</v>
      </c>
      <c r="Z141" s="13" t="s">
        <v>108</v>
      </c>
      <c r="AA141" s="13" t="s">
        <v>107</v>
      </c>
      <c r="AB141" s="13" t="s">
        <v>2724</v>
      </c>
      <c r="AC141" s="13" t="s">
        <v>2724</v>
      </c>
      <c r="AD141" s="13" t="s">
        <v>2724</v>
      </c>
      <c r="AE141" s="14" t="s">
        <v>112</v>
      </c>
      <c r="AF141" s="13" t="s">
        <v>2724</v>
      </c>
      <c r="AG141" s="13" t="s">
        <v>2724</v>
      </c>
      <c r="AH141" s="13" t="s">
        <v>2725</v>
      </c>
      <c r="AL141" s="13" t="s">
        <v>2726</v>
      </c>
      <c r="AN141" s="13">
        <v>329</v>
      </c>
      <c r="AO141" s="13" t="s">
        <v>2727</v>
      </c>
      <c r="AQ141" s="13" t="s">
        <v>2724</v>
      </c>
      <c r="AR141" s="13" t="s">
        <v>2724</v>
      </c>
      <c r="AS141" s="13" t="s">
        <v>116</v>
      </c>
      <c r="AT141" s="13" t="s">
        <v>2728</v>
      </c>
      <c r="AU141" s="13" t="s">
        <v>2729</v>
      </c>
      <c r="AV141" s="14" t="s">
        <v>1127</v>
      </c>
      <c r="AY141" s="21" t="s">
        <v>2730</v>
      </c>
      <c r="AZ141" s="17" t="s">
        <v>2731</v>
      </c>
      <c r="BA141" s="17" t="s">
        <v>2731</v>
      </c>
      <c r="BB141" s="17" t="s">
        <v>2732</v>
      </c>
      <c r="BC141" s="17" t="s">
        <v>2733</v>
      </c>
      <c r="BD141" s="27">
        <f t="shared" si="5"/>
        <v>58</v>
      </c>
      <c r="BE141" s="17" t="s">
        <v>2595</v>
      </c>
      <c r="BF141" s="17" t="s">
        <v>2596</v>
      </c>
      <c r="BG141" s="17" t="s">
        <v>2734</v>
      </c>
      <c r="BH141" s="17"/>
      <c r="BI141" s="17"/>
      <c r="BJ141" s="17" t="s">
        <v>2517</v>
      </c>
      <c r="BK141" s="31" t="s">
        <v>2735</v>
      </c>
      <c r="BL141" s="17"/>
      <c r="BM141" s="17"/>
      <c r="BN141" s="17"/>
      <c r="BO141" s="17" t="s">
        <v>2655</v>
      </c>
      <c r="BP141" s="17"/>
      <c r="BQ141" s="17"/>
      <c r="BR141" s="17"/>
      <c r="BS141" s="17" t="s">
        <v>127</v>
      </c>
      <c r="BT141" s="17"/>
      <c r="BU141" s="17" t="s">
        <v>129</v>
      </c>
      <c r="BV141" s="17"/>
      <c r="BW141" s="17"/>
      <c r="BX141" s="13" t="s">
        <v>2736</v>
      </c>
      <c r="BY141" s="13" t="s">
        <v>1897</v>
      </c>
      <c r="DA141" s="13" t="s">
        <v>10348</v>
      </c>
      <c r="DB141" s="13" t="s">
        <v>10348</v>
      </c>
    </row>
    <row r="142" spans="1:106" s="13" customFormat="1" ht="12.75" customHeight="1" x14ac:dyDescent="0.2">
      <c r="A142" s="13" t="s">
        <v>102</v>
      </c>
      <c r="B142" s="13" t="s">
        <v>103</v>
      </c>
      <c r="D142" s="13" t="s">
        <v>104</v>
      </c>
      <c r="E142" s="13" t="s">
        <v>105</v>
      </c>
      <c r="F142" s="13" t="s">
        <v>104</v>
      </c>
      <c r="G142" s="13" t="s">
        <v>105</v>
      </c>
      <c r="H142" s="13" t="s">
        <v>227</v>
      </c>
      <c r="J142" s="13" t="s">
        <v>106</v>
      </c>
      <c r="W142" s="13">
        <v>226</v>
      </c>
      <c r="X142" s="13">
        <v>226</v>
      </c>
      <c r="Y142" s="13" t="s">
        <v>107</v>
      </c>
      <c r="Z142" s="13" t="s">
        <v>108</v>
      </c>
      <c r="AA142" s="13" t="s">
        <v>107</v>
      </c>
      <c r="AB142" s="13" t="s">
        <v>2737</v>
      </c>
      <c r="AC142" s="13" t="s">
        <v>2737</v>
      </c>
      <c r="AD142" s="13" t="s">
        <v>2737</v>
      </c>
      <c r="AE142" s="14" t="s">
        <v>112</v>
      </c>
      <c r="AF142" s="13" t="s">
        <v>2737</v>
      </c>
      <c r="AG142" s="13" t="s">
        <v>2737</v>
      </c>
      <c r="AH142" s="13" t="s">
        <v>2738</v>
      </c>
      <c r="AL142" s="13" t="s">
        <v>2739</v>
      </c>
      <c r="AN142" s="13">
        <v>329</v>
      </c>
      <c r="AO142" s="13" t="s">
        <v>2740</v>
      </c>
      <c r="AQ142" s="13" t="s">
        <v>2737</v>
      </c>
      <c r="AR142" s="13" t="s">
        <v>2737</v>
      </c>
      <c r="AS142" s="13" t="s">
        <v>116</v>
      </c>
      <c r="AT142" s="13" t="s">
        <v>2741</v>
      </c>
      <c r="AU142" s="13" t="s">
        <v>2729</v>
      </c>
      <c r="AV142" s="14" t="s">
        <v>1127</v>
      </c>
      <c r="AY142" s="21" t="s">
        <v>2742</v>
      </c>
      <c r="AZ142" s="17" t="s">
        <v>2743</v>
      </c>
      <c r="BA142" s="17" t="s">
        <v>2743</v>
      </c>
      <c r="BB142" s="17" t="s">
        <v>2744</v>
      </c>
      <c r="BC142" s="17" t="s">
        <v>2745</v>
      </c>
      <c r="BD142" s="27">
        <f t="shared" si="5"/>
        <v>58</v>
      </c>
      <c r="BE142" s="17" t="s">
        <v>2595</v>
      </c>
      <c r="BF142" s="17" t="s">
        <v>2596</v>
      </c>
      <c r="BG142" s="17" t="s">
        <v>2734</v>
      </c>
      <c r="BH142" s="17"/>
      <c r="BI142" s="17"/>
      <c r="BJ142" s="17" t="s">
        <v>2644</v>
      </c>
      <c r="BK142" s="31" t="s">
        <v>2735</v>
      </c>
      <c r="BL142" s="17"/>
      <c r="BM142" s="17"/>
      <c r="BN142" s="17"/>
      <c r="BO142" s="17" t="s">
        <v>2655</v>
      </c>
      <c r="BP142" s="17"/>
      <c r="BQ142" s="17"/>
      <c r="BR142" s="17"/>
      <c r="BS142" s="17" t="s">
        <v>127</v>
      </c>
      <c r="BT142" s="17"/>
      <c r="BU142" s="17" t="s">
        <v>129</v>
      </c>
      <c r="BV142" s="17"/>
      <c r="BW142" s="17"/>
      <c r="BX142" s="13" t="s">
        <v>2746</v>
      </c>
      <c r="BY142" s="13" t="s">
        <v>1897</v>
      </c>
      <c r="DA142" s="13" t="s">
        <v>10348</v>
      </c>
      <c r="DB142" s="13" t="s">
        <v>10348</v>
      </c>
    </row>
    <row r="143" spans="1:106" s="13" customFormat="1" ht="12.75" customHeight="1" x14ac:dyDescent="0.2">
      <c r="A143" s="13" t="s">
        <v>102</v>
      </c>
      <c r="B143" s="13" t="s">
        <v>103</v>
      </c>
      <c r="D143" s="13" t="s">
        <v>104</v>
      </c>
      <c r="E143" s="13" t="s">
        <v>105</v>
      </c>
      <c r="F143" s="13" t="s">
        <v>104</v>
      </c>
      <c r="G143" s="13" t="s">
        <v>105</v>
      </c>
      <c r="H143" s="13" t="s">
        <v>227</v>
      </c>
      <c r="J143" s="13" t="s">
        <v>106</v>
      </c>
      <c r="W143" s="13">
        <v>227</v>
      </c>
      <c r="X143" s="13">
        <v>227</v>
      </c>
      <c r="Y143" s="13" t="s">
        <v>107</v>
      </c>
      <c r="Z143" s="13" t="s">
        <v>108</v>
      </c>
      <c r="AA143" s="13" t="s">
        <v>107</v>
      </c>
      <c r="AB143" s="13" t="s">
        <v>2747</v>
      </c>
      <c r="AC143" s="13" t="s">
        <v>2747</v>
      </c>
      <c r="AD143" s="13" t="s">
        <v>2747</v>
      </c>
      <c r="AE143" s="14" t="s">
        <v>112</v>
      </c>
      <c r="AF143" s="13" t="s">
        <v>2747</v>
      </c>
      <c r="AG143" s="13" t="s">
        <v>2747</v>
      </c>
      <c r="AH143" s="13" t="s">
        <v>2748</v>
      </c>
      <c r="AL143" s="13" t="s">
        <v>2749</v>
      </c>
      <c r="AN143" s="13">
        <v>329</v>
      </c>
      <c r="AO143" s="13" t="s">
        <v>2750</v>
      </c>
      <c r="AQ143" s="13" t="s">
        <v>2747</v>
      </c>
      <c r="AR143" s="13" t="s">
        <v>2747</v>
      </c>
      <c r="AS143" s="13" t="s">
        <v>116</v>
      </c>
      <c r="AT143" s="13" t="s">
        <v>2751</v>
      </c>
      <c r="AU143" s="13" t="s">
        <v>2729</v>
      </c>
      <c r="AV143" s="14" t="s">
        <v>1127</v>
      </c>
      <c r="AY143" s="21" t="s">
        <v>2752</v>
      </c>
      <c r="AZ143" s="17" t="s">
        <v>2753</v>
      </c>
      <c r="BA143" s="17" t="s">
        <v>2753</v>
      </c>
      <c r="BB143" s="17" t="s">
        <v>2754</v>
      </c>
      <c r="BC143" s="17" t="s">
        <v>2755</v>
      </c>
      <c r="BD143" s="27">
        <f t="shared" si="5"/>
        <v>58</v>
      </c>
      <c r="BE143" s="17" t="s">
        <v>2595</v>
      </c>
      <c r="BF143" s="17" t="s">
        <v>2596</v>
      </c>
      <c r="BG143" s="17" t="s">
        <v>2734</v>
      </c>
      <c r="BH143" s="17"/>
      <c r="BI143" s="17"/>
      <c r="BJ143" s="17" t="s">
        <v>2756</v>
      </c>
      <c r="BK143" s="31" t="s">
        <v>2735</v>
      </c>
      <c r="BL143" s="17"/>
      <c r="BM143" s="17"/>
      <c r="BN143" s="17"/>
      <c r="BO143" s="17" t="s">
        <v>2655</v>
      </c>
      <c r="BP143" s="17"/>
      <c r="BQ143" s="17"/>
      <c r="BR143" s="17"/>
      <c r="BS143" s="17" t="s">
        <v>127</v>
      </c>
      <c r="BT143" s="17"/>
      <c r="BU143" s="17" t="s">
        <v>129</v>
      </c>
      <c r="BV143" s="17"/>
      <c r="BW143" s="17"/>
      <c r="BX143" s="13" t="s">
        <v>2757</v>
      </c>
      <c r="BY143" s="13" t="s">
        <v>1897</v>
      </c>
      <c r="DA143" s="13" t="s">
        <v>10348</v>
      </c>
      <c r="DB143" s="13" t="s">
        <v>10348</v>
      </c>
    </row>
    <row r="144" spans="1:106" s="13" customFormat="1" ht="12.75" customHeight="1" x14ac:dyDescent="0.2">
      <c r="A144" s="13" t="s">
        <v>102</v>
      </c>
      <c r="B144" s="13" t="s">
        <v>103</v>
      </c>
      <c r="D144" s="13" t="s">
        <v>104</v>
      </c>
      <c r="E144" s="13" t="s">
        <v>105</v>
      </c>
      <c r="F144" s="13" t="s">
        <v>104</v>
      </c>
      <c r="G144" s="13" t="s">
        <v>105</v>
      </c>
      <c r="H144" s="13" t="s">
        <v>227</v>
      </c>
      <c r="J144" s="13" t="s">
        <v>106</v>
      </c>
      <c r="W144" s="13">
        <v>228</v>
      </c>
      <c r="X144" s="13">
        <v>228</v>
      </c>
      <c r="Y144" s="13" t="s">
        <v>107</v>
      </c>
      <c r="Z144" s="13" t="s">
        <v>108</v>
      </c>
      <c r="AA144" s="13" t="s">
        <v>107</v>
      </c>
      <c r="AB144" s="13" t="s">
        <v>2758</v>
      </c>
      <c r="AC144" s="13" t="s">
        <v>2758</v>
      </c>
      <c r="AD144" s="13" t="s">
        <v>2758</v>
      </c>
      <c r="AE144" s="14" t="s">
        <v>112</v>
      </c>
      <c r="AF144" s="13" t="s">
        <v>2758</v>
      </c>
      <c r="AG144" s="13" t="s">
        <v>2758</v>
      </c>
      <c r="AH144" s="13" t="s">
        <v>2759</v>
      </c>
      <c r="AL144" s="13" t="s">
        <v>2760</v>
      </c>
      <c r="AN144" s="13">
        <v>329</v>
      </c>
      <c r="AO144" s="13" t="s">
        <v>2761</v>
      </c>
      <c r="AQ144" s="13" t="s">
        <v>2758</v>
      </c>
      <c r="AR144" s="13" t="s">
        <v>2758</v>
      </c>
      <c r="AS144" s="13" t="s">
        <v>116</v>
      </c>
      <c r="AT144" s="13" t="s">
        <v>2762</v>
      </c>
      <c r="AU144" s="13" t="s">
        <v>2729</v>
      </c>
      <c r="AV144" s="14" t="s">
        <v>1127</v>
      </c>
      <c r="AY144" s="21" t="s">
        <v>2763</v>
      </c>
      <c r="AZ144" s="17" t="s">
        <v>2764</v>
      </c>
      <c r="BA144" s="17" t="s">
        <v>2764</v>
      </c>
      <c r="BB144" s="17" t="s">
        <v>2765</v>
      </c>
      <c r="BC144" s="17" t="s">
        <v>2766</v>
      </c>
      <c r="BD144" s="27">
        <f t="shared" si="5"/>
        <v>58</v>
      </c>
      <c r="BE144" s="17" t="s">
        <v>2595</v>
      </c>
      <c r="BF144" s="17" t="s">
        <v>2596</v>
      </c>
      <c r="BG144" s="17" t="s">
        <v>2734</v>
      </c>
      <c r="BH144" s="17"/>
      <c r="BI144" s="17"/>
      <c r="BJ144" s="17" t="s">
        <v>2767</v>
      </c>
      <c r="BK144" s="31" t="s">
        <v>2735</v>
      </c>
      <c r="BL144" s="17"/>
      <c r="BM144" s="17"/>
      <c r="BN144" s="17"/>
      <c r="BO144" s="17" t="s">
        <v>2655</v>
      </c>
      <c r="BP144" s="17"/>
      <c r="BQ144" s="17"/>
      <c r="BR144" s="17"/>
      <c r="BS144" s="17" t="s">
        <v>127</v>
      </c>
      <c r="BT144" s="17"/>
      <c r="BU144" s="17" t="s">
        <v>129</v>
      </c>
      <c r="BV144" s="17"/>
      <c r="BW144" s="17"/>
      <c r="BX144" s="13" t="s">
        <v>2768</v>
      </c>
      <c r="BY144" s="13" t="s">
        <v>1897</v>
      </c>
      <c r="DA144" s="13" t="s">
        <v>10348</v>
      </c>
      <c r="DB144" s="13" t="s">
        <v>10348</v>
      </c>
    </row>
    <row r="145" spans="1:106" s="13" customFormat="1" ht="12.75" customHeight="1" x14ac:dyDescent="0.2">
      <c r="A145" s="13" t="s">
        <v>102</v>
      </c>
      <c r="B145" s="13" t="s">
        <v>103</v>
      </c>
      <c r="D145" s="13" t="s">
        <v>104</v>
      </c>
      <c r="E145" s="13" t="s">
        <v>105</v>
      </c>
      <c r="F145" s="13" t="s">
        <v>104</v>
      </c>
      <c r="G145" s="13" t="s">
        <v>105</v>
      </c>
      <c r="H145" s="13" t="s">
        <v>227</v>
      </c>
      <c r="J145" s="13" t="s">
        <v>106</v>
      </c>
      <c r="W145" s="13">
        <v>229</v>
      </c>
      <c r="X145" s="13">
        <v>229</v>
      </c>
      <c r="Y145" s="13" t="s">
        <v>107</v>
      </c>
      <c r="Z145" s="13" t="s">
        <v>108</v>
      </c>
      <c r="AA145" s="13" t="s">
        <v>107</v>
      </c>
      <c r="AB145" s="13" t="s">
        <v>2769</v>
      </c>
      <c r="AC145" s="13" t="s">
        <v>2769</v>
      </c>
      <c r="AD145" s="13" t="s">
        <v>2769</v>
      </c>
      <c r="AE145" s="14" t="s">
        <v>112</v>
      </c>
      <c r="AF145" s="13" t="s">
        <v>2769</v>
      </c>
      <c r="AG145" s="13" t="s">
        <v>2769</v>
      </c>
      <c r="AH145" s="13" t="s">
        <v>2770</v>
      </c>
      <c r="AL145" s="13" t="s">
        <v>2771</v>
      </c>
      <c r="AN145" s="13">
        <v>329</v>
      </c>
      <c r="AO145" s="13" t="s">
        <v>2772</v>
      </c>
      <c r="AQ145" s="13" t="s">
        <v>2769</v>
      </c>
      <c r="AR145" s="13" t="s">
        <v>2769</v>
      </c>
      <c r="AS145" s="13" t="s">
        <v>116</v>
      </c>
      <c r="AT145" s="13" t="s">
        <v>2773</v>
      </c>
      <c r="AU145" s="13" t="s">
        <v>2729</v>
      </c>
      <c r="AV145" s="14" t="s">
        <v>1127</v>
      </c>
      <c r="AY145" s="21" t="s">
        <v>2774</v>
      </c>
      <c r="AZ145" s="17" t="s">
        <v>2775</v>
      </c>
      <c r="BA145" s="17" t="s">
        <v>2775</v>
      </c>
      <c r="BB145" s="17" t="s">
        <v>2776</v>
      </c>
      <c r="BC145" s="17" t="s">
        <v>2777</v>
      </c>
      <c r="BD145" s="27">
        <f t="shared" si="5"/>
        <v>58</v>
      </c>
      <c r="BE145" s="17" t="s">
        <v>2595</v>
      </c>
      <c r="BF145" s="17" t="s">
        <v>2596</v>
      </c>
      <c r="BG145" s="17" t="s">
        <v>2734</v>
      </c>
      <c r="BH145" s="17"/>
      <c r="BI145" s="17"/>
      <c r="BJ145" s="17" t="s">
        <v>2778</v>
      </c>
      <c r="BK145" s="31" t="s">
        <v>2735</v>
      </c>
      <c r="BL145" s="17"/>
      <c r="BM145" s="17"/>
      <c r="BN145" s="17"/>
      <c r="BO145" s="17" t="s">
        <v>2655</v>
      </c>
      <c r="BP145" s="17"/>
      <c r="BQ145" s="17"/>
      <c r="BR145" s="17"/>
      <c r="BS145" s="17" t="s">
        <v>127</v>
      </c>
      <c r="BT145" s="17"/>
      <c r="BU145" s="17" t="s">
        <v>129</v>
      </c>
      <c r="BV145" s="17"/>
      <c r="BW145" s="17"/>
      <c r="BX145" s="13" t="s">
        <v>2779</v>
      </c>
      <c r="BY145" s="13" t="s">
        <v>1897</v>
      </c>
      <c r="DA145" s="13" t="s">
        <v>10348</v>
      </c>
      <c r="DB145" s="13" t="s">
        <v>10348</v>
      </c>
    </row>
    <row r="146" spans="1:106" s="13" customFormat="1" ht="12.75" customHeight="1" x14ac:dyDescent="0.2">
      <c r="A146" s="13" t="s">
        <v>102</v>
      </c>
      <c r="B146" s="13" t="s">
        <v>103</v>
      </c>
      <c r="D146" s="13" t="s">
        <v>820</v>
      </c>
      <c r="E146" s="13" t="s">
        <v>228</v>
      </c>
      <c r="F146" s="13" t="s">
        <v>820</v>
      </c>
      <c r="G146" s="13" t="s">
        <v>229</v>
      </c>
      <c r="H146" s="13" t="s">
        <v>227</v>
      </c>
      <c r="J146" s="13" t="s">
        <v>106</v>
      </c>
      <c r="W146" s="13">
        <v>230</v>
      </c>
      <c r="X146" s="13">
        <v>230</v>
      </c>
      <c r="Y146" s="13" t="s">
        <v>107</v>
      </c>
      <c r="Z146" s="13" t="s">
        <v>108</v>
      </c>
      <c r="AA146" s="13" t="s">
        <v>107</v>
      </c>
      <c r="AB146" s="13" t="s">
        <v>2780</v>
      </c>
      <c r="AC146" s="13" t="s">
        <v>2780</v>
      </c>
      <c r="AD146" s="13" t="s">
        <v>2780</v>
      </c>
      <c r="AE146" s="39" t="s">
        <v>112</v>
      </c>
      <c r="AF146" s="13" t="s">
        <v>2780</v>
      </c>
      <c r="AG146" s="13" t="s">
        <v>2780</v>
      </c>
      <c r="AH146" s="13" t="s">
        <v>2781</v>
      </c>
      <c r="AL146" s="13" t="s">
        <v>2782</v>
      </c>
      <c r="AN146" s="13">
        <v>329</v>
      </c>
      <c r="AO146" s="13" t="s">
        <v>2783</v>
      </c>
      <c r="AQ146" s="13" t="s">
        <v>2780</v>
      </c>
      <c r="AR146" s="13" t="s">
        <v>2780</v>
      </c>
      <c r="AS146" s="13" t="s">
        <v>116</v>
      </c>
      <c r="AT146" s="13" t="s">
        <v>2784</v>
      </c>
      <c r="AU146" s="13" t="s">
        <v>2377</v>
      </c>
      <c r="AV146" s="13" t="s">
        <v>827</v>
      </c>
      <c r="AW146" s="13" t="s">
        <v>828</v>
      </c>
      <c r="AX146" s="13" t="s">
        <v>829</v>
      </c>
      <c r="AY146" s="13" t="s">
        <v>2785</v>
      </c>
      <c r="AZ146" s="13" t="s">
        <v>2786</v>
      </c>
      <c r="BA146" s="13" t="s">
        <v>2786</v>
      </c>
      <c r="BB146" s="13" t="s">
        <v>2787</v>
      </c>
      <c r="BC146" s="13" t="s">
        <v>2788</v>
      </c>
      <c r="BD146" s="13">
        <f t="shared" ref="BD146:BD177" si="6">LEN(SUBSTITUTE(BC146, ", "," "))</f>
        <v>58</v>
      </c>
      <c r="BE146" s="17" t="s">
        <v>834</v>
      </c>
      <c r="BF146" s="17" t="s">
        <v>736</v>
      </c>
      <c r="BG146" s="17" t="s">
        <v>924</v>
      </c>
      <c r="BH146" s="17" t="s">
        <v>2382</v>
      </c>
      <c r="BJ146" s="31" t="s">
        <v>849</v>
      </c>
      <c r="BO146" s="17" t="s">
        <v>2789</v>
      </c>
      <c r="BP146" s="17" t="s">
        <v>2384</v>
      </c>
      <c r="BS146" s="17" t="s">
        <v>127</v>
      </c>
      <c r="BU146" s="17" t="s">
        <v>129</v>
      </c>
      <c r="BX146" s="13" t="s">
        <v>2790</v>
      </c>
      <c r="DA146" s="13" t="s">
        <v>10348</v>
      </c>
      <c r="DB146" s="13" t="s">
        <v>10348</v>
      </c>
    </row>
    <row r="147" spans="1:106" s="13" customFormat="1" ht="12.75" customHeight="1" x14ac:dyDescent="0.2">
      <c r="A147" s="13" t="s">
        <v>102</v>
      </c>
      <c r="B147" s="13" t="s">
        <v>103</v>
      </c>
      <c r="D147" s="13" t="s">
        <v>820</v>
      </c>
      <c r="E147" s="13" t="s">
        <v>228</v>
      </c>
      <c r="F147" s="13" t="s">
        <v>820</v>
      </c>
      <c r="G147" s="13" t="s">
        <v>229</v>
      </c>
      <c r="H147" s="13" t="s">
        <v>227</v>
      </c>
      <c r="J147" s="13" t="s">
        <v>106</v>
      </c>
      <c r="W147" s="13">
        <v>231</v>
      </c>
      <c r="X147" s="13">
        <v>231</v>
      </c>
      <c r="Y147" s="13" t="s">
        <v>107</v>
      </c>
      <c r="Z147" s="13" t="s">
        <v>108</v>
      </c>
      <c r="AA147" s="13" t="s">
        <v>107</v>
      </c>
      <c r="AB147" s="13" t="s">
        <v>2791</v>
      </c>
      <c r="AC147" s="13" t="s">
        <v>2791</v>
      </c>
      <c r="AD147" s="13" t="s">
        <v>2791</v>
      </c>
      <c r="AE147" s="39" t="s">
        <v>112</v>
      </c>
      <c r="AF147" s="13" t="s">
        <v>2791</v>
      </c>
      <c r="AG147" s="13" t="s">
        <v>2791</v>
      </c>
      <c r="AH147" s="13" t="s">
        <v>2792</v>
      </c>
      <c r="AL147" s="13" t="s">
        <v>2793</v>
      </c>
      <c r="AN147" s="13">
        <v>329</v>
      </c>
      <c r="AO147" s="13" t="s">
        <v>2794</v>
      </c>
      <c r="AQ147" s="13" t="s">
        <v>2791</v>
      </c>
      <c r="AR147" s="13" t="s">
        <v>2791</v>
      </c>
      <c r="AS147" s="13" t="s">
        <v>116</v>
      </c>
      <c r="AT147" s="13" t="s">
        <v>2795</v>
      </c>
      <c r="AU147" s="13" t="s">
        <v>2377</v>
      </c>
      <c r="AV147" s="13" t="s">
        <v>827</v>
      </c>
      <c r="AW147" s="13" t="s">
        <v>828</v>
      </c>
      <c r="AX147" s="13" t="s">
        <v>829</v>
      </c>
      <c r="AY147" s="13" t="s">
        <v>2796</v>
      </c>
      <c r="AZ147" s="13" t="s">
        <v>2797</v>
      </c>
      <c r="BA147" s="13" t="s">
        <v>2797</v>
      </c>
      <c r="BB147" s="13" t="s">
        <v>2798</v>
      </c>
      <c r="BC147" s="13" t="s">
        <v>2799</v>
      </c>
      <c r="BD147" s="13">
        <f t="shared" si="6"/>
        <v>58</v>
      </c>
      <c r="BE147" s="17" t="s">
        <v>834</v>
      </c>
      <c r="BF147" s="17" t="s">
        <v>736</v>
      </c>
      <c r="BG147" s="17" t="s">
        <v>924</v>
      </c>
      <c r="BH147" s="17" t="s">
        <v>2382</v>
      </c>
      <c r="BJ147" s="31" t="s">
        <v>2395</v>
      </c>
      <c r="BO147" s="17" t="s">
        <v>2789</v>
      </c>
      <c r="BP147" s="17" t="s">
        <v>2384</v>
      </c>
      <c r="BS147" s="17" t="s">
        <v>127</v>
      </c>
      <c r="BU147" s="17" t="s">
        <v>129</v>
      </c>
      <c r="BX147" s="13" t="s">
        <v>2800</v>
      </c>
      <c r="DA147" s="13" t="s">
        <v>10348</v>
      </c>
      <c r="DB147" s="13" t="s">
        <v>10348</v>
      </c>
    </row>
    <row r="148" spans="1:106" s="13" customFormat="1" ht="12.75" customHeight="1" x14ac:dyDescent="0.2">
      <c r="A148" s="13" t="s">
        <v>102</v>
      </c>
      <c r="B148" s="13" t="s">
        <v>103</v>
      </c>
      <c r="D148" s="13" t="s">
        <v>820</v>
      </c>
      <c r="E148" s="13" t="s">
        <v>228</v>
      </c>
      <c r="F148" s="13" t="s">
        <v>820</v>
      </c>
      <c r="G148" s="13" t="s">
        <v>229</v>
      </c>
      <c r="H148" s="13" t="s">
        <v>227</v>
      </c>
      <c r="J148" s="13" t="s">
        <v>106</v>
      </c>
      <c r="W148" s="13">
        <v>232</v>
      </c>
      <c r="X148" s="13">
        <v>232</v>
      </c>
      <c r="Y148" s="13" t="s">
        <v>107</v>
      </c>
      <c r="Z148" s="13" t="s">
        <v>108</v>
      </c>
      <c r="AA148" s="13" t="s">
        <v>107</v>
      </c>
      <c r="AB148" s="13" t="s">
        <v>2801</v>
      </c>
      <c r="AC148" s="13" t="s">
        <v>2801</v>
      </c>
      <c r="AD148" s="13" t="s">
        <v>2801</v>
      </c>
      <c r="AE148" s="39" t="s">
        <v>112</v>
      </c>
      <c r="AF148" s="13" t="s">
        <v>2801</v>
      </c>
      <c r="AG148" s="13" t="s">
        <v>2801</v>
      </c>
      <c r="AH148" s="13" t="s">
        <v>2802</v>
      </c>
      <c r="AL148" s="13" t="s">
        <v>2803</v>
      </c>
      <c r="AN148" s="13">
        <v>329</v>
      </c>
      <c r="AO148" s="13" t="s">
        <v>2804</v>
      </c>
      <c r="AQ148" s="13" t="s">
        <v>2801</v>
      </c>
      <c r="AR148" s="13" t="s">
        <v>2801</v>
      </c>
      <c r="AS148" s="13" t="s">
        <v>116</v>
      </c>
      <c r="AT148" s="13" t="s">
        <v>2805</v>
      </c>
      <c r="AU148" s="13" t="s">
        <v>2377</v>
      </c>
      <c r="AV148" s="13" t="s">
        <v>827</v>
      </c>
      <c r="AW148" s="13" t="s">
        <v>828</v>
      </c>
      <c r="AX148" s="13" t="s">
        <v>829</v>
      </c>
      <c r="AY148" s="13" t="s">
        <v>2806</v>
      </c>
      <c r="AZ148" s="13" t="s">
        <v>2807</v>
      </c>
      <c r="BA148" s="13" t="s">
        <v>2807</v>
      </c>
      <c r="BB148" s="13" t="s">
        <v>2808</v>
      </c>
      <c r="BC148" s="13" t="s">
        <v>2809</v>
      </c>
      <c r="BD148" s="13">
        <f t="shared" si="6"/>
        <v>58</v>
      </c>
      <c r="BE148" s="17" t="s">
        <v>834</v>
      </c>
      <c r="BF148" s="17" t="s">
        <v>736</v>
      </c>
      <c r="BG148" s="17" t="s">
        <v>924</v>
      </c>
      <c r="BH148" s="17" t="s">
        <v>2382</v>
      </c>
      <c r="BJ148" s="31" t="s">
        <v>2427</v>
      </c>
      <c r="BO148" s="17" t="s">
        <v>2789</v>
      </c>
      <c r="BP148" s="17" t="s">
        <v>2384</v>
      </c>
      <c r="BS148" s="17" t="s">
        <v>127</v>
      </c>
      <c r="BU148" s="17" t="s">
        <v>129</v>
      </c>
      <c r="BX148" s="13" t="s">
        <v>2810</v>
      </c>
      <c r="DA148" s="13" t="s">
        <v>10348</v>
      </c>
      <c r="DB148" s="13" t="s">
        <v>10348</v>
      </c>
    </row>
    <row r="149" spans="1:106" s="13" customFormat="1" ht="12.75" customHeight="1" x14ac:dyDescent="0.2">
      <c r="A149" s="13" t="s">
        <v>102</v>
      </c>
      <c r="B149" s="13" t="s">
        <v>103</v>
      </c>
      <c r="D149" s="13" t="s">
        <v>820</v>
      </c>
      <c r="E149" s="13" t="s">
        <v>228</v>
      </c>
      <c r="F149" s="13" t="s">
        <v>820</v>
      </c>
      <c r="G149" s="13" t="s">
        <v>229</v>
      </c>
      <c r="H149" s="13" t="s">
        <v>227</v>
      </c>
      <c r="J149" s="13" t="s">
        <v>106</v>
      </c>
      <c r="W149" s="13">
        <v>233</v>
      </c>
      <c r="X149" s="13">
        <v>233</v>
      </c>
      <c r="Y149" s="13" t="s">
        <v>107</v>
      </c>
      <c r="Z149" s="13" t="s">
        <v>108</v>
      </c>
      <c r="AA149" s="13" t="s">
        <v>107</v>
      </c>
      <c r="AB149" s="13" t="s">
        <v>2811</v>
      </c>
      <c r="AC149" s="13" t="s">
        <v>2811</v>
      </c>
      <c r="AD149" s="13" t="s">
        <v>2811</v>
      </c>
      <c r="AE149" s="39" t="s">
        <v>112</v>
      </c>
      <c r="AF149" s="13" t="s">
        <v>2811</v>
      </c>
      <c r="AG149" s="13" t="s">
        <v>2811</v>
      </c>
      <c r="AH149" s="13" t="s">
        <v>2812</v>
      </c>
      <c r="AL149" s="13" t="s">
        <v>2813</v>
      </c>
      <c r="AN149" s="13">
        <v>329</v>
      </c>
      <c r="AO149" s="13" t="s">
        <v>2814</v>
      </c>
      <c r="AQ149" s="13" t="s">
        <v>2811</v>
      </c>
      <c r="AR149" s="13" t="s">
        <v>2811</v>
      </c>
      <c r="AS149" s="13" t="s">
        <v>116</v>
      </c>
      <c r="AT149" s="13" t="s">
        <v>2815</v>
      </c>
      <c r="AU149" s="13" t="s">
        <v>2377</v>
      </c>
      <c r="AV149" s="13" t="s">
        <v>827</v>
      </c>
      <c r="AW149" s="13" t="s">
        <v>828</v>
      </c>
      <c r="AX149" s="13" t="s">
        <v>829</v>
      </c>
      <c r="AY149" s="13" t="s">
        <v>2816</v>
      </c>
      <c r="AZ149" s="13" t="s">
        <v>2817</v>
      </c>
      <c r="BA149" s="13" t="s">
        <v>2817</v>
      </c>
      <c r="BB149" s="13" t="s">
        <v>2818</v>
      </c>
      <c r="BC149" s="13" t="s">
        <v>2819</v>
      </c>
      <c r="BD149" s="13">
        <f t="shared" si="6"/>
        <v>58</v>
      </c>
      <c r="BE149" s="17" t="s">
        <v>834</v>
      </c>
      <c r="BF149" s="17" t="s">
        <v>736</v>
      </c>
      <c r="BG149" s="17" t="s">
        <v>924</v>
      </c>
      <c r="BH149" s="17" t="s">
        <v>2382</v>
      </c>
      <c r="BJ149" s="31" t="s">
        <v>2820</v>
      </c>
      <c r="BO149" s="17" t="s">
        <v>2789</v>
      </c>
      <c r="BP149" s="17" t="s">
        <v>2384</v>
      </c>
      <c r="BS149" s="17" t="s">
        <v>127</v>
      </c>
      <c r="BU149" s="17" t="s">
        <v>129</v>
      </c>
      <c r="BX149" s="13" t="s">
        <v>2821</v>
      </c>
      <c r="DA149" s="13" t="s">
        <v>10348</v>
      </c>
      <c r="DB149" s="13" t="s">
        <v>10348</v>
      </c>
    </row>
    <row r="150" spans="1:106" s="13" customFormat="1" ht="12.75" customHeight="1" x14ac:dyDescent="0.2">
      <c r="A150" s="13" t="s">
        <v>102</v>
      </c>
      <c r="B150" s="13" t="s">
        <v>103</v>
      </c>
      <c r="D150" s="13" t="s">
        <v>820</v>
      </c>
      <c r="E150" s="13" t="s">
        <v>228</v>
      </c>
      <c r="F150" s="13" t="s">
        <v>820</v>
      </c>
      <c r="G150" s="13" t="s">
        <v>229</v>
      </c>
      <c r="H150" s="13" t="s">
        <v>227</v>
      </c>
      <c r="J150" s="13" t="s">
        <v>106</v>
      </c>
      <c r="W150" s="13">
        <v>234</v>
      </c>
      <c r="X150" s="13">
        <v>234</v>
      </c>
      <c r="Y150" s="13" t="s">
        <v>107</v>
      </c>
      <c r="Z150" s="13" t="s">
        <v>108</v>
      </c>
      <c r="AA150" s="13" t="s">
        <v>107</v>
      </c>
      <c r="AB150" s="13" t="s">
        <v>2822</v>
      </c>
      <c r="AC150" s="13" t="s">
        <v>2822</v>
      </c>
      <c r="AD150" s="13" t="s">
        <v>2822</v>
      </c>
      <c r="AE150" s="39" t="s">
        <v>112</v>
      </c>
      <c r="AF150" s="13" t="s">
        <v>2822</v>
      </c>
      <c r="AG150" s="13" t="s">
        <v>2822</v>
      </c>
      <c r="AH150" s="13" t="s">
        <v>2823</v>
      </c>
      <c r="AL150" s="13" t="s">
        <v>2824</v>
      </c>
      <c r="AN150" s="13">
        <v>329</v>
      </c>
      <c r="AO150" s="13" t="s">
        <v>2825</v>
      </c>
      <c r="AQ150" s="13" t="s">
        <v>2822</v>
      </c>
      <c r="AR150" s="13" t="s">
        <v>2822</v>
      </c>
      <c r="AS150" s="13" t="s">
        <v>116</v>
      </c>
      <c r="AT150" s="13" t="s">
        <v>2826</v>
      </c>
      <c r="AU150" s="13" t="s">
        <v>2377</v>
      </c>
      <c r="AV150" s="13" t="s">
        <v>827</v>
      </c>
      <c r="AW150" s="13" t="s">
        <v>828</v>
      </c>
      <c r="AX150" s="13" t="s">
        <v>829</v>
      </c>
      <c r="AY150" s="13" t="s">
        <v>2827</v>
      </c>
      <c r="AZ150" s="13" t="s">
        <v>2828</v>
      </c>
      <c r="BA150" s="13" t="s">
        <v>2828</v>
      </c>
      <c r="BB150" s="13" t="s">
        <v>2829</v>
      </c>
      <c r="BC150" s="13" t="s">
        <v>2830</v>
      </c>
      <c r="BD150" s="13">
        <f t="shared" si="6"/>
        <v>59</v>
      </c>
      <c r="BE150" s="17" t="s">
        <v>834</v>
      </c>
      <c r="BF150" s="17" t="s">
        <v>736</v>
      </c>
      <c r="BG150" s="17" t="s">
        <v>924</v>
      </c>
      <c r="BH150" s="17" t="s">
        <v>2382</v>
      </c>
      <c r="BJ150" s="31" t="s">
        <v>849</v>
      </c>
      <c r="BO150" s="17" t="s">
        <v>2831</v>
      </c>
      <c r="BP150" s="17" t="s">
        <v>2384</v>
      </c>
      <c r="BS150" s="17" t="s">
        <v>127</v>
      </c>
      <c r="BU150" s="17" t="s">
        <v>129</v>
      </c>
      <c r="BX150" s="13" t="s">
        <v>2832</v>
      </c>
      <c r="DA150" s="13" t="s">
        <v>10348</v>
      </c>
      <c r="DB150" s="13" t="s">
        <v>10348</v>
      </c>
    </row>
    <row r="151" spans="1:106" s="13" customFormat="1" ht="12.75" customHeight="1" x14ac:dyDescent="0.2">
      <c r="A151" s="13" t="s">
        <v>102</v>
      </c>
      <c r="B151" s="13" t="s">
        <v>103</v>
      </c>
      <c r="D151" s="13" t="s">
        <v>820</v>
      </c>
      <c r="E151" s="13" t="s">
        <v>471</v>
      </c>
      <c r="F151" s="13" t="s">
        <v>820</v>
      </c>
      <c r="G151" s="13" t="s">
        <v>229</v>
      </c>
      <c r="H151" s="13" t="s">
        <v>227</v>
      </c>
      <c r="J151" s="13" t="s">
        <v>106</v>
      </c>
      <c r="W151" s="13">
        <v>236</v>
      </c>
      <c r="X151" s="13">
        <v>236</v>
      </c>
      <c r="Y151" s="13" t="s">
        <v>107</v>
      </c>
      <c r="Z151" s="13" t="s">
        <v>108</v>
      </c>
      <c r="AA151" s="13" t="s">
        <v>107</v>
      </c>
      <c r="AB151" s="13" t="s">
        <v>2847</v>
      </c>
      <c r="AC151" s="13" t="s">
        <v>2847</v>
      </c>
      <c r="AD151" s="13" t="s">
        <v>2847</v>
      </c>
      <c r="AE151" s="39" t="s">
        <v>112</v>
      </c>
      <c r="AF151" s="13" t="s">
        <v>2847</v>
      </c>
      <c r="AG151" s="13" t="s">
        <v>2847</v>
      </c>
      <c r="AH151" s="13" t="s">
        <v>2848</v>
      </c>
      <c r="AL151" s="13" t="s">
        <v>2849</v>
      </c>
      <c r="AN151" s="13">
        <v>329</v>
      </c>
      <c r="AO151" s="13" t="s">
        <v>2850</v>
      </c>
      <c r="AQ151" s="13" t="s">
        <v>2847</v>
      </c>
      <c r="AR151" s="13" t="s">
        <v>2847</v>
      </c>
      <c r="AS151" s="13" t="s">
        <v>116</v>
      </c>
      <c r="AT151" s="13" t="s">
        <v>2851</v>
      </c>
      <c r="AU151" s="13" t="s">
        <v>2377</v>
      </c>
      <c r="AV151" s="13" t="s">
        <v>827</v>
      </c>
      <c r="AW151" s="13" t="s">
        <v>828</v>
      </c>
      <c r="AX151" s="13" t="s">
        <v>829</v>
      </c>
      <c r="AY151" s="13" t="s">
        <v>2851</v>
      </c>
      <c r="AZ151" s="13" t="s">
        <v>2852</v>
      </c>
      <c r="BA151" s="13" t="s">
        <v>2852</v>
      </c>
      <c r="BB151" s="13" t="s">
        <v>2853</v>
      </c>
      <c r="BC151" s="13" t="s">
        <v>2854</v>
      </c>
      <c r="BD151" s="13">
        <f t="shared" si="6"/>
        <v>57</v>
      </c>
      <c r="BE151" s="17" t="s">
        <v>834</v>
      </c>
      <c r="BF151" s="17" t="s">
        <v>736</v>
      </c>
      <c r="BG151" s="17" t="s">
        <v>2855</v>
      </c>
      <c r="BH151" s="17" t="s">
        <v>2382</v>
      </c>
      <c r="BJ151" s="31" t="s">
        <v>860</v>
      </c>
      <c r="BO151" s="17" t="s">
        <v>2856</v>
      </c>
      <c r="BP151" s="17" t="s">
        <v>2408</v>
      </c>
      <c r="BS151" s="17" t="s">
        <v>127</v>
      </c>
      <c r="BU151" s="17" t="s">
        <v>129</v>
      </c>
      <c r="BX151" s="13" t="s">
        <v>2857</v>
      </c>
      <c r="DA151" s="13" t="s">
        <v>10348</v>
      </c>
      <c r="DB151" s="13" t="s">
        <v>10348</v>
      </c>
    </row>
    <row r="152" spans="1:106" s="13" customFormat="1" ht="12.75" customHeight="1" x14ac:dyDescent="0.2">
      <c r="A152" s="13" t="s">
        <v>102</v>
      </c>
      <c r="B152" s="13" t="s">
        <v>103</v>
      </c>
      <c r="D152" s="13" t="s">
        <v>820</v>
      </c>
      <c r="E152" s="13" t="s">
        <v>471</v>
      </c>
      <c r="F152" s="13" t="s">
        <v>820</v>
      </c>
      <c r="G152" s="13" t="s">
        <v>229</v>
      </c>
      <c r="H152" s="13" t="s">
        <v>227</v>
      </c>
      <c r="J152" s="13" t="s">
        <v>106</v>
      </c>
      <c r="W152" s="13">
        <v>237</v>
      </c>
      <c r="X152" s="13">
        <v>237</v>
      </c>
      <c r="Y152" s="13" t="s">
        <v>107</v>
      </c>
      <c r="Z152" s="13" t="s">
        <v>108</v>
      </c>
      <c r="AA152" s="13" t="s">
        <v>107</v>
      </c>
      <c r="AB152" s="13" t="s">
        <v>2858</v>
      </c>
      <c r="AC152" s="13" t="s">
        <v>2858</v>
      </c>
      <c r="AD152" s="13" t="s">
        <v>2858</v>
      </c>
      <c r="AE152" s="39" t="s">
        <v>112</v>
      </c>
      <c r="AF152" s="13" t="s">
        <v>2858</v>
      </c>
      <c r="AG152" s="13" t="s">
        <v>2858</v>
      </c>
      <c r="AH152" s="13" t="s">
        <v>2859</v>
      </c>
      <c r="AL152" s="13" t="s">
        <v>2860</v>
      </c>
      <c r="AN152" s="13">
        <v>329</v>
      </c>
      <c r="AO152" s="13" t="s">
        <v>2861</v>
      </c>
      <c r="AQ152" s="13" t="s">
        <v>2858</v>
      </c>
      <c r="AR152" s="13" t="s">
        <v>2858</v>
      </c>
      <c r="AS152" s="13" t="s">
        <v>116</v>
      </c>
      <c r="AT152" s="13" t="s">
        <v>2862</v>
      </c>
      <c r="AU152" s="13" t="s">
        <v>2377</v>
      </c>
      <c r="AV152" s="13" t="s">
        <v>827</v>
      </c>
      <c r="AW152" s="13" t="s">
        <v>828</v>
      </c>
      <c r="AX152" s="13" t="s">
        <v>829</v>
      </c>
      <c r="AY152" s="13" t="s">
        <v>2862</v>
      </c>
      <c r="AZ152" s="13" t="s">
        <v>2863</v>
      </c>
      <c r="BA152" s="13" t="s">
        <v>2863</v>
      </c>
      <c r="BB152" s="13" t="s">
        <v>2864</v>
      </c>
      <c r="BC152" s="13" t="s">
        <v>2865</v>
      </c>
      <c r="BD152" s="13">
        <f t="shared" si="6"/>
        <v>57</v>
      </c>
      <c r="BE152" s="17" t="s">
        <v>834</v>
      </c>
      <c r="BF152" s="17" t="s">
        <v>736</v>
      </c>
      <c r="BG152" s="17" t="s">
        <v>751</v>
      </c>
      <c r="BJ152" s="31" t="s">
        <v>871</v>
      </c>
      <c r="BO152" s="17" t="s">
        <v>2866</v>
      </c>
      <c r="BP152" s="17" t="s">
        <v>2408</v>
      </c>
      <c r="BS152" s="17" t="s">
        <v>127</v>
      </c>
      <c r="BU152" s="17" t="s">
        <v>129</v>
      </c>
      <c r="BX152" s="13" t="s">
        <v>2867</v>
      </c>
      <c r="DA152" s="13" t="s">
        <v>10348</v>
      </c>
      <c r="DB152" s="13" t="s">
        <v>10348</v>
      </c>
    </row>
    <row r="153" spans="1:106" s="13" customFormat="1" ht="12.75" customHeight="1" x14ac:dyDescent="0.2">
      <c r="A153" s="13" t="s">
        <v>102</v>
      </c>
      <c r="B153" s="13" t="s">
        <v>103</v>
      </c>
      <c r="D153" s="13" t="s">
        <v>820</v>
      </c>
      <c r="E153" s="13" t="s">
        <v>471</v>
      </c>
      <c r="F153" s="13" t="s">
        <v>820</v>
      </c>
      <c r="G153" s="13" t="s">
        <v>229</v>
      </c>
      <c r="H153" s="13" t="s">
        <v>227</v>
      </c>
      <c r="J153" s="13" t="s">
        <v>106</v>
      </c>
      <c r="W153" s="13">
        <v>238</v>
      </c>
      <c r="X153" s="13">
        <v>238</v>
      </c>
      <c r="Y153" s="13" t="s">
        <v>107</v>
      </c>
      <c r="Z153" s="13" t="s">
        <v>108</v>
      </c>
      <c r="AA153" s="13" t="s">
        <v>107</v>
      </c>
      <c r="AB153" s="13" t="s">
        <v>2868</v>
      </c>
      <c r="AC153" s="13" t="s">
        <v>2868</v>
      </c>
      <c r="AD153" s="13" t="s">
        <v>2868</v>
      </c>
      <c r="AE153" s="39" t="s">
        <v>112</v>
      </c>
      <c r="AF153" s="13" t="s">
        <v>2868</v>
      </c>
      <c r="AG153" s="13" t="s">
        <v>2868</v>
      </c>
      <c r="AH153" s="13" t="s">
        <v>2869</v>
      </c>
      <c r="AL153" s="13" t="s">
        <v>2870</v>
      </c>
      <c r="AN153" s="13">
        <v>329</v>
      </c>
      <c r="AO153" s="13" t="s">
        <v>2871</v>
      </c>
      <c r="AQ153" s="13" t="s">
        <v>2868</v>
      </c>
      <c r="AR153" s="13" t="s">
        <v>2868</v>
      </c>
      <c r="AS153" s="13" t="s">
        <v>116</v>
      </c>
      <c r="AT153" s="13" t="s">
        <v>2872</v>
      </c>
      <c r="AU153" s="13" t="s">
        <v>2377</v>
      </c>
      <c r="AV153" s="13" t="s">
        <v>827</v>
      </c>
      <c r="AW153" s="13" t="s">
        <v>828</v>
      </c>
      <c r="AX153" s="13" t="s">
        <v>829</v>
      </c>
      <c r="AY153" s="13" t="s">
        <v>2872</v>
      </c>
      <c r="AZ153" s="13" t="s">
        <v>2873</v>
      </c>
      <c r="BA153" s="13" t="s">
        <v>2873</v>
      </c>
      <c r="BB153" s="13" t="s">
        <v>2874</v>
      </c>
      <c r="BC153" s="13" t="s">
        <v>2875</v>
      </c>
      <c r="BD153" s="13">
        <f t="shared" si="6"/>
        <v>57</v>
      </c>
      <c r="BE153" s="17" t="s">
        <v>834</v>
      </c>
      <c r="BF153" s="17" t="s">
        <v>736</v>
      </c>
      <c r="BG153" s="17" t="s">
        <v>2855</v>
      </c>
      <c r="BH153" s="17" t="s">
        <v>2382</v>
      </c>
      <c r="BJ153" s="31" t="s">
        <v>849</v>
      </c>
      <c r="BO153" s="17" t="s">
        <v>2856</v>
      </c>
      <c r="BP153" s="17" t="s">
        <v>2408</v>
      </c>
      <c r="BS153" s="17" t="s">
        <v>127</v>
      </c>
      <c r="BU153" s="17" t="s">
        <v>129</v>
      </c>
      <c r="BX153" s="13" t="s">
        <v>2876</v>
      </c>
      <c r="DA153" s="13" t="s">
        <v>10348</v>
      </c>
      <c r="DB153" s="13" t="s">
        <v>10348</v>
      </c>
    </row>
    <row r="154" spans="1:106" s="13" customFormat="1" ht="12.75" customHeight="1" x14ac:dyDescent="0.2">
      <c r="A154" s="13" t="s">
        <v>102</v>
      </c>
      <c r="B154" s="13" t="s">
        <v>103</v>
      </c>
      <c r="D154" s="13" t="s">
        <v>820</v>
      </c>
      <c r="E154" s="13" t="s">
        <v>471</v>
      </c>
      <c r="F154" s="13" t="s">
        <v>820</v>
      </c>
      <c r="G154" s="13" t="s">
        <v>229</v>
      </c>
      <c r="H154" s="13" t="s">
        <v>227</v>
      </c>
      <c r="J154" s="13" t="s">
        <v>106</v>
      </c>
      <c r="W154" s="13">
        <v>239</v>
      </c>
      <c r="X154" s="13">
        <v>239</v>
      </c>
      <c r="Y154" s="13" t="s">
        <v>107</v>
      </c>
      <c r="Z154" s="13" t="s">
        <v>108</v>
      </c>
      <c r="AA154" s="13" t="s">
        <v>107</v>
      </c>
      <c r="AB154" s="13" t="s">
        <v>2877</v>
      </c>
      <c r="AC154" s="13" t="s">
        <v>2877</v>
      </c>
      <c r="AD154" s="13" t="s">
        <v>2877</v>
      </c>
      <c r="AE154" s="34" t="s">
        <v>112</v>
      </c>
      <c r="AF154" s="13" t="s">
        <v>2877</v>
      </c>
      <c r="AG154" s="13" t="s">
        <v>2877</v>
      </c>
      <c r="AH154" s="13" t="s">
        <v>2878</v>
      </c>
      <c r="AL154" s="13" t="s">
        <v>2879</v>
      </c>
      <c r="AN154" s="13">
        <v>329</v>
      </c>
      <c r="AO154" s="13" t="s">
        <v>2880</v>
      </c>
      <c r="AQ154" s="13" t="s">
        <v>2877</v>
      </c>
      <c r="AR154" s="13" t="s">
        <v>2877</v>
      </c>
      <c r="AS154" s="13" t="s">
        <v>116</v>
      </c>
      <c r="AT154" s="13" t="s">
        <v>2881</v>
      </c>
      <c r="AU154" s="13" t="s">
        <v>2377</v>
      </c>
      <c r="AV154" s="13" t="s">
        <v>827</v>
      </c>
      <c r="AW154" s="13" t="s">
        <v>828</v>
      </c>
      <c r="AX154" s="13" t="s">
        <v>829</v>
      </c>
      <c r="AY154" s="13" t="s">
        <v>2882</v>
      </c>
      <c r="AZ154" s="13" t="s">
        <v>2883</v>
      </c>
      <c r="BA154" s="13" t="s">
        <v>2883</v>
      </c>
      <c r="BB154" s="13" t="s">
        <v>2884</v>
      </c>
      <c r="BC154" s="13" t="s">
        <v>2885</v>
      </c>
      <c r="BD154" s="13">
        <f t="shared" si="6"/>
        <v>59</v>
      </c>
      <c r="BE154" s="17" t="s">
        <v>834</v>
      </c>
      <c r="BF154" s="17" t="s">
        <v>736</v>
      </c>
      <c r="BG154" s="17" t="s">
        <v>751</v>
      </c>
      <c r="BJ154" s="31" t="s">
        <v>2886</v>
      </c>
      <c r="BO154" s="17" t="s">
        <v>2887</v>
      </c>
      <c r="BP154" s="17" t="s">
        <v>956</v>
      </c>
      <c r="BS154" s="17" t="s">
        <v>127</v>
      </c>
      <c r="BU154" s="17" t="s">
        <v>129</v>
      </c>
      <c r="BX154" s="13" t="s">
        <v>2888</v>
      </c>
      <c r="DA154" s="13" t="s">
        <v>10348</v>
      </c>
      <c r="DB154" s="13" t="s">
        <v>10348</v>
      </c>
    </row>
    <row r="155" spans="1:106" s="13" customFormat="1" ht="12.75" customHeight="1" x14ac:dyDescent="0.2">
      <c r="A155" s="13" t="s">
        <v>102</v>
      </c>
      <c r="B155" s="13" t="s">
        <v>103</v>
      </c>
      <c r="D155" s="13" t="s">
        <v>820</v>
      </c>
      <c r="E155" s="13" t="s">
        <v>471</v>
      </c>
      <c r="F155" s="13" t="s">
        <v>820</v>
      </c>
      <c r="G155" s="13" t="s">
        <v>229</v>
      </c>
      <c r="H155" s="13" t="s">
        <v>227</v>
      </c>
      <c r="J155" s="13" t="s">
        <v>106</v>
      </c>
      <c r="W155" s="13">
        <v>240</v>
      </c>
      <c r="X155" s="13">
        <v>240</v>
      </c>
      <c r="Y155" s="13" t="s">
        <v>107</v>
      </c>
      <c r="Z155" s="13" t="s">
        <v>108</v>
      </c>
      <c r="AA155" s="13" t="s">
        <v>107</v>
      </c>
      <c r="AB155" s="13" t="s">
        <v>2889</v>
      </c>
      <c r="AC155" s="13" t="s">
        <v>2889</v>
      </c>
      <c r="AD155" s="13" t="s">
        <v>2889</v>
      </c>
      <c r="AE155" s="34" t="s">
        <v>112</v>
      </c>
      <c r="AF155" s="13" t="s">
        <v>2889</v>
      </c>
      <c r="AG155" s="13" t="s">
        <v>2889</v>
      </c>
      <c r="AH155" s="13" t="s">
        <v>2890</v>
      </c>
      <c r="AL155" s="13" t="s">
        <v>2891</v>
      </c>
      <c r="AN155" s="13">
        <v>329</v>
      </c>
      <c r="AO155" s="13" t="s">
        <v>2892</v>
      </c>
      <c r="AQ155" s="13" t="s">
        <v>2889</v>
      </c>
      <c r="AR155" s="13" t="s">
        <v>2889</v>
      </c>
      <c r="AS155" s="13" t="s">
        <v>116</v>
      </c>
      <c r="AT155" s="13" t="s">
        <v>2893</v>
      </c>
      <c r="AU155" s="13" t="s">
        <v>2377</v>
      </c>
      <c r="AV155" s="13" t="s">
        <v>827</v>
      </c>
      <c r="AW155" s="13" t="s">
        <v>828</v>
      </c>
      <c r="AX155" s="13" t="s">
        <v>829</v>
      </c>
      <c r="AY155" s="13" t="s">
        <v>2894</v>
      </c>
      <c r="AZ155" s="13" t="s">
        <v>2895</v>
      </c>
      <c r="BA155" s="13" t="s">
        <v>2895</v>
      </c>
      <c r="BB155" s="13" t="s">
        <v>2896</v>
      </c>
      <c r="BC155" s="13" t="s">
        <v>2897</v>
      </c>
      <c r="BD155" s="13">
        <f t="shared" si="6"/>
        <v>60</v>
      </c>
      <c r="BE155" s="17" t="s">
        <v>834</v>
      </c>
      <c r="BF155" s="17" t="s">
        <v>736</v>
      </c>
      <c r="BG155" s="17" t="s">
        <v>751</v>
      </c>
      <c r="BJ155" s="31" t="s">
        <v>2886</v>
      </c>
      <c r="BO155" s="17" t="s">
        <v>2898</v>
      </c>
      <c r="BP155" s="17" t="s">
        <v>1108</v>
      </c>
      <c r="BS155" s="17" t="s">
        <v>127</v>
      </c>
      <c r="BU155" s="17" t="s">
        <v>129</v>
      </c>
      <c r="BX155" s="13" t="s">
        <v>2899</v>
      </c>
      <c r="DA155" s="13" t="s">
        <v>10348</v>
      </c>
      <c r="DB155" s="13" t="s">
        <v>10348</v>
      </c>
    </row>
    <row r="156" spans="1:106" s="13" customFormat="1" ht="12.75" customHeight="1" x14ac:dyDescent="0.2">
      <c r="A156" s="13" t="s">
        <v>102</v>
      </c>
      <c r="B156" s="13" t="s">
        <v>103</v>
      </c>
      <c r="D156" s="13" t="s">
        <v>820</v>
      </c>
      <c r="E156" s="13" t="s">
        <v>471</v>
      </c>
      <c r="F156" s="13" t="s">
        <v>820</v>
      </c>
      <c r="G156" s="13" t="s">
        <v>229</v>
      </c>
      <c r="H156" s="13" t="s">
        <v>227</v>
      </c>
      <c r="J156" s="13" t="s">
        <v>106</v>
      </c>
      <c r="W156" s="13">
        <v>241</v>
      </c>
      <c r="X156" s="13">
        <v>241</v>
      </c>
      <c r="Y156" s="13" t="s">
        <v>107</v>
      </c>
      <c r="Z156" s="13" t="s">
        <v>108</v>
      </c>
      <c r="AA156" s="13" t="s">
        <v>107</v>
      </c>
      <c r="AB156" s="13" t="s">
        <v>2900</v>
      </c>
      <c r="AC156" s="13" t="s">
        <v>2900</v>
      </c>
      <c r="AD156" s="13" t="s">
        <v>2900</v>
      </c>
      <c r="AE156" s="34" t="s">
        <v>112</v>
      </c>
      <c r="AF156" s="13" t="s">
        <v>2900</v>
      </c>
      <c r="AG156" s="13" t="s">
        <v>2900</v>
      </c>
      <c r="AH156" s="13" t="s">
        <v>2901</v>
      </c>
      <c r="AL156" s="13" t="s">
        <v>2902</v>
      </c>
      <c r="AN156" s="13">
        <v>329</v>
      </c>
      <c r="AO156" s="13" t="s">
        <v>2903</v>
      </c>
      <c r="AQ156" s="13" t="s">
        <v>2900</v>
      </c>
      <c r="AR156" s="13" t="s">
        <v>2900</v>
      </c>
      <c r="AS156" s="13" t="s">
        <v>116</v>
      </c>
      <c r="AT156" s="13" t="s">
        <v>2904</v>
      </c>
      <c r="AU156" s="13" t="s">
        <v>2377</v>
      </c>
      <c r="AV156" s="13" t="s">
        <v>827</v>
      </c>
      <c r="AW156" s="13" t="s">
        <v>828</v>
      </c>
      <c r="AX156" s="13" t="s">
        <v>829</v>
      </c>
      <c r="AY156" s="13" t="s">
        <v>2905</v>
      </c>
      <c r="AZ156" s="13" t="s">
        <v>2906</v>
      </c>
      <c r="BA156" s="13" t="s">
        <v>2906</v>
      </c>
      <c r="BB156" s="13" t="s">
        <v>2907</v>
      </c>
      <c r="BC156" s="13" t="s">
        <v>2908</v>
      </c>
      <c r="BD156" s="13">
        <f t="shared" si="6"/>
        <v>60</v>
      </c>
      <c r="BE156" s="17" t="s">
        <v>834</v>
      </c>
      <c r="BF156" s="17" t="s">
        <v>736</v>
      </c>
      <c r="BG156" s="17" t="s">
        <v>2909</v>
      </c>
      <c r="BJ156" s="31" t="s">
        <v>860</v>
      </c>
      <c r="BK156" s="17" t="s">
        <v>2910</v>
      </c>
      <c r="BO156" s="17" t="s">
        <v>2911</v>
      </c>
      <c r="BP156" s="17" t="s">
        <v>2408</v>
      </c>
      <c r="BS156" s="17" t="s">
        <v>127</v>
      </c>
      <c r="BU156" s="17" t="s">
        <v>129</v>
      </c>
      <c r="BX156" s="13" t="s">
        <v>2912</v>
      </c>
      <c r="DA156" s="13" t="s">
        <v>10348</v>
      </c>
      <c r="DB156" s="13" t="s">
        <v>10348</v>
      </c>
    </row>
    <row r="157" spans="1:106" s="13" customFormat="1" ht="12.75" customHeight="1" x14ac:dyDescent="0.2">
      <c r="A157" s="13" t="s">
        <v>102</v>
      </c>
      <c r="B157" s="13" t="s">
        <v>103</v>
      </c>
      <c r="D157" s="13" t="s">
        <v>820</v>
      </c>
      <c r="E157" s="13" t="s">
        <v>471</v>
      </c>
      <c r="F157" s="13" t="s">
        <v>820</v>
      </c>
      <c r="G157" s="13" t="s">
        <v>229</v>
      </c>
      <c r="H157" s="13" t="s">
        <v>227</v>
      </c>
      <c r="J157" s="13" t="s">
        <v>106</v>
      </c>
      <c r="W157" s="13">
        <v>242</v>
      </c>
      <c r="X157" s="13">
        <v>242</v>
      </c>
      <c r="Y157" s="13" t="s">
        <v>107</v>
      </c>
      <c r="Z157" s="13" t="s">
        <v>108</v>
      </c>
      <c r="AA157" s="13" t="s">
        <v>107</v>
      </c>
      <c r="AB157" s="13" t="s">
        <v>2913</v>
      </c>
      <c r="AC157" s="13" t="s">
        <v>2913</v>
      </c>
      <c r="AD157" s="13" t="s">
        <v>2913</v>
      </c>
      <c r="AE157" s="34" t="s">
        <v>112</v>
      </c>
      <c r="AF157" s="13" t="s">
        <v>2913</v>
      </c>
      <c r="AG157" s="13" t="s">
        <v>2913</v>
      </c>
      <c r="AH157" s="13" t="s">
        <v>2914</v>
      </c>
      <c r="AL157" s="13" t="s">
        <v>2915</v>
      </c>
      <c r="AN157" s="13">
        <v>329</v>
      </c>
      <c r="AO157" s="13" t="s">
        <v>2916</v>
      </c>
      <c r="AQ157" s="13" t="s">
        <v>2913</v>
      </c>
      <c r="AR157" s="13" t="s">
        <v>2913</v>
      </c>
      <c r="AS157" s="13" t="s">
        <v>116</v>
      </c>
      <c r="AT157" s="13" t="s">
        <v>2917</v>
      </c>
      <c r="AU157" s="13" t="s">
        <v>2377</v>
      </c>
      <c r="AV157" s="13" t="s">
        <v>827</v>
      </c>
      <c r="AW157" s="13" t="s">
        <v>828</v>
      </c>
      <c r="AX157" s="26" t="s">
        <v>829</v>
      </c>
      <c r="AY157" s="13" t="s">
        <v>2918</v>
      </c>
      <c r="AZ157" s="13" t="s">
        <v>2919</v>
      </c>
      <c r="BA157" s="13" t="s">
        <v>2919</v>
      </c>
      <c r="BB157" s="13" t="s">
        <v>2920</v>
      </c>
      <c r="BC157" s="13" t="s">
        <v>2921</v>
      </c>
      <c r="BD157" s="13">
        <f t="shared" si="6"/>
        <v>59</v>
      </c>
      <c r="BE157" s="17" t="s">
        <v>834</v>
      </c>
      <c r="BF157" s="17" t="s">
        <v>736</v>
      </c>
      <c r="BG157" s="17" t="s">
        <v>751</v>
      </c>
      <c r="BJ157" s="31" t="s">
        <v>1119</v>
      </c>
      <c r="BK157" s="17" t="s">
        <v>2922</v>
      </c>
      <c r="BO157" s="17" t="s">
        <v>2911</v>
      </c>
      <c r="BP157" s="17" t="s">
        <v>956</v>
      </c>
      <c r="BS157" s="17" t="s">
        <v>127</v>
      </c>
      <c r="BU157" s="17" t="s">
        <v>129</v>
      </c>
      <c r="BV157" s="17" t="s">
        <v>130</v>
      </c>
      <c r="BX157" s="13" t="s">
        <v>2923</v>
      </c>
      <c r="DA157" s="13" t="s">
        <v>10348</v>
      </c>
      <c r="DB157" s="13" t="s">
        <v>10348</v>
      </c>
    </row>
    <row r="158" spans="1:106" s="13" customFormat="1" ht="12.75" customHeight="1" x14ac:dyDescent="0.2">
      <c r="A158" s="13" t="s">
        <v>102</v>
      </c>
      <c r="B158" s="13" t="s">
        <v>103</v>
      </c>
      <c r="D158" s="13" t="s">
        <v>820</v>
      </c>
      <c r="E158" s="13" t="s">
        <v>471</v>
      </c>
      <c r="F158" s="13" t="s">
        <v>820</v>
      </c>
      <c r="G158" s="13" t="s">
        <v>229</v>
      </c>
      <c r="H158" s="13" t="s">
        <v>227</v>
      </c>
      <c r="J158" s="13" t="s">
        <v>106</v>
      </c>
      <c r="W158" s="13">
        <v>243</v>
      </c>
      <c r="X158" s="13">
        <v>243</v>
      </c>
      <c r="Y158" s="13" t="s">
        <v>107</v>
      </c>
      <c r="Z158" s="13" t="s">
        <v>108</v>
      </c>
      <c r="AA158" s="13" t="s">
        <v>107</v>
      </c>
      <c r="AB158" s="13" t="s">
        <v>2924</v>
      </c>
      <c r="AC158" s="13" t="s">
        <v>2924</v>
      </c>
      <c r="AD158" s="13" t="s">
        <v>2924</v>
      </c>
      <c r="AE158" s="34" t="s">
        <v>112</v>
      </c>
      <c r="AF158" s="13" t="s">
        <v>2924</v>
      </c>
      <c r="AG158" s="13" t="s">
        <v>2924</v>
      </c>
      <c r="AH158" s="13" t="s">
        <v>2925</v>
      </c>
      <c r="AL158" s="13" t="s">
        <v>2926</v>
      </c>
      <c r="AN158" s="13">
        <v>329</v>
      </c>
      <c r="AO158" s="13" t="s">
        <v>2927</v>
      </c>
      <c r="AQ158" s="13" t="s">
        <v>2924</v>
      </c>
      <c r="AR158" s="13" t="s">
        <v>2924</v>
      </c>
      <c r="AS158" s="13" t="s">
        <v>116</v>
      </c>
      <c r="AT158" s="13" t="s">
        <v>2928</v>
      </c>
      <c r="AU158" s="13" t="s">
        <v>2377</v>
      </c>
      <c r="AV158" s="13" t="s">
        <v>827</v>
      </c>
      <c r="AW158" s="13" t="s">
        <v>828</v>
      </c>
      <c r="AX158" s="26" t="s">
        <v>829</v>
      </c>
      <c r="AY158" s="13" t="s">
        <v>2929</v>
      </c>
      <c r="AZ158" s="13" t="s">
        <v>2930</v>
      </c>
      <c r="BA158" s="13" t="s">
        <v>2930</v>
      </c>
      <c r="BB158" s="13" t="s">
        <v>2931</v>
      </c>
      <c r="BC158" s="13" t="s">
        <v>2932</v>
      </c>
      <c r="BD158" s="13">
        <f t="shared" si="6"/>
        <v>60</v>
      </c>
      <c r="BE158" s="17" t="s">
        <v>834</v>
      </c>
      <c r="BF158" s="17" t="s">
        <v>736</v>
      </c>
      <c r="BG158" s="17" t="s">
        <v>751</v>
      </c>
      <c r="BJ158" s="31" t="s">
        <v>2933</v>
      </c>
      <c r="BK158" s="17" t="s">
        <v>2922</v>
      </c>
      <c r="BO158" s="17" t="s">
        <v>2911</v>
      </c>
      <c r="BP158" s="17" t="s">
        <v>956</v>
      </c>
      <c r="BS158" s="17" t="s">
        <v>127</v>
      </c>
      <c r="BU158" s="17" t="s">
        <v>129</v>
      </c>
      <c r="BV158" s="17" t="s">
        <v>130</v>
      </c>
      <c r="BX158" s="13" t="s">
        <v>2934</v>
      </c>
      <c r="DA158" s="13" t="s">
        <v>10348</v>
      </c>
      <c r="DB158" s="13" t="s">
        <v>10348</v>
      </c>
    </row>
    <row r="159" spans="1:106" s="13" customFormat="1" ht="12.75" customHeight="1" x14ac:dyDescent="0.2">
      <c r="A159" s="13" t="s">
        <v>102</v>
      </c>
      <c r="B159" s="13" t="s">
        <v>103</v>
      </c>
      <c r="D159" s="13" t="s">
        <v>820</v>
      </c>
      <c r="E159" s="13" t="s">
        <v>471</v>
      </c>
      <c r="F159" s="13" t="s">
        <v>820</v>
      </c>
      <c r="G159" s="13" t="s">
        <v>229</v>
      </c>
      <c r="H159" s="13" t="s">
        <v>227</v>
      </c>
      <c r="J159" s="13" t="s">
        <v>106</v>
      </c>
      <c r="W159" s="13">
        <v>244</v>
      </c>
      <c r="X159" s="13">
        <v>244</v>
      </c>
      <c r="Y159" s="13" t="s">
        <v>107</v>
      </c>
      <c r="Z159" s="13" t="s">
        <v>108</v>
      </c>
      <c r="AA159" s="13" t="s">
        <v>107</v>
      </c>
      <c r="AB159" s="13" t="s">
        <v>2935</v>
      </c>
      <c r="AC159" s="13" t="s">
        <v>2935</v>
      </c>
      <c r="AD159" s="13" t="s">
        <v>2935</v>
      </c>
      <c r="AE159" s="34" t="s">
        <v>112</v>
      </c>
      <c r="AF159" s="13" t="s">
        <v>2935</v>
      </c>
      <c r="AG159" s="13" t="s">
        <v>2935</v>
      </c>
      <c r="AH159" s="13" t="s">
        <v>2936</v>
      </c>
      <c r="AL159" s="13" t="s">
        <v>2937</v>
      </c>
      <c r="AN159" s="13">
        <v>329</v>
      </c>
      <c r="AO159" s="13" t="s">
        <v>2938</v>
      </c>
      <c r="AQ159" s="13" t="s">
        <v>2935</v>
      </c>
      <c r="AR159" s="13" t="s">
        <v>2935</v>
      </c>
      <c r="AS159" s="13" t="s">
        <v>116</v>
      </c>
      <c r="AT159" s="13" t="s">
        <v>2939</v>
      </c>
      <c r="AU159" s="13" t="s">
        <v>2377</v>
      </c>
      <c r="AV159" s="13" t="s">
        <v>827</v>
      </c>
      <c r="AW159" s="13" t="s">
        <v>828</v>
      </c>
      <c r="AX159" s="26" t="s">
        <v>829</v>
      </c>
      <c r="AY159" s="13" t="s">
        <v>2940</v>
      </c>
      <c r="AZ159" s="13" t="s">
        <v>2941</v>
      </c>
      <c r="BA159" s="13" t="s">
        <v>2941</v>
      </c>
      <c r="BB159" s="13" t="s">
        <v>2942</v>
      </c>
      <c r="BC159" s="13" t="s">
        <v>2943</v>
      </c>
      <c r="BD159" s="13">
        <f t="shared" si="6"/>
        <v>59</v>
      </c>
      <c r="BE159" s="17" t="s">
        <v>834</v>
      </c>
      <c r="BF159" s="17" t="s">
        <v>736</v>
      </c>
      <c r="BG159" s="17" t="s">
        <v>751</v>
      </c>
      <c r="BJ159" s="31" t="s">
        <v>2944</v>
      </c>
      <c r="BK159" s="17" t="s">
        <v>2922</v>
      </c>
      <c r="BO159" s="17" t="s">
        <v>2911</v>
      </c>
      <c r="BP159" s="17" t="s">
        <v>956</v>
      </c>
      <c r="BS159" s="17" t="s">
        <v>127</v>
      </c>
      <c r="BU159" s="17" t="s">
        <v>129</v>
      </c>
      <c r="BV159" s="17" t="s">
        <v>130</v>
      </c>
      <c r="BX159" s="13" t="s">
        <v>2945</v>
      </c>
      <c r="DA159" s="13" t="s">
        <v>10348</v>
      </c>
      <c r="DB159" s="13" t="s">
        <v>10348</v>
      </c>
    </row>
    <row r="160" spans="1:106" s="13" customFormat="1" ht="12.75" customHeight="1" x14ac:dyDescent="0.2">
      <c r="A160" s="13" t="s">
        <v>102</v>
      </c>
      <c r="B160" s="13" t="s">
        <v>103</v>
      </c>
      <c r="D160" s="13" t="s">
        <v>820</v>
      </c>
      <c r="E160" s="13" t="s">
        <v>471</v>
      </c>
      <c r="F160" s="13" t="s">
        <v>820</v>
      </c>
      <c r="G160" s="13" t="s">
        <v>229</v>
      </c>
      <c r="H160" s="13" t="s">
        <v>227</v>
      </c>
      <c r="J160" s="13" t="s">
        <v>106</v>
      </c>
      <c r="W160" s="13">
        <v>245</v>
      </c>
      <c r="X160" s="13">
        <v>245</v>
      </c>
      <c r="Y160" s="13" t="s">
        <v>107</v>
      </c>
      <c r="Z160" s="13" t="s">
        <v>108</v>
      </c>
      <c r="AA160" s="13" t="s">
        <v>107</v>
      </c>
      <c r="AB160" s="13" t="s">
        <v>2946</v>
      </c>
      <c r="AC160" s="13" t="s">
        <v>2946</v>
      </c>
      <c r="AD160" s="13" t="s">
        <v>2946</v>
      </c>
      <c r="AE160" s="34" t="s">
        <v>112</v>
      </c>
      <c r="AF160" s="13" t="s">
        <v>2946</v>
      </c>
      <c r="AG160" s="13" t="s">
        <v>2946</v>
      </c>
      <c r="AH160" s="13" t="s">
        <v>2947</v>
      </c>
      <c r="AL160" s="13" t="s">
        <v>2948</v>
      </c>
      <c r="AN160" s="13">
        <v>329</v>
      </c>
      <c r="AO160" s="13" t="s">
        <v>2949</v>
      </c>
      <c r="AQ160" s="13" t="s">
        <v>2946</v>
      </c>
      <c r="AR160" s="13" t="s">
        <v>2946</v>
      </c>
      <c r="AS160" s="13" t="s">
        <v>116</v>
      </c>
      <c r="AT160" s="13" t="s">
        <v>2950</v>
      </c>
      <c r="AU160" s="13" t="s">
        <v>2377</v>
      </c>
      <c r="AV160" s="13" t="s">
        <v>827</v>
      </c>
      <c r="AW160" s="13" t="s">
        <v>828</v>
      </c>
      <c r="AX160" s="26" t="s">
        <v>829</v>
      </c>
      <c r="AY160" s="13" t="s">
        <v>2950</v>
      </c>
      <c r="AZ160" s="13" t="s">
        <v>2951</v>
      </c>
      <c r="BA160" s="13" t="s">
        <v>2951</v>
      </c>
      <c r="BB160" s="13" t="s">
        <v>2952</v>
      </c>
      <c r="BC160" s="13" t="s">
        <v>2953</v>
      </c>
      <c r="BD160" s="13">
        <f t="shared" si="6"/>
        <v>60</v>
      </c>
      <c r="BE160" s="17" t="s">
        <v>834</v>
      </c>
      <c r="BF160" s="17" t="s">
        <v>736</v>
      </c>
      <c r="BG160" s="17" t="s">
        <v>751</v>
      </c>
      <c r="BJ160" s="31" t="s">
        <v>2954</v>
      </c>
      <c r="BK160" s="17" t="s">
        <v>2922</v>
      </c>
      <c r="BO160" s="17" t="s">
        <v>2911</v>
      </c>
      <c r="BP160" s="17" t="s">
        <v>956</v>
      </c>
      <c r="BS160" s="17" t="s">
        <v>127</v>
      </c>
      <c r="BU160" s="17" t="s">
        <v>129</v>
      </c>
      <c r="BV160" s="17" t="s">
        <v>130</v>
      </c>
      <c r="BX160" s="13" t="s">
        <v>2955</v>
      </c>
      <c r="DA160" s="13" t="s">
        <v>10348</v>
      </c>
      <c r="DB160" s="13" t="s">
        <v>10348</v>
      </c>
    </row>
    <row r="161" spans="1:106" s="13" customFormat="1" ht="12.75" customHeight="1" x14ac:dyDescent="0.2">
      <c r="A161" s="13" t="s">
        <v>102</v>
      </c>
      <c r="B161" s="13" t="s">
        <v>103</v>
      </c>
      <c r="D161" s="13" t="s">
        <v>820</v>
      </c>
      <c r="E161" s="13" t="s">
        <v>471</v>
      </c>
      <c r="F161" s="13" t="s">
        <v>820</v>
      </c>
      <c r="G161" s="13" t="s">
        <v>229</v>
      </c>
      <c r="H161" s="13" t="s">
        <v>227</v>
      </c>
      <c r="J161" s="13" t="s">
        <v>106</v>
      </c>
      <c r="W161" s="13">
        <v>246</v>
      </c>
      <c r="X161" s="13">
        <v>246</v>
      </c>
      <c r="Y161" s="13" t="s">
        <v>107</v>
      </c>
      <c r="Z161" s="13" t="s">
        <v>108</v>
      </c>
      <c r="AA161" s="13" t="s">
        <v>107</v>
      </c>
      <c r="AB161" s="13" t="s">
        <v>2956</v>
      </c>
      <c r="AC161" s="13" t="s">
        <v>2956</v>
      </c>
      <c r="AD161" s="13" t="s">
        <v>2956</v>
      </c>
      <c r="AE161" s="34" t="s">
        <v>112</v>
      </c>
      <c r="AF161" s="13" t="s">
        <v>2956</v>
      </c>
      <c r="AG161" s="13" t="s">
        <v>2956</v>
      </c>
      <c r="AH161" s="13" t="s">
        <v>2957</v>
      </c>
      <c r="AL161" s="13" t="s">
        <v>2958</v>
      </c>
      <c r="AN161" s="13">
        <v>329</v>
      </c>
      <c r="AO161" s="13" t="s">
        <v>2959</v>
      </c>
      <c r="AQ161" s="13" t="s">
        <v>2956</v>
      </c>
      <c r="AR161" s="13" t="s">
        <v>2956</v>
      </c>
      <c r="AS161" s="13" t="s">
        <v>116</v>
      </c>
      <c r="AT161" s="13" t="s">
        <v>2960</v>
      </c>
      <c r="AU161" s="13" t="s">
        <v>2377</v>
      </c>
      <c r="AV161" s="13" t="s">
        <v>827</v>
      </c>
      <c r="AW161" s="13" t="s">
        <v>828</v>
      </c>
      <c r="AX161" s="26" t="s">
        <v>829</v>
      </c>
      <c r="AY161" s="13" t="s">
        <v>2961</v>
      </c>
      <c r="AZ161" s="13" t="s">
        <v>2962</v>
      </c>
      <c r="BA161" s="13" t="s">
        <v>2962</v>
      </c>
      <c r="BB161" s="13" t="s">
        <v>2963</v>
      </c>
      <c r="BC161" s="13" t="s">
        <v>2964</v>
      </c>
      <c r="BD161" s="13">
        <f t="shared" si="6"/>
        <v>60</v>
      </c>
      <c r="BE161" s="17" t="s">
        <v>834</v>
      </c>
      <c r="BF161" s="17" t="s">
        <v>736</v>
      </c>
      <c r="BG161" s="17" t="s">
        <v>751</v>
      </c>
      <c r="BJ161" s="31" t="s">
        <v>2965</v>
      </c>
      <c r="BK161" s="17" t="s">
        <v>2922</v>
      </c>
      <c r="BO161" s="17" t="s">
        <v>2911</v>
      </c>
      <c r="BP161" s="17" t="s">
        <v>956</v>
      </c>
      <c r="BS161" s="17" t="s">
        <v>127</v>
      </c>
      <c r="BU161" s="17" t="s">
        <v>129</v>
      </c>
      <c r="BV161" s="17" t="s">
        <v>130</v>
      </c>
      <c r="BX161" s="13" t="s">
        <v>2966</v>
      </c>
      <c r="DA161" s="13" t="s">
        <v>10348</v>
      </c>
      <c r="DB161" s="13" t="s">
        <v>10348</v>
      </c>
    </row>
    <row r="162" spans="1:106" s="13" customFormat="1" ht="12.75" customHeight="1" x14ac:dyDescent="0.2">
      <c r="A162" s="13" t="s">
        <v>102</v>
      </c>
      <c r="B162" s="13" t="s">
        <v>103</v>
      </c>
      <c r="D162" s="13" t="s">
        <v>820</v>
      </c>
      <c r="E162" s="13" t="s">
        <v>471</v>
      </c>
      <c r="F162" s="13" t="s">
        <v>820</v>
      </c>
      <c r="G162" s="13" t="s">
        <v>229</v>
      </c>
      <c r="H162" s="13" t="s">
        <v>227</v>
      </c>
      <c r="J162" s="13" t="s">
        <v>106</v>
      </c>
      <c r="W162" s="13">
        <v>247</v>
      </c>
      <c r="X162" s="13">
        <v>247</v>
      </c>
      <c r="Y162" s="13" t="s">
        <v>107</v>
      </c>
      <c r="Z162" s="13" t="s">
        <v>108</v>
      </c>
      <c r="AA162" s="13" t="s">
        <v>107</v>
      </c>
      <c r="AB162" s="13" t="s">
        <v>2967</v>
      </c>
      <c r="AC162" s="13" t="s">
        <v>2967</v>
      </c>
      <c r="AD162" s="13" t="s">
        <v>2967</v>
      </c>
      <c r="AE162" s="34" t="s">
        <v>112</v>
      </c>
      <c r="AF162" s="13" t="s">
        <v>2967</v>
      </c>
      <c r="AG162" s="13" t="s">
        <v>2967</v>
      </c>
      <c r="AH162" s="13" t="s">
        <v>2968</v>
      </c>
      <c r="AL162" s="13" t="s">
        <v>2969</v>
      </c>
      <c r="AN162" s="13">
        <v>329</v>
      </c>
      <c r="AO162" s="13" t="s">
        <v>2970</v>
      </c>
      <c r="AQ162" s="13" t="s">
        <v>2967</v>
      </c>
      <c r="AR162" s="13" t="s">
        <v>2967</v>
      </c>
      <c r="AS162" s="13" t="s">
        <v>116</v>
      </c>
      <c r="AT162" s="13" t="s">
        <v>2971</v>
      </c>
      <c r="AU162" s="13" t="s">
        <v>2377</v>
      </c>
      <c r="AV162" s="13" t="s">
        <v>827</v>
      </c>
      <c r="AW162" s="13" t="s">
        <v>828</v>
      </c>
      <c r="AX162" s="26" t="s">
        <v>829</v>
      </c>
      <c r="AY162" s="13" t="s">
        <v>2972</v>
      </c>
      <c r="AZ162" s="13" t="s">
        <v>2973</v>
      </c>
      <c r="BA162" s="13" t="s">
        <v>2973</v>
      </c>
      <c r="BB162" s="13" t="s">
        <v>2974</v>
      </c>
      <c r="BC162" s="13" t="s">
        <v>2975</v>
      </c>
      <c r="BD162" s="13">
        <f t="shared" si="6"/>
        <v>59</v>
      </c>
      <c r="BE162" s="17" t="s">
        <v>834</v>
      </c>
      <c r="BF162" s="17" t="s">
        <v>736</v>
      </c>
      <c r="BG162" s="17" t="s">
        <v>751</v>
      </c>
      <c r="BJ162" s="31" t="s">
        <v>2976</v>
      </c>
      <c r="BK162" s="17" t="s">
        <v>2922</v>
      </c>
      <c r="BO162" s="17" t="s">
        <v>2911</v>
      </c>
      <c r="BP162" s="17" t="s">
        <v>956</v>
      </c>
      <c r="BS162" s="17" t="s">
        <v>127</v>
      </c>
      <c r="BU162" s="17" t="s">
        <v>129</v>
      </c>
      <c r="BV162" s="17" t="s">
        <v>130</v>
      </c>
      <c r="BX162" s="13" t="s">
        <v>2977</v>
      </c>
      <c r="DA162" s="13" t="s">
        <v>10348</v>
      </c>
      <c r="DB162" s="13" t="s">
        <v>10348</v>
      </c>
    </row>
    <row r="163" spans="1:106" s="13" customFormat="1" ht="12.75" customHeight="1" x14ac:dyDescent="0.2">
      <c r="A163" s="13" t="s">
        <v>102</v>
      </c>
      <c r="B163" s="13" t="s">
        <v>103</v>
      </c>
      <c r="D163" s="13" t="s">
        <v>820</v>
      </c>
      <c r="E163" s="13" t="s">
        <v>471</v>
      </c>
      <c r="F163" s="13" t="s">
        <v>820</v>
      </c>
      <c r="G163" s="13" t="s">
        <v>229</v>
      </c>
      <c r="H163" s="13" t="s">
        <v>227</v>
      </c>
      <c r="J163" s="13" t="s">
        <v>106</v>
      </c>
      <c r="W163" s="13">
        <v>248</v>
      </c>
      <c r="X163" s="13">
        <v>248</v>
      </c>
      <c r="Y163" s="13" t="s">
        <v>107</v>
      </c>
      <c r="Z163" s="13" t="s">
        <v>108</v>
      </c>
      <c r="AA163" s="13" t="s">
        <v>107</v>
      </c>
      <c r="AB163" s="13" t="s">
        <v>2978</v>
      </c>
      <c r="AC163" s="13" t="s">
        <v>2978</v>
      </c>
      <c r="AD163" s="13" t="s">
        <v>2978</v>
      </c>
      <c r="AE163" s="34" t="s">
        <v>112</v>
      </c>
      <c r="AF163" s="13" t="s">
        <v>2978</v>
      </c>
      <c r="AG163" s="13" t="s">
        <v>2978</v>
      </c>
      <c r="AH163" s="13" t="s">
        <v>2979</v>
      </c>
      <c r="AL163" s="13" t="s">
        <v>2980</v>
      </c>
      <c r="AN163" s="13">
        <v>329</v>
      </c>
      <c r="AO163" s="13" t="s">
        <v>2981</v>
      </c>
      <c r="AQ163" s="13" t="s">
        <v>2978</v>
      </c>
      <c r="AR163" s="13" t="s">
        <v>2978</v>
      </c>
      <c r="AS163" s="13" t="s">
        <v>116</v>
      </c>
      <c r="AT163" s="13" t="s">
        <v>2982</v>
      </c>
      <c r="AU163" s="13" t="s">
        <v>2377</v>
      </c>
      <c r="AV163" s="13" t="s">
        <v>827</v>
      </c>
      <c r="AW163" s="13" t="s">
        <v>828</v>
      </c>
      <c r="AX163" s="26" t="s">
        <v>829</v>
      </c>
      <c r="AY163" s="13" t="s">
        <v>2982</v>
      </c>
      <c r="AZ163" s="13" t="s">
        <v>2983</v>
      </c>
      <c r="BA163" s="13" t="s">
        <v>2983</v>
      </c>
      <c r="BB163" s="13" t="s">
        <v>2984</v>
      </c>
      <c r="BC163" s="13" t="s">
        <v>2985</v>
      </c>
      <c r="BD163" s="13">
        <f t="shared" si="6"/>
        <v>59</v>
      </c>
      <c r="BE163" s="17" t="s">
        <v>834</v>
      </c>
      <c r="BF163" s="17" t="s">
        <v>736</v>
      </c>
      <c r="BG163" s="17" t="s">
        <v>751</v>
      </c>
      <c r="BJ163" s="31" t="s">
        <v>2986</v>
      </c>
      <c r="BK163" s="17" t="s">
        <v>2922</v>
      </c>
      <c r="BO163" s="17" t="s">
        <v>2911</v>
      </c>
      <c r="BP163" s="17" t="s">
        <v>956</v>
      </c>
      <c r="BS163" s="17" t="s">
        <v>127</v>
      </c>
      <c r="BU163" s="17" t="s">
        <v>129</v>
      </c>
      <c r="BV163" s="17" t="s">
        <v>130</v>
      </c>
      <c r="BX163" s="13" t="s">
        <v>2987</v>
      </c>
      <c r="DA163" s="13" t="s">
        <v>10348</v>
      </c>
      <c r="DB163" s="13" t="s">
        <v>10348</v>
      </c>
    </row>
    <row r="164" spans="1:106" s="13" customFormat="1" ht="12.75" customHeight="1" x14ac:dyDescent="0.2">
      <c r="A164" s="13" t="s">
        <v>102</v>
      </c>
      <c r="B164" s="13" t="s">
        <v>103</v>
      </c>
      <c r="D164" s="13" t="s">
        <v>820</v>
      </c>
      <c r="E164" s="13" t="s">
        <v>471</v>
      </c>
      <c r="F164" s="13" t="s">
        <v>820</v>
      </c>
      <c r="G164" s="13" t="s">
        <v>229</v>
      </c>
      <c r="H164" s="13" t="s">
        <v>227</v>
      </c>
      <c r="J164" s="13" t="s">
        <v>106</v>
      </c>
      <c r="W164" s="13">
        <v>249</v>
      </c>
      <c r="X164" s="13">
        <v>249</v>
      </c>
      <c r="Y164" s="13" t="s">
        <v>107</v>
      </c>
      <c r="Z164" s="13" t="s">
        <v>108</v>
      </c>
      <c r="AA164" s="13" t="s">
        <v>107</v>
      </c>
      <c r="AB164" s="13" t="s">
        <v>2988</v>
      </c>
      <c r="AC164" s="13" t="s">
        <v>2988</v>
      </c>
      <c r="AD164" s="13" t="s">
        <v>2988</v>
      </c>
      <c r="AE164" s="34" t="s">
        <v>112</v>
      </c>
      <c r="AF164" s="13" t="s">
        <v>2988</v>
      </c>
      <c r="AG164" s="13" t="s">
        <v>2988</v>
      </c>
      <c r="AH164" s="13" t="s">
        <v>2989</v>
      </c>
      <c r="AL164" s="13" t="s">
        <v>2990</v>
      </c>
      <c r="AN164" s="13">
        <v>329</v>
      </c>
      <c r="AO164" s="13" t="s">
        <v>2991</v>
      </c>
      <c r="AQ164" s="13" t="s">
        <v>2988</v>
      </c>
      <c r="AR164" s="13" t="s">
        <v>2988</v>
      </c>
      <c r="AS164" s="13" t="s">
        <v>116</v>
      </c>
      <c r="AT164" s="13" t="s">
        <v>2992</v>
      </c>
      <c r="AU164" s="13" t="s">
        <v>2377</v>
      </c>
      <c r="AV164" s="13" t="s">
        <v>827</v>
      </c>
      <c r="AW164" s="13" t="s">
        <v>828</v>
      </c>
      <c r="AX164" s="26" t="s">
        <v>829</v>
      </c>
      <c r="AY164" s="13" t="s">
        <v>2992</v>
      </c>
      <c r="AZ164" s="13" t="s">
        <v>2993</v>
      </c>
      <c r="BA164" s="13" t="s">
        <v>2993</v>
      </c>
      <c r="BB164" s="13" t="s">
        <v>2994</v>
      </c>
      <c r="BC164" s="13" t="s">
        <v>2995</v>
      </c>
      <c r="BD164" s="13">
        <f t="shared" si="6"/>
        <v>59</v>
      </c>
      <c r="BE164" s="17" t="s">
        <v>834</v>
      </c>
      <c r="BF164" s="17" t="s">
        <v>736</v>
      </c>
      <c r="BG164" s="17" t="s">
        <v>751</v>
      </c>
      <c r="BJ164" s="31" t="s">
        <v>2996</v>
      </c>
      <c r="BK164" s="17" t="s">
        <v>2922</v>
      </c>
      <c r="BO164" s="17" t="s">
        <v>2911</v>
      </c>
      <c r="BP164" s="17" t="s">
        <v>956</v>
      </c>
      <c r="BS164" s="17" t="s">
        <v>127</v>
      </c>
      <c r="BU164" s="17" t="s">
        <v>129</v>
      </c>
      <c r="BV164" s="17" t="s">
        <v>130</v>
      </c>
      <c r="BX164" s="13" t="s">
        <v>2997</v>
      </c>
      <c r="DA164" s="13" t="s">
        <v>10348</v>
      </c>
      <c r="DB164" s="13" t="s">
        <v>10348</v>
      </c>
    </row>
    <row r="165" spans="1:106" s="13" customFormat="1" ht="12.75" customHeight="1" x14ac:dyDescent="0.2">
      <c r="A165" s="13" t="s">
        <v>102</v>
      </c>
      <c r="B165" s="13" t="s">
        <v>103</v>
      </c>
      <c r="D165" s="13" t="s">
        <v>820</v>
      </c>
      <c r="E165" s="13" t="s">
        <v>471</v>
      </c>
      <c r="F165" s="13" t="s">
        <v>820</v>
      </c>
      <c r="G165" s="13" t="s">
        <v>229</v>
      </c>
      <c r="H165" s="13" t="s">
        <v>227</v>
      </c>
      <c r="J165" s="13" t="s">
        <v>106</v>
      </c>
      <c r="W165" s="13">
        <v>250</v>
      </c>
      <c r="X165" s="13">
        <v>250</v>
      </c>
      <c r="Y165" s="13" t="s">
        <v>107</v>
      </c>
      <c r="Z165" s="13" t="s">
        <v>108</v>
      </c>
      <c r="AA165" s="13" t="s">
        <v>107</v>
      </c>
      <c r="AB165" s="13" t="s">
        <v>2998</v>
      </c>
      <c r="AC165" s="13" t="s">
        <v>2998</v>
      </c>
      <c r="AD165" s="13" t="s">
        <v>2998</v>
      </c>
      <c r="AE165" s="34" t="s">
        <v>112</v>
      </c>
      <c r="AF165" s="13" t="s">
        <v>2998</v>
      </c>
      <c r="AG165" s="13" t="s">
        <v>2998</v>
      </c>
      <c r="AH165" s="13" t="s">
        <v>2999</v>
      </c>
      <c r="AL165" s="13" t="s">
        <v>3000</v>
      </c>
      <c r="AN165" s="13">
        <v>329</v>
      </c>
      <c r="AO165" s="13" t="s">
        <v>3001</v>
      </c>
      <c r="AQ165" s="13" t="s">
        <v>2998</v>
      </c>
      <c r="AR165" s="13" t="s">
        <v>2998</v>
      </c>
      <c r="AS165" s="13" t="s">
        <v>116</v>
      </c>
      <c r="AT165" s="13" t="s">
        <v>3002</v>
      </c>
      <c r="AU165" s="13" t="s">
        <v>2377</v>
      </c>
      <c r="AV165" s="13" t="s">
        <v>827</v>
      </c>
      <c r="AW165" s="13" t="s">
        <v>828</v>
      </c>
      <c r="AX165" s="26" t="s">
        <v>829</v>
      </c>
      <c r="AY165" s="13" t="s">
        <v>3002</v>
      </c>
      <c r="AZ165" s="13" t="s">
        <v>3003</v>
      </c>
      <c r="BA165" s="13" t="s">
        <v>3003</v>
      </c>
      <c r="BB165" s="13" t="s">
        <v>3004</v>
      </c>
      <c r="BC165" s="13" t="s">
        <v>3005</v>
      </c>
      <c r="BD165" s="13">
        <f t="shared" si="6"/>
        <v>59</v>
      </c>
      <c r="BE165" s="17" t="s">
        <v>834</v>
      </c>
      <c r="BF165" s="17" t="s">
        <v>736</v>
      </c>
      <c r="BG165" s="17" t="s">
        <v>751</v>
      </c>
      <c r="BJ165" s="31" t="s">
        <v>3006</v>
      </c>
      <c r="BK165" s="17" t="s">
        <v>2922</v>
      </c>
      <c r="BO165" s="17" t="s">
        <v>2911</v>
      </c>
      <c r="BP165" s="17" t="s">
        <v>956</v>
      </c>
      <c r="BS165" s="17" t="s">
        <v>127</v>
      </c>
      <c r="BU165" s="17" t="s">
        <v>129</v>
      </c>
      <c r="BV165" s="17" t="s">
        <v>130</v>
      </c>
      <c r="BX165" s="13" t="s">
        <v>3007</v>
      </c>
      <c r="DA165" s="13" t="s">
        <v>10348</v>
      </c>
      <c r="DB165" s="13" t="s">
        <v>10348</v>
      </c>
    </row>
    <row r="166" spans="1:106" s="13" customFormat="1" ht="12.75" customHeight="1" x14ac:dyDescent="0.2">
      <c r="A166" s="13" t="s">
        <v>102</v>
      </c>
      <c r="B166" s="13" t="s">
        <v>103</v>
      </c>
      <c r="D166" s="13" t="s">
        <v>820</v>
      </c>
      <c r="E166" s="13" t="s">
        <v>471</v>
      </c>
      <c r="F166" s="13" t="s">
        <v>820</v>
      </c>
      <c r="G166" s="13" t="s">
        <v>229</v>
      </c>
      <c r="H166" s="13" t="s">
        <v>227</v>
      </c>
      <c r="J166" s="13" t="s">
        <v>106</v>
      </c>
      <c r="W166" s="13">
        <v>251</v>
      </c>
      <c r="X166" s="13">
        <v>251</v>
      </c>
      <c r="Y166" s="13" t="s">
        <v>107</v>
      </c>
      <c r="Z166" s="13" t="s">
        <v>108</v>
      </c>
      <c r="AA166" s="13" t="s">
        <v>107</v>
      </c>
      <c r="AB166" s="13" t="s">
        <v>3008</v>
      </c>
      <c r="AC166" s="13" t="s">
        <v>3008</v>
      </c>
      <c r="AD166" s="13" t="s">
        <v>3008</v>
      </c>
      <c r="AE166" s="34" t="s">
        <v>112</v>
      </c>
      <c r="AF166" s="13" t="s">
        <v>3008</v>
      </c>
      <c r="AG166" s="13" t="s">
        <v>3008</v>
      </c>
      <c r="AH166" s="13" t="s">
        <v>3009</v>
      </c>
      <c r="AL166" s="13" t="s">
        <v>3010</v>
      </c>
      <c r="AN166" s="13">
        <v>329</v>
      </c>
      <c r="AO166" s="13" t="s">
        <v>3011</v>
      </c>
      <c r="AQ166" s="13" t="s">
        <v>3008</v>
      </c>
      <c r="AR166" s="13" t="s">
        <v>3008</v>
      </c>
      <c r="AS166" s="13" t="s">
        <v>116</v>
      </c>
      <c r="AT166" s="13" t="s">
        <v>3012</v>
      </c>
      <c r="AU166" s="13" t="s">
        <v>2377</v>
      </c>
      <c r="AV166" s="13" t="s">
        <v>827</v>
      </c>
      <c r="AW166" s="13" t="s">
        <v>828</v>
      </c>
      <c r="AX166" s="26" t="s">
        <v>829</v>
      </c>
      <c r="AY166" s="13" t="s">
        <v>3012</v>
      </c>
      <c r="AZ166" s="13" t="s">
        <v>3013</v>
      </c>
      <c r="BA166" s="13" t="s">
        <v>3013</v>
      </c>
      <c r="BB166" s="13" t="s">
        <v>3014</v>
      </c>
      <c r="BC166" s="13" t="s">
        <v>3015</v>
      </c>
      <c r="BD166" s="13">
        <f t="shared" si="6"/>
        <v>59</v>
      </c>
      <c r="BE166" s="17" t="s">
        <v>834</v>
      </c>
      <c r="BF166" s="17" t="s">
        <v>736</v>
      </c>
      <c r="BG166" s="17" t="s">
        <v>751</v>
      </c>
      <c r="BJ166" s="31" t="s">
        <v>3016</v>
      </c>
      <c r="BK166" s="17" t="s">
        <v>2922</v>
      </c>
      <c r="BO166" s="17" t="s">
        <v>2911</v>
      </c>
      <c r="BP166" s="17" t="s">
        <v>956</v>
      </c>
      <c r="BS166" s="17" t="s">
        <v>127</v>
      </c>
      <c r="BU166" s="17" t="s">
        <v>129</v>
      </c>
      <c r="BV166" s="17" t="s">
        <v>130</v>
      </c>
      <c r="BX166" s="13" t="s">
        <v>3017</v>
      </c>
      <c r="DA166" s="13" t="s">
        <v>10348</v>
      </c>
      <c r="DB166" s="13" t="s">
        <v>10348</v>
      </c>
    </row>
    <row r="167" spans="1:106" s="13" customFormat="1" ht="12.75" customHeight="1" x14ac:dyDescent="0.2">
      <c r="A167" s="13" t="s">
        <v>102</v>
      </c>
      <c r="B167" s="13" t="s">
        <v>103</v>
      </c>
      <c r="D167" s="13" t="s">
        <v>820</v>
      </c>
      <c r="E167" s="13" t="s">
        <v>471</v>
      </c>
      <c r="F167" s="13" t="s">
        <v>820</v>
      </c>
      <c r="G167" s="13" t="s">
        <v>229</v>
      </c>
      <c r="H167" s="13" t="s">
        <v>227</v>
      </c>
      <c r="J167" s="13" t="s">
        <v>106</v>
      </c>
      <c r="W167" s="13">
        <v>252</v>
      </c>
      <c r="X167" s="13">
        <v>252</v>
      </c>
      <c r="Y167" s="13" t="s">
        <v>107</v>
      </c>
      <c r="Z167" s="13" t="s">
        <v>108</v>
      </c>
      <c r="AA167" s="13" t="s">
        <v>107</v>
      </c>
      <c r="AB167" s="13" t="s">
        <v>3018</v>
      </c>
      <c r="AC167" s="13" t="s">
        <v>3018</v>
      </c>
      <c r="AD167" s="13" t="s">
        <v>3018</v>
      </c>
      <c r="AE167" s="34" t="s">
        <v>112</v>
      </c>
      <c r="AF167" s="13" t="s">
        <v>3018</v>
      </c>
      <c r="AG167" s="13" t="s">
        <v>3018</v>
      </c>
      <c r="AH167" s="13" t="s">
        <v>3019</v>
      </c>
      <c r="AL167" s="13" t="s">
        <v>3020</v>
      </c>
      <c r="AN167" s="13">
        <v>329</v>
      </c>
      <c r="AO167" s="13" t="s">
        <v>3021</v>
      </c>
      <c r="AQ167" s="13" t="s">
        <v>3018</v>
      </c>
      <c r="AR167" s="13" t="s">
        <v>3018</v>
      </c>
      <c r="AS167" s="13" t="s">
        <v>116</v>
      </c>
      <c r="AT167" s="13" t="s">
        <v>3022</v>
      </c>
      <c r="AU167" s="13" t="s">
        <v>2377</v>
      </c>
      <c r="AV167" s="13" t="s">
        <v>827</v>
      </c>
      <c r="AW167" s="13" t="s">
        <v>828</v>
      </c>
      <c r="AX167" s="26" t="s">
        <v>829</v>
      </c>
      <c r="AY167" s="13" t="s">
        <v>3022</v>
      </c>
      <c r="AZ167" s="13" t="s">
        <v>3023</v>
      </c>
      <c r="BA167" s="13" t="s">
        <v>3023</v>
      </c>
      <c r="BB167" s="13" t="s">
        <v>3024</v>
      </c>
      <c r="BC167" s="13" t="s">
        <v>3025</v>
      </c>
      <c r="BD167" s="13">
        <f t="shared" si="6"/>
        <v>60</v>
      </c>
      <c r="BE167" s="17" t="s">
        <v>834</v>
      </c>
      <c r="BF167" s="17" t="s">
        <v>736</v>
      </c>
      <c r="BG167" s="17" t="s">
        <v>751</v>
      </c>
      <c r="BJ167" s="31" t="s">
        <v>2986</v>
      </c>
      <c r="BK167" s="17" t="s">
        <v>2922</v>
      </c>
      <c r="BO167" s="17" t="s">
        <v>2911</v>
      </c>
      <c r="BP167" s="17" t="s">
        <v>2384</v>
      </c>
      <c r="BS167" s="17" t="s">
        <v>127</v>
      </c>
      <c r="BU167" s="17" t="s">
        <v>129</v>
      </c>
      <c r="BV167" s="17" t="s">
        <v>130</v>
      </c>
      <c r="BX167" s="13" t="s">
        <v>3026</v>
      </c>
      <c r="DA167" s="13" t="s">
        <v>10348</v>
      </c>
      <c r="DB167" s="13" t="s">
        <v>10348</v>
      </c>
    </row>
    <row r="168" spans="1:106" s="13" customFormat="1" ht="12.75" customHeight="1" x14ac:dyDescent="0.2">
      <c r="A168" s="13" t="s">
        <v>102</v>
      </c>
      <c r="B168" s="13" t="s">
        <v>103</v>
      </c>
      <c r="D168" s="13" t="s">
        <v>820</v>
      </c>
      <c r="E168" s="13" t="s">
        <v>471</v>
      </c>
      <c r="F168" s="13" t="s">
        <v>820</v>
      </c>
      <c r="G168" s="13" t="s">
        <v>229</v>
      </c>
      <c r="H168" s="13" t="s">
        <v>227</v>
      </c>
      <c r="J168" s="13" t="s">
        <v>106</v>
      </c>
      <c r="W168" s="13">
        <v>253</v>
      </c>
      <c r="X168" s="13">
        <v>253</v>
      </c>
      <c r="Y168" s="13" t="s">
        <v>107</v>
      </c>
      <c r="Z168" s="13" t="s">
        <v>108</v>
      </c>
      <c r="AA168" s="13" t="s">
        <v>107</v>
      </c>
      <c r="AB168" s="13" t="s">
        <v>3027</v>
      </c>
      <c r="AC168" s="13" t="s">
        <v>3027</v>
      </c>
      <c r="AD168" s="13" t="s">
        <v>3027</v>
      </c>
      <c r="AE168" s="34" t="s">
        <v>112</v>
      </c>
      <c r="AF168" s="13" t="s">
        <v>3027</v>
      </c>
      <c r="AG168" s="13" t="s">
        <v>3027</v>
      </c>
      <c r="AH168" s="13" t="s">
        <v>3028</v>
      </c>
      <c r="AL168" s="13" t="s">
        <v>3029</v>
      </c>
      <c r="AN168" s="13">
        <v>329</v>
      </c>
      <c r="AO168" s="13" t="s">
        <v>3030</v>
      </c>
      <c r="AQ168" s="13" t="s">
        <v>3027</v>
      </c>
      <c r="AR168" s="13" t="s">
        <v>3027</v>
      </c>
      <c r="AS168" s="13" t="s">
        <v>116</v>
      </c>
      <c r="AT168" s="13" t="s">
        <v>3031</v>
      </c>
      <c r="AU168" s="13" t="s">
        <v>2377</v>
      </c>
      <c r="AV168" s="13" t="s">
        <v>827</v>
      </c>
      <c r="AW168" s="13" t="s">
        <v>828</v>
      </c>
      <c r="AX168" s="26" t="s">
        <v>829</v>
      </c>
      <c r="AY168" s="13" t="s">
        <v>3032</v>
      </c>
      <c r="AZ168" s="13" t="s">
        <v>3033</v>
      </c>
      <c r="BA168" s="13" t="s">
        <v>3033</v>
      </c>
      <c r="BB168" s="13" t="s">
        <v>3034</v>
      </c>
      <c r="BC168" s="13" t="s">
        <v>3035</v>
      </c>
      <c r="BD168" s="13">
        <f t="shared" si="6"/>
        <v>60</v>
      </c>
      <c r="BE168" s="17" t="s">
        <v>834</v>
      </c>
      <c r="BF168" s="17" t="s">
        <v>736</v>
      </c>
      <c r="BG168" s="17" t="s">
        <v>751</v>
      </c>
      <c r="BJ168" s="31" t="s">
        <v>3036</v>
      </c>
      <c r="BK168" s="17" t="s">
        <v>2922</v>
      </c>
      <c r="BO168" s="17" t="s">
        <v>2911</v>
      </c>
      <c r="BP168" s="17" t="s">
        <v>2384</v>
      </c>
      <c r="BS168" s="17" t="s">
        <v>127</v>
      </c>
      <c r="BU168" s="17" t="s">
        <v>129</v>
      </c>
      <c r="BV168" s="17" t="s">
        <v>130</v>
      </c>
      <c r="BX168" s="13" t="s">
        <v>3037</v>
      </c>
      <c r="DA168" s="13" t="s">
        <v>10348</v>
      </c>
      <c r="DB168" s="13" t="s">
        <v>10348</v>
      </c>
    </row>
    <row r="169" spans="1:106" s="13" customFormat="1" ht="12.75" customHeight="1" x14ac:dyDescent="0.2">
      <c r="A169" s="13" t="s">
        <v>102</v>
      </c>
      <c r="B169" s="13" t="s">
        <v>103</v>
      </c>
      <c r="D169" s="13" t="s">
        <v>820</v>
      </c>
      <c r="E169" s="13" t="s">
        <v>471</v>
      </c>
      <c r="F169" s="13" t="s">
        <v>820</v>
      </c>
      <c r="G169" s="13" t="s">
        <v>229</v>
      </c>
      <c r="H169" s="13" t="s">
        <v>227</v>
      </c>
      <c r="J169" s="13" t="s">
        <v>106</v>
      </c>
      <c r="W169" s="13">
        <v>254</v>
      </c>
      <c r="X169" s="13">
        <v>254</v>
      </c>
      <c r="Y169" s="13" t="s">
        <v>107</v>
      </c>
      <c r="Z169" s="13" t="s">
        <v>108</v>
      </c>
      <c r="AA169" s="13" t="s">
        <v>107</v>
      </c>
      <c r="AB169" s="13" t="s">
        <v>3038</v>
      </c>
      <c r="AC169" s="13" t="s">
        <v>3038</v>
      </c>
      <c r="AD169" s="13" t="s">
        <v>3038</v>
      </c>
      <c r="AE169" s="34" t="s">
        <v>112</v>
      </c>
      <c r="AF169" s="13" t="s">
        <v>3038</v>
      </c>
      <c r="AG169" s="13" t="s">
        <v>3038</v>
      </c>
      <c r="AH169" s="13" t="s">
        <v>3039</v>
      </c>
      <c r="AL169" s="13" t="s">
        <v>3040</v>
      </c>
      <c r="AN169" s="13">
        <v>329</v>
      </c>
      <c r="AO169" s="13" t="s">
        <v>3041</v>
      </c>
      <c r="AQ169" s="13" t="s">
        <v>3038</v>
      </c>
      <c r="AR169" s="13" t="s">
        <v>3038</v>
      </c>
      <c r="AS169" s="13" t="s">
        <v>116</v>
      </c>
      <c r="AT169" s="13" t="s">
        <v>3042</v>
      </c>
      <c r="AU169" s="13" t="s">
        <v>2377</v>
      </c>
      <c r="AV169" s="13" t="s">
        <v>827</v>
      </c>
      <c r="AW169" s="13" t="s">
        <v>828</v>
      </c>
      <c r="AX169" s="26" t="s">
        <v>829</v>
      </c>
      <c r="AY169" s="13" t="s">
        <v>3042</v>
      </c>
      <c r="AZ169" s="13" t="s">
        <v>3043</v>
      </c>
      <c r="BA169" s="13" t="s">
        <v>3043</v>
      </c>
      <c r="BB169" s="13" t="s">
        <v>3044</v>
      </c>
      <c r="BC169" s="13" t="s">
        <v>3045</v>
      </c>
      <c r="BD169" s="13">
        <f t="shared" si="6"/>
        <v>60</v>
      </c>
      <c r="BE169" s="17" t="s">
        <v>834</v>
      </c>
      <c r="BF169" s="17" t="s">
        <v>736</v>
      </c>
      <c r="BG169" s="17" t="s">
        <v>751</v>
      </c>
      <c r="BJ169" s="31" t="s">
        <v>2996</v>
      </c>
      <c r="BK169" s="17" t="s">
        <v>2922</v>
      </c>
      <c r="BO169" s="17" t="s">
        <v>2911</v>
      </c>
      <c r="BP169" s="17" t="s">
        <v>2384</v>
      </c>
      <c r="BS169" s="17" t="s">
        <v>127</v>
      </c>
      <c r="BU169" s="17" t="s">
        <v>129</v>
      </c>
      <c r="BV169" s="17" t="s">
        <v>130</v>
      </c>
      <c r="BX169" s="13" t="s">
        <v>3046</v>
      </c>
      <c r="DA169" s="13" t="s">
        <v>10348</v>
      </c>
      <c r="DB169" s="13" t="s">
        <v>10348</v>
      </c>
    </row>
    <row r="170" spans="1:106" s="13" customFormat="1" ht="12.75" customHeight="1" x14ac:dyDescent="0.2">
      <c r="A170" s="13" t="s">
        <v>102</v>
      </c>
      <c r="B170" s="13" t="s">
        <v>103</v>
      </c>
      <c r="D170" s="13" t="s">
        <v>820</v>
      </c>
      <c r="E170" s="13" t="s">
        <v>471</v>
      </c>
      <c r="F170" s="13" t="s">
        <v>820</v>
      </c>
      <c r="G170" s="13" t="s">
        <v>229</v>
      </c>
      <c r="H170" s="13" t="s">
        <v>227</v>
      </c>
      <c r="J170" s="13" t="s">
        <v>106</v>
      </c>
      <c r="W170" s="13">
        <v>255</v>
      </c>
      <c r="X170" s="13">
        <v>255</v>
      </c>
      <c r="Y170" s="13" t="s">
        <v>107</v>
      </c>
      <c r="Z170" s="13" t="s">
        <v>108</v>
      </c>
      <c r="AA170" s="13" t="s">
        <v>107</v>
      </c>
      <c r="AB170" s="13" t="s">
        <v>3047</v>
      </c>
      <c r="AC170" s="13" t="s">
        <v>3047</v>
      </c>
      <c r="AD170" s="13" t="s">
        <v>3047</v>
      </c>
      <c r="AE170" s="34" t="s">
        <v>112</v>
      </c>
      <c r="AF170" s="13" t="s">
        <v>3047</v>
      </c>
      <c r="AG170" s="13" t="s">
        <v>3047</v>
      </c>
      <c r="AH170" s="13" t="s">
        <v>3048</v>
      </c>
      <c r="AL170" s="13" t="s">
        <v>3049</v>
      </c>
      <c r="AN170" s="13">
        <v>329</v>
      </c>
      <c r="AO170" s="13" t="s">
        <v>3050</v>
      </c>
      <c r="AQ170" s="13" t="s">
        <v>3047</v>
      </c>
      <c r="AR170" s="13" t="s">
        <v>3047</v>
      </c>
      <c r="AS170" s="13" t="s">
        <v>116</v>
      </c>
      <c r="AT170" s="13" t="s">
        <v>3051</v>
      </c>
      <c r="AU170" s="13" t="s">
        <v>2377</v>
      </c>
      <c r="AV170" s="13" t="s">
        <v>827</v>
      </c>
      <c r="AW170" s="13" t="s">
        <v>828</v>
      </c>
      <c r="AX170" s="26" t="s">
        <v>829</v>
      </c>
      <c r="AY170" s="13" t="s">
        <v>3051</v>
      </c>
      <c r="AZ170" s="13" t="s">
        <v>3052</v>
      </c>
      <c r="BA170" s="13" t="s">
        <v>3052</v>
      </c>
      <c r="BB170" s="13" t="s">
        <v>3053</v>
      </c>
      <c r="BC170" s="13" t="s">
        <v>3054</v>
      </c>
      <c r="BD170" s="13">
        <f t="shared" si="6"/>
        <v>60</v>
      </c>
      <c r="BE170" s="17" t="s">
        <v>834</v>
      </c>
      <c r="BF170" s="17" t="s">
        <v>736</v>
      </c>
      <c r="BG170" s="17" t="s">
        <v>751</v>
      </c>
      <c r="BJ170" s="31" t="s">
        <v>849</v>
      </c>
      <c r="BK170" s="17" t="s">
        <v>2922</v>
      </c>
      <c r="BO170" s="17" t="s">
        <v>2911</v>
      </c>
      <c r="BP170" s="17" t="s">
        <v>2384</v>
      </c>
      <c r="BS170" s="17" t="s">
        <v>127</v>
      </c>
      <c r="BU170" s="17" t="s">
        <v>129</v>
      </c>
      <c r="BV170" s="17" t="s">
        <v>130</v>
      </c>
      <c r="BX170" s="13" t="s">
        <v>3055</v>
      </c>
      <c r="DA170" s="13" t="s">
        <v>10348</v>
      </c>
      <c r="DB170" s="13" t="s">
        <v>10348</v>
      </c>
    </row>
    <row r="171" spans="1:106" s="13" customFormat="1" ht="12.75" customHeight="1" x14ac:dyDescent="0.2">
      <c r="A171" s="13" t="s">
        <v>102</v>
      </c>
      <c r="B171" s="13" t="s">
        <v>103</v>
      </c>
      <c r="D171" s="13" t="s">
        <v>820</v>
      </c>
      <c r="E171" s="13" t="s">
        <v>471</v>
      </c>
      <c r="F171" s="13" t="s">
        <v>820</v>
      </c>
      <c r="G171" s="13" t="s">
        <v>229</v>
      </c>
      <c r="H171" s="13" t="s">
        <v>227</v>
      </c>
      <c r="J171" s="13" t="s">
        <v>106</v>
      </c>
      <c r="W171" s="13">
        <v>256</v>
      </c>
      <c r="X171" s="13">
        <v>256</v>
      </c>
      <c r="Y171" s="13" t="s">
        <v>107</v>
      </c>
      <c r="Z171" s="13" t="s">
        <v>108</v>
      </c>
      <c r="AA171" s="13" t="s">
        <v>107</v>
      </c>
      <c r="AB171" s="13" t="s">
        <v>3056</v>
      </c>
      <c r="AC171" s="13" t="s">
        <v>3056</v>
      </c>
      <c r="AD171" s="13" t="s">
        <v>3056</v>
      </c>
      <c r="AE171" s="34" t="s">
        <v>112</v>
      </c>
      <c r="AF171" s="13" t="s">
        <v>3056</v>
      </c>
      <c r="AG171" s="13" t="s">
        <v>3056</v>
      </c>
      <c r="AH171" s="13" t="s">
        <v>3057</v>
      </c>
      <c r="AL171" s="13" t="s">
        <v>3058</v>
      </c>
      <c r="AN171" s="13">
        <v>329</v>
      </c>
      <c r="AO171" s="13" t="s">
        <v>3059</v>
      </c>
      <c r="AQ171" s="13" t="s">
        <v>3056</v>
      </c>
      <c r="AR171" s="13" t="s">
        <v>3056</v>
      </c>
      <c r="AS171" s="13" t="s">
        <v>116</v>
      </c>
      <c r="AT171" s="13" t="s">
        <v>3060</v>
      </c>
      <c r="AU171" s="13" t="s">
        <v>2377</v>
      </c>
      <c r="AV171" s="13" t="s">
        <v>827</v>
      </c>
      <c r="AW171" s="13" t="s">
        <v>828</v>
      </c>
      <c r="AX171" s="26" t="s">
        <v>829</v>
      </c>
      <c r="AY171" s="13" t="s">
        <v>3061</v>
      </c>
      <c r="AZ171" s="13" t="s">
        <v>3062</v>
      </c>
      <c r="BA171" s="13" t="s">
        <v>3062</v>
      </c>
      <c r="BB171" s="13" t="s">
        <v>3063</v>
      </c>
      <c r="BC171" s="13" t="s">
        <v>3064</v>
      </c>
      <c r="BD171" s="13">
        <f t="shared" si="6"/>
        <v>57</v>
      </c>
      <c r="BE171" s="17" t="s">
        <v>834</v>
      </c>
      <c r="BF171" s="17" t="s">
        <v>736</v>
      </c>
      <c r="BG171" s="17" t="s">
        <v>751</v>
      </c>
      <c r="BJ171" s="31" t="s">
        <v>2395</v>
      </c>
      <c r="BK171" s="17" t="s">
        <v>3065</v>
      </c>
      <c r="BO171" s="17" t="s">
        <v>2911</v>
      </c>
      <c r="BP171" s="17" t="s">
        <v>2384</v>
      </c>
      <c r="BS171" s="17" t="s">
        <v>127</v>
      </c>
      <c r="BU171" s="17" t="s">
        <v>129</v>
      </c>
      <c r="BV171" s="17" t="s">
        <v>130</v>
      </c>
      <c r="BX171" s="13" t="s">
        <v>3066</v>
      </c>
      <c r="DA171" s="13" t="s">
        <v>10348</v>
      </c>
      <c r="DB171" s="13" t="s">
        <v>10348</v>
      </c>
    </row>
    <row r="172" spans="1:106" s="13" customFormat="1" ht="12.75" customHeight="1" x14ac:dyDescent="0.2">
      <c r="A172" s="13" t="s">
        <v>102</v>
      </c>
      <c r="B172" s="13" t="s">
        <v>103</v>
      </c>
      <c r="D172" s="13" t="s">
        <v>820</v>
      </c>
      <c r="E172" s="13" t="s">
        <v>471</v>
      </c>
      <c r="F172" s="13" t="s">
        <v>820</v>
      </c>
      <c r="G172" s="13" t="s">
        <v>229</v>
      </c>
      <c r="H172" s="13" t="s">
        <v>227</v>
      </c>
      <c r="J172" s="13" t="s">
        <v>106</v>
      </c>
      <c r="W172" s="13">
        <v>257</v>
      </c>
      <c r="X172" s="13">
        <v>257</v>
      </c>
      <c r="Y172" s="13" t="s">
        <v>107</v>
      </c>
      <c r="Z172" s="13" t="s">
        <v>108</v>
      </c>
      <c r="AA172" s="13" t="s">
        <v>107</v>
      </c>
      <c r="AB172" s="13" t="s">
        <v>3067</v>
      </c>
      <c r="AC172" s="13" t="s">
        <v>3067</v>
      </c>
      <c r="AD172" s="13" t="s">
        <v>3067</v>
      </c>
      <c r="AE172" s="34" t="s">
        <v>112</v>
      </c>
      <c r="AF172" s="13" t="s">
        <v>3067</v>
      </c>
      <c r="AG172" s="13" t="s">
        <v>3067</v>
      </c>
      <c r="AH172" s="13" t="s">
        <v>3068</v>
      </c>
      <c r="AL172" s="13" t="s">
        <v>2412</v>
      </c>
      <c r="AN172" s="13">
        <v>329</v>
      </c>
      <c r="AO172" s="13" t="s">
        <v>3069</v>
      </c>
      <c r="AQ172" s="13" t="s">
        <v>3067</v>
      </c>
      <c r="AR172" s="13" t="s">
        <v>3067</v>
      </c>
      <c r="AS172" s="13" t="s">
        <v>116</v>
      </c>
      <c r="AT172" s="13" t="s">
        <v>3070</v>
      </c>
      <c r="AU172" s="13" t="s">
        <v>2377</v>
      </c>
      <c r="AV172" s="13" t="s">
        <v>827</v>
      </c>
      <c r="AW172" s="13" t="s">
        <v>828</v>
      </c>
      <c r="AX172" s="26" t="s">
        <v>829</v>
      </c>
      <c r="AY172" s="13" t="s">
        <v>3071</v>
      </c>
      <c r="AZ172" s="13" t="s">
        <v>2415</v>
      </c>
      <c r="BA172" s="13" t="s">
        <v>3072</v>
      </c>
      <c r="BB172" s="13" t="s">
        <v>2416</v>
      </c>
      <c r="BC172" s="13" t="s">
        <v>3073</v>
      </c>
      <c r="BD172" s="13">
        <f t="shared" si="6"/>
        <v>58</v>
      </c>
      <c r="BE172" s="17" t="s">
        <v>834</v>
      </c>
      <c r="BF172" s="17" t="s">
        <v>736</v>
      </c>
      <c r="BG172" s="17" t="s">
        <v>751</v>
      </c>
      <c r="BJ172" s="31" t="s">
        <v>849</v>
      </c>
      <c r="BO172" s="17" t="s">
        <v>2407</v>
      </c>
      <c r="BP172" s="17" t="s">
        <v>2408</v>
      </c>
      <c r="BS172" s="17" t="s">
        <v>127</v>
      </c>
      <c r="BU172" s="17" t="s">
        <v>129</v>
      </c>
      <c r="BX172" s="13" t="s">
        <v>3074</v>
      </c>
      <c r="CA172" s="13" t="s">
        <v>3075</v>
      </c>
      <c r="DA172" s="13" t="s">
        <v>10348</v>
      </c>
      <c r="DB172" s="13" t="s">
        <v>10348</v>
      </c>
    </row>
    <row r="173" spans="1:106" s="13" customFormat="1" ht="12.75" customHeight="1" x14ac:dyDescent="0.2">
      <c r="A173" s="13" t="s">
        <v>102</v>
      </c>
      <c r="B173" s="13" t="s">
        <v>103</v>
      </c>
      <c r="D173" s="13" t="s">
        <v>820</v>
      </c>
      <c r="E173" s="13" t="s">
        <v>228</v>
      </c>
      <c r="F173" s="13" t="s">
        <v>820</v>
      </c>
      <c r="G173" s="13" t="s">
        <v>229</v>
      </c>
      <c r="H173" s="13" t="s">
        <v>227</v>
      </c>
      <c r="J173" s="13" t="s">
        <v>106</v>
      </c>
      <c r="W173" s="13">
        <v>258</v>
      </c>
      <c r="X173" s="13">
        <v>258</v>
      </c>
      <c r="Y173" s="13" t="s">
        <v>107</v>
      </c>
      <c r="Z173" s="13" t="s">
        <v>108</v>
      </c>
      <c r="AA173" s="13" t="s">
        <v>107</v>
      </c>
      <c r="AB173" s="13" t="s">
        <v>3076</v>
      </c>
      <c r="AC173" s="13" t="s">
        <v>3076</v>
      </c>
      <c r="AD173" s="13" t="s">
        <v>3076</v>
      </c>
      <c r="AE173" s="34" t="s">
        <v>112</v>
      </c>
      <c r="AF173" s="13" t="s">
        <v>3076</v>
      </c>
      <c r="AG173" s="13" t="s">
        <v>3076</v>
      </c>
      <c r="AH173" s="13" t="s">
        <v>3077</v>
      </c>
      <c r="AL173" s="13" t="s">
        <v>3078</v>
      </c>
      <c r="AN173" s="13">
        <v>329</v>
      </c>
      <c r="AO173" s="13" t="s">
        <v>3079</v>
      </c>
      <c r="AQ173" s="13" t="s">
        <v>3076</v>
      </c>
      <c r="AR173" s="13" t="s">
        <v>3076</v>
      </c>
      <c r="AS173" s="13" t="s">
        <v>116</v>
      </c>
      <c r="AT173" s="13" t="s">
        <v>3080</v>
      </c>
      <c r="AU173" s="13" t="s">
        <v>2377</v>
      </c>
      <c r="AV173" s="13" t="s">
        <v>827</v>
      </c>
      <c r="AW173" s="13" t="s">
        <v>828</v>
      </c>
      <c r="AX173" s="26" t="s">
        <v>829</v>
      </c>
      <c r="AY173" s="13" t="s">
        <v>3081</v>
      </c>
      <c r="AZ173" s="13" t="s">
        <v>3082</v>
      </c>
      <c r="BA173" s="13" t="s">
        <v>3082</v>
      </c>
      <c r="BB173" s="13" t="s">
        <v>3083</v>
      </c>
      <c r="BC173" s="13" t="s">
        <v>3084</v>
      </c>
      <c r="BD173" s="13">
        <f t="shared" si="6"/>
        <v>55</v>
      </c>
      <c r="BE173" s="17" t="s">
        <v>834</v>
      </c>
      <c r="BF173" s="17" t="s">
        <v>736</v>
      </c>
      <c r="BG173" s="17" t="s">
        <v>751</v>
      </c>
      <c r="BJ173" s="31" t="s">
        <v>2395</v>
      </c>
      <c r="BO173" s="17" t="s">
        <v>2407</v>
      </c>
      <c r="BP173" s="17" t="s">
        <v>2408</v>
      </c>
      <c r="BS173" s="17" t="s">
        <v>127</v>
      </c>
      <c r="BU173" s="17" t="s">
        <v>129</v>
      </c>
      <c r="BX173" s="13" t="s">
        <v>3085</v>
      </c>
      <c r="DA173" s="13" t="s">
        <v>10348</v>
      </c>
      <c r="DB173" s="13" t="s">
        <v>10348</v>
      </c>
    </row>
    <row r="174" spans="1:106" s="13" customFormat="1" ht="12.75" customHeight="1" x14ac:dyDescent="0.2">
      <c r="A174" s="13" t="s">
        <v>102</v>
      </c>
      <c r="B174" s="13" t="s">
        <v>103</v>
      </c>
      <c r="D174" s="13" t="s">
        <v>820</v>
      </c>
      <c r="E174" s="13" t="s">
        <v>471</v>
      </c>
      <c r="F174" s="13" t="s">
        <v>820</v>
      </c>
      <c r="G174" s="13" t="s">
        <v>229</v>
      </c>
      <c r="H174" s="13" t="s">
        <v>227</v>
      </c>
      <c r="J174" s="13" t="s">
        <v>106</v>
      </c>
      <c r="W174" s="13">
        <v>259</v>
      </c>
      <c r="X174" s="13">
        <v>259</v>
      </c>
      <c r="Y174" s="13" t="s">
        <v>107</v>
      </c>
      <c r="Z174" s="13" t="s">
        <v>108</v>
      </c>
      <c r="AA174" s="13" t="s">
        <v>107</v>
      </c>
      <c r="AB174" s="13" t="s">
        <v>3086</v>
      </c>
      <c r="AC174" s="13" t="s">
        <v>3086</v>
      </c>
      <c r="AD174" s="13" t="s">
        <v>3086</v>
      </c>
      <c r="AE174" s="34" t="s">
        <v>112</v>
      </c>
      <c r="AF174" s="13" t="s">
        <v>3086</v>
      </c>
      <c r="AG174" s="13" t="s">
        <v>3086</v>
      </c>
      <c r="AH174" s="13" t="s">
        <v>3087</v>
      </c>
      <c r="AL174" s="13" t="s">
        <v>3088</v>
      </c>
      <c r="AN174" s="13">
        <v>329</v>
      </c>
      <c r="AO174" s="13" t="s">
        <v>3089</v>
      </c>
      <c r="AQ174" s="13" t="s">
        <v>3086</v>
      </c>
      <c r="AR174" s="13" t="s">
        <v>3086</v>
      </c>
      <c r="AS174" s="13" t="s">
        <v>116</v>
      </c>
      <c r="AT174" s="13" t="s">
        <v>3090</v>
      </c>
      <c r="AU174" s="13" t="s">
        <v>2377</v>
      </c>
      <c r="AV174" s="13" t="s">
        <v>827</v>
      </c>
      <c r="AW174" s="13" t="s">
        <v>828</v>
      </c>
      <c r="AX174" s="26" t="s">
        <v>829</v>
      </c>
      <c r="AY174" s="13" t="s">
        <v>3090</v>
      </c>
      <c r="AZ174" s="13" t="s">
        <v>3091</v>
      </c>
      <c r="BA174" s="13" t="s">
        <v>3091</v>
      </c>
      <c r="BB174" s="13" t="s">
        <v>3092</v>
      </c>
      <c r="BC174" s="13" t="s">
        <v>3093</v>
      </c>
      <c r="BD174" s="13">
        <f t="shared" si="6"/>
        <v>60</v>
      </c>
      <c r="BE174" s="17" t="s">
        <v>834</v>
      </c>
      <c r="BF174" s="17" t="s">
        <v>736</v>
      </c>
      <c r="BG174" s="17" t="s">
        <v>924</v>
      </c>
      <c r="BH174" s="17" t="s">
        <v>2382</v>
      </c>
      <c r="BJ174" s="31" t="s">
        <v>2395</v>
      </c>
      <c r="BO174" s="17" t="s">
        <v>3094</v>
      </c>
      <c r="BP174" s="17" t="s">
        <v>2408</v>
      </c>
      <c r="BS174" s="17" t="s">
        <v>127</v>
      </c>
      <c r="BU174" s="17" t="s">
        <v>129</v>
      </c>
      <c r="BX174" s="13" t="s">
        <v>3095</v>
      </c>
      <c r="DA174" s="13" t="s">
        <v>10348</v>
      </c>
      <c r="DB174" s="13" t="s">
        <v>10348</v>
      </c>
    </row>
    <row r="175" spans="1:106" s="13" customFormat="1" ht="12.75" customHeight="1" x14ac:dyDescent="0.2">
      <c r="A175" s="13" t="s">
        <v>102</v>
      </c>
      <c r="B175" s="13" t="s">
        <v>103</v>
      </c>
      <c r="D175" s="13" t="s">
        <v>820</v>
      </c>
      <c r="E175" s="13" t="s">
        <v>471</v>
      </c>
      <c r="F175" s="13" t="s">
        <v>820</v>
      </c>
      <c r="G175" s="13" t="s">
        <v>229</v>
      </c>
      <c r="H175" s="13" t="s">
        <v>227</v>
      </c>
      <c r="J175" s="13" t="s">
        <v>106</v>
      </c>
      <c r="W175" s="13">
        <v>260</v>
      </c>
      <c r="X175" s="13">
        <v>260</v>
      </c>
      <c r="Y175" s="13" t="s">
        <v>107</v>
      </c>
      <c r="Z175" s="13" t="s">
        <v>108</v>
      </c>
      <c r="AA175" s="13" t="s">
        <v>107</v>
      </c>
      <c r="AB175" s="13" t="s">
        <v>3096</v>
      </c>
      <c r="AC175" s="13" t="s">
        <v>3096</v>
      </c>
      <c r="AD175" s="13" t="s">
        <v>3096</v>
      </c>
      <c r="AE175" s="34" t="s">
        <v>112</v>
      </c>
      <c r="AF175" s="13" t="s">
        <v>3096</v>
      </c>
      <c r="AG175" s="13" t="s">
        <v>3096</v>
      </c>
      <c r="AH175" s="13" t="s">
        <v>3097</v>
      </c>
      <c r="AL175" s="13" t="s">
        <v>3098</v>
      </c>
      <c r="AN175" s="13">
        <v>329</v>
      </c>
      <c r="AO175" s="13" t="s">
        <v>3099</v>
      </c>
      <c r="AQ175" s="13" t="s">
        <v>3096</v>
      </c>
      <c r="AR175" s="13" t="s">
        <v>3096</v>
      </c>
      <c r="AS175" s="13" t="s">
        <v>116</v>
      </c>
      <c r="AT175" s="13" t="s">
        <v>3100</v>
      </c>
      <c r="AU175" s="13" t="s">
        <v>2377</v>
      </c>
      <c r="AV175" s="13" t="s">
        <v>827</v>
      </c>
      <c r="AW175" s="13" t="s">
        <v>828</v>
      </c>
      <c r="AX175" s="26" t="s">
        <v>829</v>
      </c>
      <c r="AY175" s="13" t="s">
        <v>3100</v>
      </c>
      <c r="AZ175" s="13" t="s">
        <v>3101</v>
      </c>
      <c r="BA175" s="13" t="s">
        <v>3101</v>
      </c>
      <c r="BB175" s="13" t="s">
        <v>3102</v>
      </c>
      <c r="BC175" s="13" t="s">
        <v>3103</v>
      </c>
      <c r="BD175" s="13">
        <f t="shared" si="6"/>
        <v>56</v>
      </c>
      <c r="BE175" s="17" t="s">
        <v>834</v>
      </c>
      <c r="BF175" s="17" t="s">
        <v>736</v>
      </c>
      <c r="BG175" s="17" t="s">
        <v>924</v>
      </c>
      <c r="BH175" s="17" t="s">
        <v>2382</v>
      </c>
      <c r="BJ175" s="31" t="s">
        <v>2986</v>
      </c>
      <c r="BO175" s="17" t="s">
        <v>2428</v>
      </c>
      <c r="BP175" s="17" t="s">
        <v>2384</v>
      </c>
      <c r="BS175" s="17" t="s">
        <v>127</v>
      </c>
      <c r="BU175" s="17" t="s">
        <v>129</v>
      </c>
      <c r="BX175" s="13" t="s">
        <v>3104</v>
      </c>
      <c r="DA175" s="13" t="s">
        <v>10348</v>
      </c>
      <c r="DB175" s="13" t="s">
        <v>10348</v>
      </c>
    </row>
    <row r="176" spans="1:106" s="13" customFormat="1" ht="12.75" customHeight="1" x14ac:dyDescent="0.2">
      <c r="A176" s="13" t="s">
        <v>102</v>
      </c>
      <c r="B176" s="13" t="s">
        <v>103</v>
      </c>
      <c r="D176" s="13" t="s">
        <v>820</v>
      </c>
      <c r="E176" s="13" t="s">
        <v>471</v>
      </c>
      <c r="F176" s="13" t="s">
        <v>820</v>
      </c>
      <c r="G176" s="13" t="s">
        <v>229</v>
      </c>
      <c r="H176" s="13" t="s">
        <v>227</v>
      </c>
      <c r="J176" s="13" t="s">
        <v>106</v>
      </c>
      <c r="W176" s="13">
        <v>261</v>
      </c>
      <c r="X176" s="13">
        <v>261</v>
      </c>
      <c r="Y176" s="13" t="s">
        <v>107</v>
      </c>
      <c r="Z176" s="13" t="s">
        <v>108</v>
      </c>
      <c r="AA176" s="13" t="s">
        <v>107</v>
      </c>
      <c r="AB176" s="13" t="s">
        <v>3105</v>
      </c>
      <c r="AC176" s="13" t="s">
        <v>3105</v>
      </c>
      <c r="AD176" s="13" t="s">
        <v>3105</v>
      </c>
      <c r="AE176" s="34" t="s">
        <v>112</v>
      </c>
      <c r="AF176" s="13" t="s">
        <v>3105</v>
      </c>
      <c r="AG176" s="13" t="s">
        <v>3105</v>
      </c>
      <c r="AH176" s="13" t="s">
        <v>3106</v>
      </c>
      <c r="AL176" s="13" t="s">
        <v>3107</v>
      </c>
      <c r="AN176" s="13">
        <v>329</v>
      </c>
      <c r="AO176" s="13" t="s">
        <v>3108</v>
      </c>
      <c r="AQ176" s="13" t="s">
        <v>3105</v>
      </c>
      <c r="AR176" s="13" t="s">
        <v>3105</v>
      </c>
      <c r="AS176" s="13" t="s">
        <v>116</v>
      </c>
      <c r="AT176" s="13" t="s">
        <v>3109</v>
      </c>
      <c r="AU176" s="13" t="s">
        <v>2377</v>
      </c>
      <c r="AV176" s="13" t="s">
        <v>827</v>
      </c>
      <c r="AW176" s="13" t="s">
        <v>828</v>
      </c>
      <c r="AX176" s="13" t="s">
        <v>829</v>
      </c>
      <c r="AY176" s="13" t="s">
        <v>3110</v>
      </c>
      <c r="AZ176" s="13" t="s">
        <v>3111</v>
      </c>
      <c r="BA176" s="13" t="s">
        <v>3111</v>
      </c>
      <c r="BB176" s="13" t="s">
        <v>3112</v>
      </c>
      <c r="BC176" s="13" t="s">
        <v>3113</v>
      </c>
      <c r="BD176" s="13">
        <f t="shared" si="6"/>
        <v>60</v>
      </c>
      <c r="BE176" s="17" t="s">
        <v>834</v>
      </c>
      <c r="BF176" s="17" t="s">
        <v>736</v>
      </c>
      <c r="BG176" s="17" t="s">
        <v>924</v>
      </c>
      <c r="BH176" s="17" t="s">
        <v>2382</v>
      </c>
      <c r="BJ176" s="31" t="s">
        <v>3006</v>
      </c>
      <c r="BO176" s="17" t="s">
        <v>2428</v>
      </c>
      <c r="BP176" s="17" t="s">
        <v>2384</v>
      </c>
      <c r="BS176" s="17" t="s">
        <v>127</v>
      </c>
      <c r="BU176" s="17" t="s">
        <v>129</v>
      </c>
      <c r="BV176" s="17" t="s">
        <v>130</v>
      </c>
      <c r="BX176" s="13" t="s">
        <v>3114</v>
      </c>
      <c r="DA176" s="13" t="s">
        <v>10348</v>
      </c>
      <c r="DB176" s="13" t="s">
        <v>10348</v>
      </c>
    </row>
    <row r="177" spans="1:106" s="13" customFormat="1" ht="12.75" customHeight="1" x14ac:dyDescent="0.2">
      <c r="A177" s="13" t="s">
        <v>102</v>
      </c>
      <c r="B177" s="13" t="s">
        <v>103</v>
      </c>
      <c r="D177" s="13" t="s">
        <v>820</v>
      </c>
      <c r="E177" s="13" t="s">
        <v>471</v>
      </c>
      <c r="F177" s="13" t="s">
        <v>820</v>
      </c>
      <c r="G177" s="13" t="s">
        <v>229</v>
      </c>
      <c r="H177" s="13" t="s">
        <v>227</v>
      </c>
      <c r="J177" s="13" t="s">
        <v>106</v>
      </c>
      <c r="W177" s="13">
        <v>262</v>
      </c>
      <c r="X177" s="13">
        <v>262</v>
      </c>
      <c r="Y177" s="13" t="s">
        <v>107</v>
      </c>
      <c r="Z177" s="13" t="s">
        <v>108</v>
      </c>
      <c r="AA177" s="13" t="s">
        <v>107</v>
      </c>
      <c r="AB177" s="13" t="s">
        <v>3115</v>
      </c>
      <c r="AC177" s="13" t="s">
        <v>3115</v>
      </c>
      <c r="AD177" s="13" t="s">
        <v>3115</v>
      </c>
      <c r="AE177" s="34" t="s">
        <v>112</v>
      </c>
      <c r="AF177" s="13" t="s">
        <v>3115</v>
      </c>
      <c r="AG177" s="13" t="s">
        <v>3115</v>
      </c>
      <c r="AH177" s="13" t="s">
        <v>3116</v>
      </c>
      <c r="AL177" s="13" t="s">
        <v>3117</v>
      </c>
      <c r="AN177" s="13">
        <v>329</v>
      </c>
      <c r="AO177" s="13" t="s">
        <v>3118</v>
      </c>
      <c r="AQ177" s="13" t="s">
        <v>3115</v>
      </c>
      <c r="AR177" s="13" t="s">
        <v>3115</v>
      </c>
      <c r="AS177" s="13" t="s">
        <v>116</v>
      </c>
      <c r="AT177" s="13" t="s">
        <v>3119</v>
      </c>
      <c r="AU177" s="13" t="s">
        <v>2377</v>
      </c>
      <c r="AV177" s="13" t="s">
        <v>827</v>
      </c>
      <c r="AW177" s="13" t="s">
        <v>828</v>
      </c>
      <c r="AX177" s="13" t="s">
        <v>829</v>
      </c>
      <c r="AY177" s="13" t="s">
        <v>3119</v>
      </c>
      <c r="AZ177" s="13" t="s">
        <v>3120</v>
      </c>
      <c r="BA177" s="13" t="s">
        <v>3120</v>
      </c>
      <c r="BB177" s="13" t="s">
        <v>3121</v>
      </c>
      <c r="BC177" s="13" t="s">
        <v>3122</v>
      </c>
      <c r="BD177" s="13">
        <f t="shared" si="6"/>
        <v>56</v>
      </c>
      <c r="BE177" s="17" t="s">
        <v>834</v>
      </c>
      <c r="BF177" s="17" t="s">
        <v>736</v>
      </c>
      <c r="BG177" s="17" t="s">
        <v>924</v>
      </c>
      <c r="BH177" s="17" t="s">
        <v>2382</v>
      </c>
      <c r="BJ177" s="31" t="s">
        <v>849</v>
      </c>
      <c r="BO177" s="17" t="s">
        <v>2428</v>
      </c>
      <c r="BP177" s="17" t="s">
        <v>2384</v>
      </c>
      <c r="BS177" s="17" t="s">
        <v>127</v>
      </c>
      <c r="BU177" s="17" t="s">
        <v>129</v>
      </c>
      <c r="BX177" s="13" t="s">
        <v>3123</v>
      </c>
      <c r="DA177" s="13" t="s">
        <v>10348</v>
      </c>
      <c r="DB177" s="13" t="s">
        <v>10348</v>
      </c>
    </row>
    <row r="178" spans="1:106" s="13" customFormat="1" ht="12.75" customHeight="1" x14ac:dyDescent="0.2">
      <c r="A178" s="13" t="s">
        <v>102</v>
      </c>
      <c r="B178" s="13" t="s">
        <v>103</v>
      </c>
      <c r="D178" s="13" t="s">
        <v>820</v>
      </c>
      <c r="E178" s="13" t="s">
        <v>471</v>
      </c>
      <c r="F178" s="13" t="s">
        <v>820</v>
      </c>
      <c r="G178" s="13" t="s">
        <v>229</v>
      </c>
      <c r="H178" s="13" t="s">
        <v>227</v>
      </c>
      <c r="J178" s="13" t="s">
        <v>106</v>
      </c>
      <c r="W178" s="13">
        <v>263</v>
      </c>
      <c r="X178" s="13">
        <v>263</v>
      </c>
      <c r="Y178" s="13" t="s">
        <v>107</v>
      </c>
      <c r="Z178" s="13" t="s">
        <v>108</v>
      </c>
      <c r="AA178" s="13" t="s">
        <v>107</v>
      </c>
      <c r="AB178" s="13" t="s">
        <v>3124</v>
      </c>
      <c r="AC178" s="13" t="s">
        <v>3124</v>
      </c>
      <c r="AD178" s="13" t="s">
        <v>3124</v>
      </c>
      <c r="AE178" s="34" t="s">
        <v>112</v>
      </c>
      <c r="AF178" s="13" t="s">
        <v>3124</v>
      </c>
      <c r="AG178" s="13" t="s">
        <v>3124</v>
      </c>
      <c r="AH178" s="13" t="s">
        <v>3125</v>
      </c>
      <c r="AL178" s="13" t="s">
        <v>3126</v>
      </c>
      <c r="AN178" s="13">
        <v>329</v>
      </c>
      <c r="AO178" s="13" t="s">
        <v>3127</v>
      </c>
      <c r="AQ178" s="13" t="s">
        <v>3124</v>
      </c>
      <c r="AR178" s="13" t="s">
        <v>3124</v>
      </c>
      <c r="AS178" s="13" t="s">
        <v>116</v>
      </c>
      <c r="AT178" s="13" t="s">
        <v>3128</v>
      </c>
      <c r="AU178" s="13" t="s">
        <v>2377</v>
      </c>
      <c r="AV178" s="13" t="s">
        <v>827</v>
      </c>
      <c r="AW178" s="13" t="s">
        <v>828</v>
      </c>
      <c r="AX178" s="13" t="s">
        <v>829</v>
      </c>
      <c r="AY178" s="13" t="s">
        <v>3128</v>
      </c>
      <c r="AZ178" s="13" t="s">
        <v>3101</v>
      </c>
      <c r="BA178" s="13" t="s">
        <v>3129</v>
      </c>
      <c r="BB178" s="13" t="s">
        <v>3102</v>
      </c>
      <c r="BC178" s="13" t="s">
        <v>3130</v>
      </c>
      <c r="BD178" s="13">
        <f t="shared" ref="BD178:BD209" si="7">LEN(SUBSTITUTE(BC178, ", "," "))</f>
        <v>59</v>
      </c>
      <c r="BE178" s="17" t="s">
        <v>834</v>
      </c>
      <c r="BF178" s="17" t="s">
        <v>736</v>
      </c>
      <c r="BG178" s="17" t="s">
        <v>924</v>
      </c>
      <c r="BH178" s="17" t="s">
        <v>2382</v>
      </c>
      <c r="BJ178" s="31" t="s">
        <v>2986</v>
      </c>
      <c r="BO178" s="17" t="s">
        <v>2428</v>
      </c>
      <c r="BP178" s="17" t="s">
        <v>2384</v>
      </c>
      <c r="BS178" s="17" t="s">
        <v>127</v>
      </c>
      <c r="BU178" s="17" t="s">
        <v>129</v>
      </c>
      <c r="BX178" s="13" t="s">
        <v>3131</v>
      </c>
      <c r="CA178" s="13" t="s">
        <v>3075</v>
      </c>
      <c r="DA178" s="13" t="s">
        <v>10348</v>
      </c>
      <c r="DB178" s="13" t="s">
        <v>10348</v>
      </c>
    </row>
    <row r="179" spans="1:106" s="13" customFormat="1" ht="12.75" customHeight="1" x14ac:dyDescent="0.2">
      <c r="A179" s="13" t="s">
        <v>102</v>
      </c>
      <c r="B179" s="13" t="s">
        <v>103</v>
      </c>
      <c r="D179" s="13" t="s">
        <v>820</v>
      </c>
      <c r="E179" s="13" t="s">
        <v>228</v>
      </c>
      <c r="F179" s="13" t="s">
        <v>820</v>
      </c>
      <c r="G179" s="13" t="s">
        <v>229</v>
      </c>
      <c r="H179" s="13" t="s">
        <v>227</v>
      </c>
      <c r="J179" s="13" t="s">
        <v>106</v>
      </c>
      <c r="W179" s="13">
        <v>264</v>
      </c>
      <c r="X179" s="13">
        <v>264</v>
      </c>
      <c r="Y179" s="13" t="s">
        <v>107</v>
      </c>
      <c r="Z179" s="13" t="s">
        <v>108</v>
      </c>
      <c r="AA179" s="13" t="s">
        <v>107</v>
      </c>
      <c r="AB179" s="13" t="s">
        <v>3132</v>
      </c>
      <c r="AC179" s="13" t="s">
        <v>3132</v>
      </c>
      <c r="AD179" s="13" t="s">
        <v>3132</v>
      </c>
      <c r="AE179" s="34" t="s">
        <v>112</v>
      </c>
      <c r="AF179" s="13" t="s">
        <v>3132</v>
      </c>
      <c r="AG179" s="13" t="s">
        <v>3132</v>
      </c>
      <c r="AH179" s="13" t="s">
        <v>3133</v>
      </c>
      <c r="AL179" s="13" t="s">
        <v>3134</v>
      </c>
      <c r="AN179" s="13">
        <v>329</v>
      </c>
      <c r="AO179" s="13" t="s">
        <v>3135</v>
      </c>
      <c r="AQ179" s="13" t="s">
        <v>3132</v>
      </c>
      <c r="AR179" s="13" t="s">
        <v>3132</v>
      </c>
      <c r="AS179" s="13" t="s">
        <v>116</v>
      </c>
      <c r="AT179" s="13" t="s">
        <v>3136</v>
      </c>
      <c r="AU179" s="13" t="s">
        <v>2377</v>
      </c>
      <c r="AV179" s="13" t="s">
        <v>827</v>
      </c>
      <c r="AW179" s="13" t="s">
        <v>828</v>
      </c>
      <c r="AX179" s="13" t="s">
        <v>829</v>
      </c>
      <c r="AY179" s="25" t="s">
        <v>3137</v>
      </c>
      <c r="AZ179" s="13" t="s">
        <v>3138</v>
      </c>
      <c r="BA179" s="13" t="s">
        <v>3138</v>
      </c>
      <c r="BB179" s="13" t="s">
        <v>3139</v>
      </c>
      <c r="BC179" s="13" t="s">
        <v>3140</v>
      </c>
      <c r="BD179" s="13">
        <f t="shared" si="7"/>
        <v>57</v>
      </c>
      <c r="BE179" s="17" t="s">
        <v>834</v>
      </c>
      <c r="BF179" s="17" t="s">
        <v>736</v>
      </c>
      <c r="BG179" s="17" t="s">
        <v>924</v>
      </c>
      <c r="BH179" s="17" t="s">
        <v>1082</v>
      </c>
      <c r="BJ179" s="31" t="s">
        <v>849</v>
      </c>
      <c r="BO179" s="17" t="s">
        <v>3141</v>
      </c>
      <c r="BP179" s="17" t="s">
        <v>2384</v>
      </c>
      <c r="BS179" s="17" t="s">
        <v>127</v>
      </c>
      <c r="BU179" s="17" t="s">
        <v>129</v>
      </c>
      <c r="BX179" s="13" t="s">
        <v>3142</v>
      </c>
      <c r="DA179" s="13" t="s">
        <v>10348</v>
      </c>
      <c r="DB179" s="13" t="s">
        <v>10348</v>
      </c>
    </row>
    <row r="180" spans="1:106" s="13" customFormat="1" ht="12.75" customHeight="1" x14ac:dyDescent="0.2">
      <c r="A180" s="13" t="s">
        <v>102</v>
      </c>
      <c r="B180" s="13" t="s">
        <v>103</v>
      </c>
      <c r="D180" s="13" t="s">
        <v>820</v>
      </c>
      <c r="E180" s="13" t="s">
        <v>228</v>
      </c>
      <c r="F180" s="13" t="s">
        <v>820</v>
      </c>
      <c r="G180" s="13" t="s">
        <v>229</v>
      </c>
      <c r="H180" s="13" t="s">
        <v>227</v>
      </c>
      <c r="J180" s="13" t="s">
        <v>106</v>
      </c>
      <c r="W180" s="13">
        <v>265</v>
      </c>
      <c r="X180" s="13">
        <v>265</v>
      </c>
      <c r="Y180" s="13" t="s">
        <v>107</v>
      </c>
      <c r="Z180" s="13" t="s">
        <v>108</v>
      </c>
      <c r="AA180" s="13" t="s">
        <v>107</v>
      </c>
      <c r="AB180" s="13" t="s">
        <v>3143</v>
      </c>
      <c r="AC180" s="13" t="s">
        <v>3143</v>
      </c>
      <c r="AD180" s="13" t="s">
        <v>3143</v>
      </c>
      <c r="AE180" s="34" t="s">
        <v>112</v>
      </c>
      <c r="AF180" s="13" t="s">
        <v>3143</v>
      </c>
      <c r="AG180" s="13" t="s">
        <v>3143</v>
      </c>
      <c r="AH180" s="13" t="s">
        <v>3144</v>
      </c>
      <c r="AL180" s="13" t="s">
        <v>3145</v>
      </c>
      <c r="AN180" s="13">
        <v>329</v>
      </c>
      <c r="AO180" s="13" t="s">
        <v>3146</v>
      </c>
      <c r="AQ180" s="13" t="s">
        <v>3143</v>
      </c>
      <c r="AR180" s="13" t="s">
        <v>3143</v>
      </c>
      <c r="AS180" s="13" t="s">
        <v>116</v>
      </c>
      <c r="AT180" s="13" t="s">
        <v>3147</v>
      </c>
      <c r="AU180" s="13" t="s">
        <v>2377</v>
      </c>
      <c r="AV180" s="13" t="s">
        <v>827</v>
      </c>
      <c r="AW180" s="13" t="s">
        <v>828</v>
      </c>
      <c r="AX180" s="13" t="s">
        <v>829</v>
      </c>
      <c r="AY180" s="13" t="s">
        <v>3148</v>
      </c>
      <c r="AZ180" s="13" t="s">
        <v>3149</v>
      </c>
      <c r="BA180" s="13" t="s">
        <v>3149</v>
      </c>
      <c r="BB180" s="13" t="s">
        <v>3150</v>
      </c>
      <c r="BC180" s="13" t="s">
        <v>3151</v>
      </c>
      <c r="BD180" s="13">
        <f t="shared" si="7"/>
        <v>56</v>
      </c>
      <c r="BE180" s="17" t="s">
        <v>834</v>
      </c>
      <c r="BF180" s="17" t="s">
        <v>736</v>
      </c>
      <c r="BG180" s="17" t="s">
        <v>924</v>
      </c>
      <c r="BH180" s="17" t="s">
        <v>2382</v>
      </c>
      <c r="BJ180" s="31" t="s">
        <v>3152</v>
      </c>
      <c r="BO180" s="17" t="s">
        <v>2428</v>
      </c>
      <c r="BP180" s="17" t="s">
        <v>2384</v>
      </c>
      <c r="BS180" s="17" t="s">
        <v>127</v>
      </c>
      <c r="BU180" s="17" t="s">
        <v>129</v>
      </c>
      <c r="BX180" s="13" t="s">
        <v>3153</v>
      </c>
      <c r="DA180" s="13" t="s">
        <v>10348</v>
      </c>
      <c r="DB180" s="13" t="s">
        <v>10348</v>
      </c>
    </row>
    <row r="181" spans="1:106" s="13" customFormat="1" ht="12.75" customHeight="1" x14ac:dyDescent="0.2">
      <c r="A181" s="13" t="s">
        <v>102</v>
      </c>
      <c r="B181" s="13" t="s">
        <v>103</v>
      </c>
      <c r="D181" s="13" t="s">
        <v>820</v>
      </c>
      <c r="E181" s="13" t="s">
        <v>471</v>
      </c>
      <c r="F181" s="13" t="s">
        <v>820</v>
      </c>
      <c r="G181" s="13" t="s">
        <v>229</v>
      </c>
      <c r="H181" s="13" t="s">
        <v>227</v>
      </c>
      <c r="J181" s="13" t="s">
        <v>106</v>
      </c>
      <c r="W181" s="13">
        <v>266</v>
      </c>
      <c r="X181" s="13">
        <v>266</v>
      </c>
      <c r="Y181" s="13" t="s">
        <v>107</v>
      </c>
      <c r="Z181" s="13" t="s">
        <v>108</v>
      </c>
      <c r="AA181" s="13" t="s">
        <v>107</v>
      </c>
      <c r="AB181" s="13" t="s">
        <v>3154</v>
      </c>
      <c r="AC181" s="13" t="s">
        <v>3154</v>
      </c>
      <c r="AD181" s="13" t="s">
        <v>3154</v>
      </c>
      <c r="AE181" s="34" t="s">
        <v>112</v>
      </c>
      <c r="AF181" s="13" t="s">
        <v>3154</v>
      </c>
      <c r="AG181" s="13" t="s">
        <v>3154</v>
      </c>
      <c r="AH181" s="13" t="s">
        <v>3155</v>
      </c>
      <c r="AL181" s="13" t="s">
        <v>3156</v>
      </c>
      <c r="AN181" s="13">
        <v>329</v>
      </c>
      <c r="AO181" s="13" t="s">
        <v>3157</v>
      </c>
      <c r="AQ181" s="13" t="s">
        <v>3154</v>
      </c>
      <c r="AR181" s="13" t="s">
        <v>3154</v>
      </c>
      <c r="AS181" s="13" t="s">
        <v>116</v>
      </c>
      <c r="AT181" s="13" t="s">
        <v>2390</v>
      </c>
      <c r="AU181" s="13" t="s">
        <v>2377</v>
      </c>
      <c r="AV181" s="13" t="s">
        <v>827</v>
      </c>
      <c r="AW181" s="13" t="s">
        <v>828</v>
      </c>
      <c r="AX181" s="13" t="s">
        <v>829</v>
      </c>
      <c r="AY181" s="13" t="s">
        <v>3158</v>
      </c>
      <c r="AZ181" s="13" t="s">
        <v>3159</v>
      </c>
      <c r="BA181" s="13" t="s">
        <v>3159</v>
      </c>
      <c r="BB181" s="13" t="s">
        <v>3160</v>
      </c>
      <c r="BC181" s="13" t="s">
        <v>3161</v>
      </c>
      <c r="BD181" s="13">
        <f t="shared" si="7"/>
        <v>56</v>
      </c>
      <c r="BE181" s="17" t="s">
        <v>834</v>
      </c>
      <c r="BF181" s="17" t="s">
        <v>736</v>
      </c>
      <c r="BG181" s="17" t="s">
        <v>924</v>
      </c>
      <c r="BH181" s="17" t="s">
        <v>2382</v>
      </c>
      <c r="BJ181" s="31" t="s">
        <v>2395</v>
      </c>
      <c r="BO181" s="17" t="s">
        <v>2428</v>
      </c>
      <c r="BP181" s="17" t="s">
        <v>2384</v>
      </c>
      <c r="BS181" s="17" t="s">
        <v>127</v>
      </c>
      <c r="BU181" s="17" t="s">
        <v>129</v>
      </c>
      <c r="BX181" s="13" t="s">
        <v>3162</v>
      </c>
      <c r="DA181" s="13" t="s">
        <v>10348</v>
      </c>
      <c r="DB181" s="13" t="s">
        <v>10348</v>
      </c>
    </row>
    <row r="182" spans="1:106" s="13" customFormat="1" ht="12.75" customHeight="1" x14ac:dyDescent="0.2">
      <c r="A182" s="13" t="s">
        <v>102</v>
      </c>
      <c r="B182" s="13" t="s">
        <v>103</v>
      </c>
      <c r="D182" s="13" t="s">
        <v>820</v>
      </c>
      <c r="E182" s="13" t="s">
        <v>471</v>
      </c>
      <c r="F182" s="13" t="s">
        <v>820</v>
      </c>
      <c r="G182" s="13" t="s">
        <v>229</v>
      </c>
      <c r="H182" s="13" t="s">
        <v>227</v>
      </c>
      <c r="J182" s="13" t="s">
        <v>106</v>
      </c>
      <c r="W182" s="13">
        <v>267</v>
      </c>
      <c r="X182" s="13">
        <v>267</v>
      </c>
      <c r="Y182" s="13" t="s">
        <v>107</v>
      </c>
      <c r="Z182" s="13" t="s">
        <v>108</v>
      </c>
      <c r="AA182" s="13" t="s">
        <v>107</v>
      </c>
      <c r="AB182" s="13" t="s">
        <v>3163</v>
      </c>
      <c r="AC182" s="13" t="s">
        <v>3163</v>
      </c>
      <c r="AD182" s="13" t="s">
        <v>3163</v>
      </c>
      <c r="AE182" s="34" t="s">
        <v>112</v>
      </c>
      <c r="AF182" s="13" t="s">
        <v>3163</v>
      </c>
      <c r="AG182" s="13" t="s">
        <v>3163</v>
      </c>
      <c r="AH182" s="13" t="s">
        <v>3164</v>
      </c>
      <c r="AL182" s="13" t="s">
        <v>3165</v>
      </c>
      <c r="AN182" s="13">
        <v>329</v>
      </c>
      <c r="AO182" s="13" t="s">
        <v>3166</v>
      </c>
      <c r="AQ182" s="13" t="s">
        <v>3163</v>
      </c>
      <c r="AR182" s="13" t="s">
        <v>3163</v>
      </c>
      <c r="AS182" s="13" t="s">
        <v>116</v>
      </c>
      <c r="AT182" s="13" t="s">
        <v>3167</v>
      </c>
      <c r="AU182" s="13" t="s">
        <v>2377</v>
      </c>
      <c r="AV182" s="13" t="s">
        <v>827</v>
      </c>
      <c r="AW182" s="13" t="s">
        <v>828</v>
      </c>
      <c r="AX182" s="26" t="s">
        <v>829</v>
      </c>
      <c r="AY182" s="13" t="s">
        <v>3167</v>
      </c>
      <c r="AZ182" s="13" t="s">
        <v>3168</v>
      </c>
      <c r="BA182" s="13" t="s">
        <v>3168</v>
      </c>
      <c r="BB182" s="13" t="s">
        <v>3169</v>
      </c>
      <c r="BC182" s="13" t="s">
        <v>3170</v>
      </c>
      <c r="BD182" s="13">
        <f t="shared" si="7"/>
        <v>56</v>
      </c>
      <c r="BE182" s="17" t="s">
        <v>834</v>
      </c>
      <c r="BF182" s="17" t="s">
        <v>736</v>
      </c>
      <c r="BG182" s="17" t="s">
        <v>924</v>
      </c>
      <c r="BH182" s="17" t="s">
        <v>3171</v>
      </c>
      <c r="BJ182" s="31" t="s">
        <v>849</v>
      </c>
      <c r="BO182" s="17" t="s">
        <v>2428</v>
      </c>
      <c r="BP182" s="17" t="s">
        <v>2384</v>
      </c>
      <c r="BS182" s="17" t="s">
        <v>127</v>
      </c>
      <c r="BU182" s="17" t="s">
        <v>129</v>
      </c>
      <c r="BX182" s="13" t="s">
        <v>3172</v>
      </c>
      <c r="DA182" s="13" t="s">
        <v>10348</v>
      </c>
      <c r="DB182" s="13" t="s">
        <v>10348</v>
      </c>
    </row>
    <row r="183" spans="1:106" s="13" customFormat="1" ht="12.75" customHeight="1" x14ac:dyDescent="0.2">
      <c r="A183" s="13" t="s">
        <v>102</v>
      </c>
      <c r="B183" s="13" t="s">
        <v>103</v>
      </c>
      <c r="D183" s="13" t="s">
        <v>820</v>
      </c>
      <c r="E183" s="13" t="s">
        <v>471</v>
      </c>
      <c r="F183" s="13" t="s">
        <v>820</v>
      </c>
      <c r="G183" s="13" t="s">
        <v>229</v>
      </c>
      <c r="H183" s="13" t="s">
        <v>227</v>
      </c>
      <c r="J183" s="13" t="s">
        <v>106</v>
      </c>
      <c r="W183" s="13">
        <v>268</v>
      </c>
      <c r="X183" s="13">
        <v>268</v>
      </c>
      <c r="Y183" s="13" t="s">
        <v>107</v>
      </c>
      <c r="Z183" s="13" t="s">
        <v>108</v>
      </c>
      <c r="AA183" s="13" t="s">
        <v>107</v>
      </c>
      <c r="AB183" s="13" t="s">
        <v>3173</v>
      </c>
      <c r="AC183" s="13" t="s">
        <v>3173</v>
      </c>
      <c r="AD183" s="13" t="s">
        <v>3173</v>
      </c>
      <c r="AE183" s="34" t="s">
        <v>112</v>
      </c>
      <c r="AF183" s="13" t="s">
        <v>3173</v>
      </c>
      <c r="AG183" s="13" t="s">
        <v>3173</v>
      </c>
      <c r="AH183" s="13" t="s">
        <v>3174</v>
      </c>
      <c r="AL183" s="13" t="s">
        <v>3175</v>
      </c>
      <c r="AN183" s="13">
        <v>329</v>
      </c>
      <c r="AO183" s="13" t="s">
        <v>3176</v>
      </c>
      <c r="AQ183" s="13" t="s">
        <v>3173</v>
      </c>
      <c r="AR183" s="13" t="s">
        <v>3173</v>
      </c>
      <c r="AS183" s="13" t="s">
        <v>116</v>
      </c>
      <c r="AT183" s="13" t="s">
        <v>3177</v>
      </c>
      <c r="AU183" s="13" t="s">
        <v>2377</v>
      </c>
      <c r="AV183" s="13" t="s">
        <v>827</v>
      </c>
      <c r="AW183" s="13" t="s">
        <v>828</v>
      </c>
      <c r="AX183" s="13" t="s">
        <v>829</v>
      </c>
      <c r="AY183" s="13" t="s">
        <v>3178</v>
      </c>
      <c r="AZ183" s="13" t="s">
        <v>3179</v>
      </c>
      <c r="BA183" s="13" t="s">
        <v>3179</v>
      </c>
      <c r="BB183" s="13" t="s">
        <v>3180</v>
      </c>
      <c r="BC183" s="13" t="s">
        <v>3181</v>
      </c>
      <c r="BD183" s="13">
        <f t="shared" si="7"/>
        <v>57</v>
      </c>
      <c r="BE183" s="17" t="s">
        <v>834</v>
      </c>
      <c r="BF183" s="17" t="s">
        <v>736</v>
      </c>
      <c r="BG183" s="17" t="s">
        <v>924</v>
      </c>
      <c r="BH183" s="17" t="s">
        <v>3182</v>
      </c>
      <c r="BJ183" s="31" t="s">
        <v>2996</v>
      </c>
      <c r="BO183" s="17" t="s">
        <v>2407</v>
      </c>
      <c r="BP183" s="17" t="s">
        <v>2408</v>
      </c>
      <c r="BS183" s="17" t="s">
        <v>127</v>
      </c>
      <c r="BU183" s="17" t="s">
        <v>129</v>
      </c>
      <c r="BX183" s="13" t="s">
        <v>3183</v>
      </c>
      <c r="DA183" s="13" t="s">
        <v>10348</v>
      </c>
      <c r="DB183" s="13" t="s">
        <v>10348</v>
      </c>
    </row>
    <row r="184" spans="1:106" s="13" customFormat="1" ht="12.75" customHeight="1" x14ac:dyDescent="0.2">
      <c r="A184" s="13" t="s">
        <v>102</v>
      </c>
      <c r="B184" s="13" t="s">
        <v>103</v>
      </c>
      <c r="D184" s="13" t="s">
        <v>820</v>
      </c>
      <c r="E184" s="13" t="s">
        <v>471</v>
      </c>
      <c r="F184" s="13" t="s">
        <v>820</v>
      </c>
      <c r="G184" s="13" t="s">
        <v>229</v>
      </c>
      <c r="H184" s="13" t="s">
        <v>227</v>
      </c>
      <c r="J184" s="13" t="s">
        <v>106</v>
      </c>
      <c r="W184" s="13">
        <v>269</v>
      </c>
      <c r="X184" s="13">
        <v>269</v>
      </c>
      <c r="Y184" s="13" t="s">
        <v>107</v>
      </c>
      <c r="Z184" s="13" t="s">
        <v>108</v>
      </c>
      <c r="AA184" s="13" t="s">
        <v>107</v>
      </c>
      <c r="AB184" s="13" t="s">
        <v>3184</v>
      </c>
      <c r="AC184" s="13" t="s">
        <v>3184</v>
      </c>
      <c r="AD184" s="13" t="s">
        <v>3184</v>
      </c>
      <c r="AE184" s="34" t="s">
        <v>112</v>
      </c>
      <c r="AF184" s="13" t="s">
        <v>3184</v>
      </c>
      <c r="AG184" s="13" t="s">
        <v>3184</v>
      </c>
      <c r="AH184" s="39" t="s">
        <v>3185</v>
      </c>
      <c r="AL184" s="13" t="s">
        <v>3186</v>
      </c>
      <c r="AN184" s="13">
        <v>329</v>
      </c>
      <c r="AO184" s="13" t="s">
        <v>3187</v>
      </c>
      <c r="AQ184" s="13" t="s">
        <v>3184</v>
      </c>
      <c r="AR184" s="13" t="s">
        <v>3184</v>
      </c>
      <c r="AS184" s="13" t="s">
        <v>116</v>
      </c>
      <c r="AT184" s="13" t="s">
        <v>3188</v>
      </c>
      <c r="AU184" s="13" t="s">
        <v>2377</v>
      </c>
      <c r="AV184" s="13" t="s">
        <v>827</v>
      </c>
      <c r="AW184" s="39" t="s">
        <v>828</v>
      </c>
      <c r="AX184" s="26" t="s">
        <v>829</v>
      </c>
      <c r="AY184" s="13" t="s">
        <v>3189</v>
      </c>
      <c r="AZ184" s="13" t="s">
        <v>3190</v>
      </c>
      <c r="BA184" s="13" t="s">
        <v>3190</v>
      </c>
      <c r="BB184" s="13" t="s">
        <v>3191</v>
      </c>
      <c r="BC184" s="13" t="s">
        <v>3192</v>
      </c>
      <c r="BD184" s="13">
        <f t="shared" si="7"/>
        <v>60</v>
      </c>
      <c r="BE184" s="17" t="s">
        <v>834</v>
      </c>
      <c r="BF184" s="17" t="s">
        <v>736</v>
      </c>
      <c r="BG184" s="17" t="s">
        <v>924</v>
      </c>
      <c r="BH184" s="17" t="s">
        <v>2382</v>
      </c>
      <c r="BJ184" s="31" t="s">
        <v>849</v>
      </c>
      <c r="BO184" s="17" t="s">
        <v>3193</v>
      </c>
      <c r="BP184" s="17" t="s">
        <v>2408</v>
      </c>
      <c r="BS184" s="17" t="s">
        <v>127</v>
      </c>
      <c r="BU184" s="17" t="s">
        <v>129</v>
      </c>
      <c r="BX184" s="13" t="s">
        <v>3194</v>
      </c>
      <c r="DA184" s="13" t="s">
        <v>10348</v>
      </c>
      <c r="DB184" s="13" t="s">
        <v>10348</v>
      </c>
    </row>
    <row r="185" spans="1:106" s="13" customFormat="1" ht="12.75" customHeight="1" x14ac:dyDescent="0.2">
      <c r="A185" s="13" t="s">
        <v>102</v>
      </c>
      <c r="B185" s="13" t="s">
        <v>103</v>
      </c>
      <c r="D185" s="13" t="s">
        <v>820</v>
      </c>
      <c r="E185" s="13" t="s">
        <v>471</v>
      </c>
      <c r="F185" s="13" t="s">
        <v>820</v>
      </c>
      <c r="G185" s="13" t="s">
        <v>229</v>
      </c>
      <c r="H185" s="13" t="s">
        <v>227</v>
      </c>
      <c r="J185" s="13" t="s">
        <v>106</v>
      </c>
      <c r="W185" s="13">
        <v>270</v>
      </c>
      <c r="X185" s="13">
        <v>270</v>
      </c>
      <c r="Y185" s="13" t="s">
        <v>107</v>
      </c>
      <c r="Z185" s="13" t="s">
        <v>108</v>
      </c>
      <c r="AA185" s="13" t="s">
        <v>107</v>
      </c>
      <c r="AB185" s="13" t="s">
        <v>3195</v>
      </c>
      <c r="AC185" s="13" t="s">
        <v>3195</v>
      </c>
      <c r="AD185" s="13" t="s">
        <v>3195</v>
      </c>
      <c r="AE185" s="34" t="s">
        <v>112</v>
      </c>
      <c r="AF185" s="13" t="s">
        <v>3195</v>
      </c>
      <c r="AG185" s="13" t="s">
        <v>3195</v>
      </c>
      <c r="AH185" s="39" t="s">
        <v>3196</v>
      </c>
      <c r="AL185" s="13" t="s">
        <v>3197</v>
      </c>
      <c r="AN185" s="13">
        <v>329</v>
      </c>
      <c r="AO185" s="13" t="s">
        <v>3198</v>
      </c>
      <c r="AQ185" s="13" t="s">
        <v>3195</v>
      </c>
      <c r="AR185" s="13" t="s">
        <v>3195</v>
      </c>
      <c r="AS185" s="13" t="s">
        <v>116</v>
      </c>
      <c r="AT185" s="13" t="s">
        <v>3199</v>
      </c>
      <c r="AU185" s="13" t="s">
        <v>2377</v>
      </c>
      <c r="AV185" s="13" t="s">
        <v>827</v>
      </c>
      <c r="AW185" s="39" t="s">
        <v>828</v>
      </c>
      <c r="AX185" s="39" t="s">
        <v>829</v>
      </c>
      <c r="AY185" s="13" t="s">
        <v>3200</v>
      </c>
      <c r="AZ185" s="13" t="s">
        <v>3201</v>
      </c>
      <c r="BA185" s="13" t="s">
        <v>3201</v>
      </c>
      <c r="BB185" s="13" t="s">
        <v>3202</v>
      </c>
      <c r="BC185" s="13" t="s">
        <v>3203</v>
      </c>
      <c r="BD185" s="13">
        <f t="shared" si="7"/>
        <v>57</v>
      </c>
      <c r="BE185" s="17" t="s">
        <v>834</v>
      </c>
      <c r="BF185" s="17" t="s">
        <v>736</v>
      </c>
      <c r="BG185" s="17" t="s">
        <v>924</v>
      </c>
      <c r="BH185" s="17" t="s">
        <v>3182</v>
      </c>
      <c r="BJ185" s="31" t="s">
        <v>2395</v>
      </c>
      <c r="BO185" s="17" t="s">
        <v>2407</v>
      </c>
      <c r="BP185" s="17" t="s">
        <v>2408</v>
      </c>
      <c r="BS185" s="17" t="s">
        <v>127</v>
      </c>
      <c r="BU185" s="17" t="s">
        <v>129</v>
      </c>
      <c r="BX185" s="13" t="s">
        <v>3204</v>
      </c>
      <c r="DA185" s="13" t="s">
        <v>10348</v>
      </c>
      <c r="DB185" s="13" t="s">
        <v>10348</v>
      </c>
    </row>
    <row r="186" spans="1:106" s="13" customFormat="1" ht="12.75" customHeight="1" x14ac:dyDescent="0.2">
      <c r="A186" s="13" t="s">
        <v>102</v>
      </c>
      <c r="B186" s="13" t="s">
        <v>103</v>
      </c>
      <c r="D186" s="13" t="s">
        <v>820</v>
      </c>
      <c r="E186" s="13" t="s">
        <v>471</v>
      </c>
      <c r="F186" s="13" t="s">
        <v>820</v>
      </c>
      <c r="G186" s="13" t="s">
        <v>229</v>
      </c>
      <c r="H186" s="13" t="s">
        <v>227</v>
      </c>
      <c r="J186" s="13" t="s">
        <v>106</v>
      </c>
      <c r="W186" s="13">
        <v>271</v>
      </c>
      <c r="X186" s="13">
        <v>271</v>
      </c>
      <c r="Y186" s="13" t="s">
        <v>107</v>
      </c>
      <c r="Z186" s="13" t="s">
        <v>108</v>
      </c>
      <c r="AA186" s="13" t="s">
        <v>107</v>
      </c>
      <c r="AB186" s="13" t="s">
        <v>3205</v>
      </c>
      <c r="AC186" s="13" t="s">
        <v>3205</v>
      </c>
      <c r="AD186" s="13" t="s">
        <v>3205</v>
      </c>
      <c r="AE186" s="34" t="s">
        <v>112</v>
      </c>
      <c r="AF186" s="13" t="s">
        <v>3205</v>
      </c>
      <c r="AG186" s="13" t="s">
        <v>3205</v>
      </c>
      <c r="AH186" s="39" t="s">
        <v>3206</v>
      </c>
      <c r="AL186" s="13" t="s">
        <v>3207</v>
      </c>
      <c r="AN186" s="13">
        <v>329</v>
      </c>
      <c r="AO186" s="13" t="s">
        <v>3208</v>
      </c>
      <c r="AQ186" s="13" t="s">
        <v>3205</v>
      </c>
      <c r="AR186" s="13" t="s">
        <v>3205</v>
      </c>
      <c r="AS186" s="13" t="s">
        <v>116</v>
      </c>
      <c r="AT186" s="13" t="s">
        <v>2401</v>
      </c>
      <c r="AU186" s="13" t="s">
        <v>2377</v>
      </c>
      <c r="AV186" s="13" t="s">
        <v>827</v>
      </c>
      <c r="AW186" s="39" t="s">
        <v>828</v>
      </c>
      <c r="AX186" s="39" t="s">
        <v>829</v>
      </c>
      <c r="AY186" s="13" t="s">
        <v>3209</v>
      </c>
      <c r="AZ186" s="13" t="s">
        <v>3210</v>
      </c>
      <c r="BA186" s="13" t="s">
        <v>3210</v>
      </c>
      <c r="BB186" s="13" t="s">
        <v>3211</v>
      </c>
      <c r="BC186" s="13" t="s">
        <v>3212</v>
      </c>
      <c r="BD186" s="13">
        <f t="shared" si="7"/>
        <v>58</v>
      </c>
      <c r="BE186" s="17" t="s">
        <v>834</v>
      </c>
      <c r="BF186" s="17" t="s">
        <v>736</v>
      </c>
      <c r="BG186" s="17" t="s">
        <v>924</v>
      </c>
      <c r="BH186" s="17" t="s">
        <v>3182</v>
      </c>
      <c r="BJ186" s="31" t="s">
        <v>849</v>
      </c>
      <c r="BO186" s="17" t="s">
        <v>3213</v>
      </c>
      <c r="BP186" s="17" t="s">
        <v>2408</v>
      </c>
      <c r="BS186" s="17" t="s">
        <v>127</v>
      </c>
      <c r="BU186" s="17" t="s">
        <v>129</v>
      </c>
      <c r="BX186" s="13" t="s">
        <v>3214</v>
      </c>
      <c r="DA186" s="13" t="s">
        <v>10348</v>
      </c>
      <c r="DB186" s="13" t="s">
        <v>10348</v>
      </c>
    </row>
    <row r="187" spans="1:106" s="13" customFormat="1" ht="12.75" customHeight="1" x14ac:dyDescent="0.2">
      <c r="A187" s="13" t="s">
        <v>102</v>
      </c>
      <c r="B187" s="13" t="s">
        <v>103</v>
      </c>
      <c r="D187" s="13" t="s">
        <v>820</v>
      </c>
      <c r="E187" s="13" t="s">
        <v>471</v>
      </c>
      <c r="F187" s="13" t="s">
        <v>820</v>
      </c>
      <c r="G187" s="13" t="s">
        <v>229</v>
      </c>
      <c r="H187" s="13" t="s">
        <v>227</v>
      </c>
      <c r="J187" s="13" t="s">
        <v>106</v>
      </c>
      <c r="W187" s="13">
        <v>272</v>
      </c>
      <c r="X187" s="13">
        <v>272</v>
      </c>
      <c r="Y187" s="13" t="s">
        <v>107</v>
      </c>
      <c r="Z187" s="13" t="s">
        <v>108</v>
      </c>
      <c r="AA187" s="13" t="s">
        <v>107</v>
      </c>
      <c r="AB187" s="13" t="s">
        <v>3215</v>
      </c>
      <c r="AC187" s="13" t="s">
        <v>3215</v>
      </c>
      <c r="AD187" s="13" t="s">
        <v>3215</v>
      </c>
      <c r="AE187" s="34" t="s">
        <v>112</v>
      </c>
      <c r="AF187" s="13" t="s">
        <v>3215</v>
      </c>
      <c r="AG187" s="13" t="s">
        <v>3215</v>
      </c>
      <c r="AH187" s="39" t="s">
        <v>3216</v>
      </c>
      <c r="AL187" s="13" t="s">
        <v>3217</v>
      </c>
      <c r="AN187" s="13">
        <v>329</v>
      </c>
      <c r="AO187" s="13" t="s">
        <v>3218</v>
      </c>
      <c r="AQ187" s="13" t="s">
        <v>3215</v>
      </c>
      <c r="AR187" s="13" t="s">
        <v>3215</v>
      </c>
      <c r="AS187" s="13" t="s">
        <v>116</v>
      </c>
      <c r="AT187" s="13" t="s">
        <v>3219</v>
      </c>
      <c r="AU187" s="13" t="s">
        <v>2377</v>
      </c>
      <c r="AV187" s="13" t="s">
        <v>827</v>
      </c>
      <c r="AW187" s="39" t="s">
        <v>828</v>
      </c>
      <c r="AX187" s="39" t="s">
        <v>829</v>
      </c>
      <c r="AY187" s="13" t="s">
        <v>3219</v>
      </c>
      <c r="AZ187" s="13" t="s">
        <v>3220</v>
      </c>
      <c r="BA187" s="13" t="s">
        <v>3220</v>
      </c>
      <c r="BB187" s="13" t="s">
        <v>3221</v>
      </c>
      <c r="BC187" s="13" t="s">
        <v>3222</v>
      </c>
      <c r="BD187" s="13">
        <f t="shared" si="7"/>
        <v>56</v>
      </c>
      <c r="BE187" s="17" t="s">
        <v>834</v>
      </c>
      <c r="BF187" s="17" t="s">
        <v>736</v>
      </c>
      <c r="BG187" s="17" t="s">
        <v>924</v>
      </c>
      <c r="BH187" s="17" t="s">
        <v>2382</v>
      </c>
      <c r="BJ187" s="31" t="s">
        <v>2996</v>
      </c>
      <c r="BO187" s="17" t="s">
        <v>3141</v>
      </c>
      <c r="BP187" s="17" t="s">
        <v>2408</v>
      </c>
      <c r="BS187" s="17" t="s">
        <v>127</v>
      </c>
      <c r="BU187" s="17" t="s">
        <v>129</v>
      </c>
      <c r="BX187" s="13" t="s">
        <v>3223</v>
      </c>
      <c r="DA187" s="13" t="s">
        <v>10348</v>
      </c>
      <c r="DB187" s="13" t="s">
        <v>10348</v>
      </c>
    </row>
    <row r="188" spans="1:106" s="13" customFormat="1" ht="12.75" customHeight="1" x14ac:dyDescent="0.2">
      <c r="A188" s="13" t="s">
        <v>102</v>
      </c>
      <c r="B188" s="13" t="s">
        <v>103</v>
      </c>
      <c r="D188" s="13" t="s">
        <v>820</v>
      </c>
      <c r="E188" s="13" t="s">
        <v>471</v>
      </c>
      <c r="F188" s="13" t="s">
        <v>820</v>
      </c>
      <c r="G188" s="13" t="s">
        <v>229</v>
      </c>
      <c r="H188" s="13" t="s">
        <v>227</v>
      </c>
      <c r="J188" s="13" t="s">
        <v>106</v>
      </c>
      <c r="W188" s="13">
        <v>273</v>
      </c>
      <c r="X188" s="13">
        <v>273</v>
      </c>
      <c r="Y188" s="13" t="s">
        <v>107</v>
      </c>
      <c r="Z188" s="13" t="s">
        <v>108</v>
      </c>
      <c r="AA188" s="13" t="s">
        <v>107</v>
      </c>
      <c r="AB188" s="13" t="s">
        <v>3224</v>
      </c>
      <c r="AC188" s="13" t="s">
        <v>3224</v>
      </c>
      <c r="AD188" s="13" t="s">
        <v>3224</v>
      </c>
      <c r="AE188" s="34" t="s">
        <v>112</v>
      </c>
      <c r="AF188" s="13" t="s">
        <v>3224</v>
      </c>
      <c r="AG188" s="13" t="s">
        <v>3224</v>
      </c>
      <c r="AH188" s="39" t="s">
        <v>3225</v>
      </c>
      <c r="AL188" s="13" t="s">
        <v>3226</v>
      </c>
      <c r="AN188" s="13">
        <v>329</v>
      </c>
      <c r="AO188" s="13" t="s">
        <v>3227</v>
      </c>
      <c r="AQ188" s="13" t="s">
        <v>3224</v>
      </c>
      <c r="AR188" s="13" t="s">
        <v>3224</v>
      </c>
      <c r="AS188" s="13" t="s">
        <v>116</v>
      </c>
      <c r="AT188" s="13" t="s">
        <v>3228</v>
      </c>
      <c r="AU188" s="13" t="s">
        <v>2377</v>
      </c>
      <c r="AV188" s="13" t="s">
        <v>827</v>
      </c>
      <c r="AW188" s="39" t="s">
        <v>828</v>
      </c>
      <c r="AX188" s="39" t="s">
        <v>829</v>
      </c>
      <c r="AY188" s="13" t="s">
        <v>3228</v>
      </c>
      <c r="AZ188" s="13" t="s">
        <v>3229</v>
      </c>
      <c r="BA188" s="13" t="s">
        <v>3229</v>
      </c>
      <c r="BB188" s="13" t="s">
        <v>3230</v>
      </c>
      <c r="BC188" s="13" t="s">
        <v>3231</v>
      </c>
      <c r="BD188" s="13">
        <f t="shared" si="7"/>
        <v>57</v>
      </c>
      <c r="BE188" s="17" t="s">
        <v>834</v>
      </c>
      <c r="BF188" s="17" t="s">
        <v>736</v>
      </c>
      <c r="BG188" s="17" t="s">
        <v>924</v>
      </c>
      <c r="BH188" s="17" t="s">
        <v>3171</v>
      </c>
      <c r="BJ188" s="31" t="s">
        <v>3152</v>
      </c>
      <c r="BO188" s="17" t="s">
        <v>2407</v>
      </c>
      <c r="BP188" s="17" t="s">
        <v>2408</v>
      </c>
      <c r="BS188" s="17" t="s">
        <v>127</v>
      </c>
      <c r="BU188" s="17" t="s">
        <v>129</v>
      </c>
      <c r="BX188" s="13" t="s">
        <v>3232</v>
      </c>
      <c r="DA188" s="13" t="s">
        <v>10348</v>
      </c>
      <c r="DB188" s="13" t="s">
        <v>10348</v>
      </c>
    </row>
    <row r="189" spans="1:106" s="13" customFormat="1" ht="12.75" customHeight="1" x14ac:dyDescent="0.2">
      <c r="A189" s="13" t="s">
        <v>102</v>
      </c>
      <c r="B189" s="13" t="s">
        <v>103</v>
      </c>
      <c r="D189" s="13" t="s">
        <v>820</v>
      </c>
      <c r="E189" s="13" t="s">
        <v>228</v>
      </c>
      <c r="F189" s="13" t="s">
        <v>820</v>
      </c>
      <c r="G189" s="13" t="s">
        <v>229</v>
      </c>
      <c r="H189" s="13" t="s">
        <v>227</v>
      </c>
      <c r="J189" s="13" t="s">
        <v>106</v>
      </c>
      <c r="W189" s="13">
        <v>274</v>
      </c>
      <c r="X189" s="13">
        <v>274</v>
      </c>
      <c r="Y189" s="13" t="s">
        <v>107</v>
      </c>
      <c r="Z189" s="13" t="s">
        <v>108</v>
      </c>
      <c r="AA189" s="13" t="s">
        <v>107</v>
      </c>
      <c r="AB189" s="13" t="s">
        <v>3233</v>
      </c>
      <c r="AC189" s="13" t="s">
        <v>3233</v>
      </c>
      <c r="AD189" s="13" t="s">
        <v>3233</v>
      </c>
      <c r="AE189" s="34" t="s">
        <v>112</v>
      </c>
      <c r="AF189" s="13" t="s">
        <v>3233</v>
      </c>
      <c r="AG189" s="13" t="s">
        <v>3233</v>
      </c>
      <c r="AH189" s="39" t="s">
        <v>3234</v>
      </c>
      <c r="AL189" s="13" t="s">
        <v>3235</v>
      </c>
      <c r="AN189" s="13">
        <v>329</v>
      </c>
      <c r="AO189" s="13" t="s">
        <v>3236</v>
      </c>
      <c r="AQ189" s="13" t="s">
        <v>3233</v>
      </c>
      <c r="AR189" s="13" t="s">
        <v>3233</v>
      </c>
      <c r="AS189" s="13" t="s">
        <v>116</v>
      </c>
      <c r="AT189" s="13" t="s">
        <v>3237</v>
      </c>
      <c r="AU189" s="13" t="s">
        <v>2377</v>
      </c>
      <c r="AV189" s="13" t="s">
        <v>827</v>
      </c>
      <c r="AW189" s="39" t="s">
        <v>828</v>
      </c>
      <c r="AX189" s="39" t="s">
        <v>829</v>
      </c>
      <c r="AY189" s="13" t="s">
        <v>3238</v>
      </c>
      <c r="AZ189" s="13" t="s">
        <v>3239</v>
      </c>
      <c r="BA189" s="13" t="s">
        <v>3239</v>
      </c>
      <c r="BB189" s="13" t="s">
        <v>3240</v>
      </c>
      <c r="BC189" s="13" t="s">
        <v>3241</v>
      </c>
      <c r="BD189" s="13">
        <f t="shared" si="7"/>
        <v>60</v>
      </c>
      <c r="BE189" s="17" t="s">
        <v>834</v>
      </c>
      <c r="BF189" s="17" t="s">
        <v>736</v>
      </c>
      <c r="BG189" s="17" t="s">
        <v>2855</v>
      </c>
      <c r="BH189" s="17" t="s">
        <v>2382</v>
      </c>
      <c r="BJ189" s="31" t="s">
        <v>849</v>
      </c>
      <c r="BO189" s="17" t="s">
        <v>3242</v>
      </c>
      <c r="BP189" s="17" t="s">
        <v>2384</v>
      </c>
      <c r="BS189" s="17" t="s">
        <v>127</v>
      </c>
      <c r="BU189" s="17" t="s">
        <v>129</v>
      </c>
      <c r="BX189" s="13" t="s">
        <v>3243</v>
      </c>
      <c r="DA189" s="13" t="s">
        <v>10348</v>
      </c>
      <c r="DB189" s="13" t="s">
        <v>10348</v>
      </c>
    </row>
    <row r="190" spans="1:106" s="13" customFormat="1" ht="12.75" customHeight="1" x14ac:dyDescent="0.2">
      <c r="A190" s="13" t="s">
        <v>102</v>
      </c>
      <c r="B190" s="13" t="s">
        <v>103</v>
      </c>
      <c r="D190" s="13" t="s">
        <v>820</v>
      </c>
      <c r="E190" s="13" t="s">
        <v>228</v>
      </c>
      <c r="F190" s="13" t="s">
        <v>820</v>
      </c>
      <c r="G190" s="13" t="s">
        <v>229</v>
      </c>
      <c r="H190" s="13" t="s">
        <v>227</v>
      </c>
      <c r="J190" s="13" t="s">
        <v>106</v>
      </c>
      <c r="W190" s="13">
        <v>275</v>
      </c>
      <c r="X190" s="13">
        <v>275</v>
      </c>
      <c r="Y190" s="13" t="s">
        <v>107</v>
      </c>
      <c r="Z190" s="13" t="s">
        <v>108</v>
      </c>
      <c r="AA190" s="13" t="s">
        <v>107</v>
      </c>
      <c r="AB190" s="13" t="s">
        <v>3244</v>
      </c>
      <c r="AC190" s="13" t="s">
        <v>3244</v>
      </c>
      <c r="AD190" s="13" t="s">
        <v>3244</v>
      </c>
      <c r="AE190" s="34" t="s">
        <v>112</v>
      </c>
      <c r="AF190" s="13" t="s">
        <v>3244</v>
      </c>
      <c r="AG190" s="13" t="s">
        <v>3244</v>
      </c>
      <c r="AH190" s="39" t="s">
        <v>3245</v>
      </c>
      <c r="AL190" s="13" t="s">
        <v>3246</v>
      </c>
      <c r="AN190" s="13">
        <v>329</v>
      </c>
      <c r="AO190" s="13" t="s">
        <v>3247</v>
      </c>
      <c r="AQ190" s="13" t="s">
        <v>3244</v>
      </c>
      <c r="AR190" s="13" t="s">
        <v>3244</v>
      </c>
      <c r="AS190" s="13" t="s">
        <v>116</v>
      </c>
      <c r="AT190" s="13" t="s">
        <v>3248</v>
      </c>
      <c r="AU190" s="13" t="s">
        <v>2377</v>
      </c>
      <c r="AV190" s="13" t="s">
        <v>827</v>
      </c>
      <c r="AW190" s="39" t="s">
        <v>828</v>
      </c>
      <c r="AX190" s="39" t="s">
        <v>829</v>
      </c>
      <c r="AY190" s="13" t="s">
        <v>3249</v>
      </c>
      <c r="AZ190" s="13" t="s">
        <v>3250</v>
      </c>
      <c r="BA190" s="13" t="s">
        <v>3250</v>
      </c>
      <c r="BB190" s="13" t="s">
        <v>3251</v>
      </c>
      <c r="BC190" s="13" t="s">
        <v>3252</v>
      </c>
      <c r="BD190" s="13">
        <f t="shared" si="7"/>
        <v>57</v>
      </c>
      <c r="BE190" s="17" t="s">
        <v>834</v>
      </c>
      <c r="BF190" s="17" t="s">
        <v>736</v>
      </c>
      <c r="BG190" s="17" t="s">
        <v>924</v>
      </c>
      <c r="BH190" s="17" t="s">
        <v>1082</v>
      </c>
      <c r="BJ190" s="31" t="s">
        <v>860</v>
      </c>
      <c r="BO190" s="17" t="s">
        <v>3141</v>
      </c>
      <c r="BP190" s="17" t="s">
        <v>2384</v>
      </c>
      <c r="BS190" s="17" t="s">
        <v>127</v>
      </c>
      <c r="BU190" s="17" t="s">
        <v>129</v>
      </c>
      <c r="BX190" s="13" t="s">
        <v>3253</v>
      </c>
      <c r="DA190" s="13" t="s">
        <v>10348</v>
      </c>
      <c r="DB190" s="13" t="s">
        <v>10348</v>
      </c>
    </row>
    <row r="191" spans="1:106" s="13" customFormat="1" ht="12.75" customHeight="1" x14ac:dyDescent="0.2">
      <c r="A191" s="13" t="s">
        <v>102</v>
      </c>
      <c r="B191" s="13" t="s">
        <v>103</v>
      </c>
      <c r="D191" s="13" t="s">
        <v>820</v>
      </c>
      <c r="E191" s="13" t="s">
        <v>471</v>
      </c>
      <c r="F191" s="13" t="s">
        <v>820</v>
      </c>
      <c r="G191" s="13" t="s">
        <v>229</v>
      </c>
      <c r="H191" s="13" t="s">
        <v>227</v>
      </c>
      <c r="J191" s="13" t="s">
        <v>106</v>
      </c>
      <c r="W191" s="13">
        <v>276</v>
      </c>
      <c r="X191" s="13">
        <v>276</v>
      </c>
      <c r="Y191" s="13" t="s">
        <v>107</v>
      </c>
      <c r="Z191" s="13" t="s">
        <v>108</v>
      </c>
      <c r="AA191" s="13" t="s">
        <v>107</v>
      </c>
      <c r="AB191" s="13" t="s">
        <v>3254</v>
      </c>
      <c r="AC191" s="13" t="s">
        <v>3254</v>
      </c>
      <c r="AD191" s="13" t="s">
        <v>3254</v>
      </c>
      <c r="AE191" s="34" t="s">
        <v>112</v>
      </c>
      <c r="AF191" s="13" t="s">
        <v>3254</v>
      </c>
      <c r="AG191" s="13" t="s">
        <v>3254</v>
      </c>
      <c r="AH191" s="39" t="s">
        <v>3255</v>
      </c>
      <c r="AL191" s="13" t="s">
        <v>3256</v>
      </c>
      <c r="AN191" s="13">
        <v>329</v>
      </c>
      <c r="AO191" s="13" t="s">
        <v>3257</v>
      </c>
      <c r="AQ191" s="13" t="s">
        <v>3254</v>
      </c>
      <c r="AR191" s="13" t="s">
        <v>3254</v>
      </c>
      <c r="AS191" s="13" t="s">
        <v>116</v>
      </c>
      <c r="AT191" s="13" t="s">
        <v>3258</v>
      </c>
      <c r="AU191" s="13" t="s">
        <v>2377</v>
      </c>
      <c r="AV191" s="13" t="s">
        <v>827</v>
      </c>
      <c r="AW191" s="39" t="s">
        <v>828</v>
      </c>
      <c r="AX191" s="39" t="s">
        <v>829</v>
      </c>
      <c r="AY191" s="13" t="s">
        <v>3258</v>
      </c>
      <c r="AZ191" s="13" t="s">
        <v>3259</v>
      </c>
      <c r="BA191" s="13" t="s">
        <v>3259</v>
      </c>
      <c r="BB191" s="13" t="s">
        <v>3260</v>
      </c>
      <c r="BC191" s="13" t="s">
        <v>3261</v>
      </c>
      <c r="BD191" s="13">
        <f t="shared" si="7"/>
        <v>57</v>
      </c>
      <c r="BE191" s="17" t="s">
        <v>834</v>
      </c>
      <c r="BF191" s="17" t="s">
        <v>736</v>
      </c>
      <c r="BG191" s="17" t="s">
        <v>924</v>
      </c>
      <c r="BH191" s="17" t="s">
        <v>1082</v>
      </c>
      <c r="BJ191" s="31" t="s">
        <v>849</v>
      </c>
      <c r="BO191" s="17" t="s">
        <v>3262</v>
      </c>
      <c r="BP191" s="17" t="s">
        <v>2384</v>
      </c>
      <c r="BS191" s="17" t="s">
        <v>127</v>
      </c>
      <c r="BU191" s="17" t="s">
        <v>129</v>
      </c>
      <c r="BX191" s="13" t="s">
        <v>3263</v>
      </c>
      <c r="DA191" s="13" t="s">
        <v>10348</v>
      </c>
      <c r="DB191" s="13" t="s">
        <v>10348</v>
      </c>
    </row>
    <row r="192" spans="1:106" s="13" customFormat="1" ht="12.75" customHeight="1" x14ac:dyDescent="0.2">
      <c r="A192" s="13" t="s">
        <v>102</v>
      </c>
      <c r="B192" s="13" t="s">
        <v>103</v>
      </c>
      <c r="D192" s="13" t="s">
        <v>820</v>
      </c>
      <c r="E192" s="13" t="s">
        <v>471</v>
      </c>
      <c r="F192" s="13" t="s">
        <v>820</v>
      </c>
      <c r="G192" s="13" t="s">
        <v>229</v>
      </c>
      <c r="H192" s="13" t="s">
        <v>227</v>
      </c>
      <c r="J192" s="13" t="s">
        <v>106</v>
      </c>
      <c r="W192" s="13">
        <v>277</v>
      </c>
      <c r="X192" s="13">
        <v>277</v>
      </c>
      <c r="Y192" s="13" t="s">
        <v>107</v>
      </c>
      <c r="Z192" s="13" t="s">
        <v>108</v>
      </c>
      <c r="AA192" s="13" t="s">
        <v>107</v>
      </c>
      <c r="AB192" s="13" t="s">
        <v>3264</v>
      </c>
      <c r="AC192" s="13" t="s">
        <v>3264</v>
      </c>
      <c r="AD192" s="13" t="s">
        <v>3264</v>
      </c>
      <c r="AE192" s="34" t="s">
        <v>112</v>
      </c>
      <c r="AF192" s="13" t="s">
        <v>3264</v>
      </c>
      <c r="AG192" s="13" t="s">
        <v>3264</v>
      </c>
      <c r="AH192" s="39" t="s">
        <v>3265</v>
      </c>
      <c r="AL192" s="13" t="s">
        <v>3266</v>
      </c>
      <c r="AN192" s="13">
        <v>329</v>
      </c>
      <c r="AO192" s="13" t="s">
        <v>3267</v>
      </c>
      <c r="AQ192" s="13" t="s">
        <v>3264</v>
      </c>
      <c r="AR192" s="13" t="s">
        <v>3264</v>
      </c>
      <c r="AS192" s="13" t="s">
        <v>116</v>
      </c>
      <c r="AT192" s="13" t="s">
        <v>3268</v>
      </c>
      <c r="AU192" s="13" t="s">
        <v>2377</v>
      </c>
      <c r="AV192" s="13" t="s">
        <v>827</v>
      </c>
      <c r="AW192" s="39" t="s">
        <v>828</v>
      </c>
      <c r="AX192" s="39" t="s">
        <v>829</v>
      </c>
      <c r="AY192" s="13" t="s">
        <v>3269</v>
      </c>
      <c r="AZ192" s="13" t="s">
        <v>3270</v>
      </c>
      <c r="BA192" s="13" t="s">
        <v>3270</v>
      </c>
      <c r="BB192" s="13" t="s">
        <v>3271</v>
      </c>
      <c r="BC192" s="13" t="s">
        <v>3272</v>
      </c>
      <c r="BD192" s="13">
        <f t="shared" si="7"/>
        <v>60</v>
      </c>
      <c r="BE192" s="17" t="s">
        <v>834</v>
      </c>
      <c r="BF192" s="17" t="s">
        <v>736</v>
      </c>
      <c r="BG192" s="17" t="s">
        <v>751</v>
      </c>
      <c r="BJ192" s="31" t="s">
        <v>3273</v>
      </c>
      <c r="BK192" s="17" t="s">
        <v>2922</v>
      </c>
      <c r="BO192" s="17" t="s">
        <v>3274</v>
      </c>
      <c r="BP192" s="17" t="s">
        <v>2384</v>
      </c>
      <c r="BS192" s="17" t="s">
        <v>127</v>
      </c>
      <c r="BU192" s="17" t="s">
        <v>129</v>
      </c>
      <c r="BX192" s="13" t="s">
        <v>3275</v>
      </c>
      <c r="DA192" s="13" t="s">
        <v>10348</v>
      </c>
      <c r="DB192" s="13" t="s">
        <v>10348</v>
      </c>
    </row>
    <row r="193" spans="1:106" s="13" customFormat="1" ht="12.75" customHeight="1" x14ac:dyDescent="0.2">
      <c r="A193" s="13" t="s">
        <v>102</v>
      </c>
      <c r="B193" s="13" t="s">
        <v>103</v>
      </c>
      <c r="D193" s="13" t="s">
        <v>820</v>
      </c>
      <c r="E193" s="13" t="s">
        <v>471</v>
      </c>
      <c r="F193" s="13" t="s">
        <v>820</v>
      </c>
      <c r="G193" s="13" t="s">
        <v>229</v>
      </c>
      <c r="H193" s="13" t="s">
        <v>227</v>
      </c>
      <c r="J193" s="13" t="s">
        <v>106</v>
      </c>
      <c r="W193" s="13">
        <v>278</v>
      </c>
      <c r="X193" s="13">
        <v>278</v>
      </c>
      <c r="Y193" s="13" t="s">
        <v>107</v>
      </c>
      <c r="Z193" s="13" t="s">
        <v>108</v>
      </c>
      <c r="AA193" s="13" t="s">
        <v>107</v>
      </c>
      <c r="AB193" s="13" t="s">
        <v>3276</v>
      </c>
      <c r="AC193" s="13" t="s">
        <v>3276</v>
      </c>
      <c r="AD193" s="13" t="s">
        <v>3276</v>
      </c>
      <c r="AE193" s="34" t="s">
        <v>112</v>
      </c>
      <c r="AF193" s="13" t="s">
        <v>3276</v>
      </c>
      <c r="AG193" s="13" t="s">
        <v>3276</v>
      </c>
      <c r="AH193" s="39" t="s">
        <v>3277</v>
      </c>
      <c r="AL193" s="13" t="s">
        <v>3278</v>
      </c>
      <c r="AN193" s="13">
        <v>329</v>
      </c>
      <c r="AO193" s="13" t="s">
        <v>3279</v>
      </c>
      <c r="AQ193" s="13" t="s">
        <v>3276</v>
      </c>
      <c r="AR193" s="13" t="s">
        <v>3276</v>
      </c>
      <c r="AS193" s="13" t="s">
        <v>116</v>
      </c>
      <c r="AT193" s="13" t="s">
        <v>3280</v>
      </c>
      <c r="AU193" s="13" t="s">
        <v>2377</v>
      </c>
      <c r="AV193" s="13" t="s">
        <v>827</v>
      </c>
      <c r="AW193" s="39" t="s">
        <v>828</v>
      </c>
      <c r="AX193" s="39" t="s">
        <v>829</v>
      </c>
      <c r="AY193" s="13" t="s">
        <v>3280</v>
      </c>
      <c r="AZ193" s="13" t="s">
        <v>3281</v>
      </c>
      <c r="BA193" s="13" t="s">
        <v>3281</v>
      </c>
      <c r="BB193" s="13" t="s">
        <v>3282</v>
      </c>
      <c r="BC193" s="13" t="s">
        <v>3283</v>
      </c>
      <c r="BD193" s="13">
        <f t="shared" si="7"/>
        <v>60</v>
      </c>
      <c r="BE193" s="17" t="s">
        <v>834</v>
      </c>
      <c r="BF193" s="17" t="s">
        <v>736</v>
      </c>
      <c r="BG193" s="17" t="s">
        <v>751</v>
      </c>
      <c r="BJ193" s="31" t="s">
        <v>3284</v>
      </c>
      <c r="BK193" s="17" t="s">
        <v>2922</v>
      </c>
      <c r="BO193" s="17" t="s">
        <v>3274</v>
      </c>
      <c r="BP193" s="17" t="s">
        <v>2384</v>
      </c>
      <c r="BS193" s="17" t="s">
        <v>127</v>
      </c>
      <c r="BU193" s="17" t="s">
        <v>129</v>
      </c>
      <c r="BX193" s="13" t="s">
        <v>3285</v>
      </c>
      <c r="DA193" s="13" t="s">
        <v>10348</v>
      </c>
      <c r="DB193" s="13" t="s">
        <v>10348</v>
      </c>
    </row>
    <row r="194" spans="1:106" s="13" customFormat="1" ht="12.75" customHeight="1" x14ac:dyDescent="0.2">
      <c r="A194" s="13" t="s">
        <v>102</v>
      </c>
      <c r="B194" s="13" t="s">
        <v>103</v>
      </c>
      <c r="D194" s="13" t="s">
        <v>820</v>
      </c>
      <c r="E194" s="13" t="s">
        <v>471</v>
      </c>
      <c r="F194" s="13" t="s">
        <v>820</v>
      </c>
      <c r="G194" s="13" t="s">
        <v>229</v>
      </c>
      <c r="H194" s="13" t="s">
        <v>227</v>
      </c>
      <c r="J194" s="13" t="s">
        <v>106</v>
      </c>
      <c r="W194" s="13">
        <v>279</v>
      </c>
      <c r="X194" s="13">
        <v>279</v>
      </c>
      <c r="Y194" s="13" t="s">
        <v>107</v>
      </c>
      <c r="Z194" s="13" t="s">
        <v>108</v>
      </c>
      <c r="AA194" s="13" t="s">
        <v>107</v>
      </c>
      <c r="AB194" s="13" t="s">
        <v>3286</v>
      </c>
      <c r="AC194" s="13" t="s">
        <v>3286</v>
      </c>
      <c r="AD194" s="13" t="s">
        <v>3286</v>
      </c>
      <c r="AE194" s="34" t="s">
        <v>112</v>
      </c>
      <c r="AF194" s="13" t="s">
        <v>3286</v>
      </c>
      <c r="AG194" s="13" t="s">
        <v>3286</v>
      </c>
      <c r="AH194" s="39" t="s">
        <v>3287</v>
      </c>
      <c r="AL194" s="13" t="s">
        <v>3288</v>
      </c>
      <c r="AN194" s="13">
        <v>329</v>
      </c>
      <c r="AO194" s="13" t="s">
        <v>3289</v>
      </c>
      <c r="AQ194" s="13" t="s">
        <v>3286</v>
      </c>
      <c r="AR194" s="13" t="s">
        <v>3286</v>
      </c>
      <c r="AS194" s="13" t="s">
        <v>116</v>
      </c>
      <c r="AT194" s="13" t="s">
        <v>3290</v>
      </c>
      <c r="AU194" s="13" t="s">
        <v>2377</v>
      </c>
      <c r="AV194" s="13" t="s">
        <v>827</v>
      </c>
      <c r="AW194" s="39" t="s">
        <v>828</v>
      </c>
      <c r="AX194" s="39" t="s">
        <v>829</v>
      </c>
      <c r="AY194" s="13" t="s">
        <v>3291</v>
      </c>
      <c r="AZ194" s="13" t="s">
        <v>3292</v>
      </c>
      <c r="BA194" s="13" t="s">
        <v>3292</v>
      </c>
      <c r="BB194" s="13" t="s">
        <v>3293</v>
      </c>
      <c r="BC194" s="13" t="s">
        <v>3294</v>
      </c>
      <c r="BD194" s="13">
        <f t="shared" si="7"/>
        <v>59</v>
      </c>
      <c r="BE194" s="17" t="s">
        <v>834</v>
      </c>
      <c r="BF194" s="17" t="s">
        <v>736</v>
      </c>
      <c r="BG194" s="17" t="s">
        <v>751</v>
      </c>
      <c r="BJ194" s="31" t="s">
        <v>871</v>
      </c>
      <c r="BK194" s="17" t="s">
        <v>3295</v>
      </c>
      <c r="BO194" s="17" t="s">
        <v>3274</v>
      </c>
      <c r="BP194" s="17" t="s">
        <v>2384</v>
      </c>
      <c r="BS194" s="17" t="s">
        <v>127</v>
      </c>
      <c r="BU194" s="17" t="s">
        <v>129</v>
      </c>
      <c r="BX194" s="13" t="s">
        <v>3296</v>
      </c>
      <c r="DA194" s="13" t="s">
        <v>10348</v>
      </c>
      <c r="DB194" s="13" t="s">
        <v>10348</v>
      </c>
    </row>
    <row r="195" spans="1:106" s="13" customFormat="1" ht="12.75" customHeight="1" x14ac:dyDescent="0.2">
      <c r="A195" s="13" t="s">
        <v>102</v>
      </c>
      <c r="B195" s="13" t="s">
        <v>103</v>
      </c>
      <c r="D195" s="13" t="s">
        <v>820</v>
      </c>
      <c r="E195" s="13" t="s">
        <v>471</v>
      </c>
      <c r="F195" s="13" t="s">
        <v>820</v>
      </c>
      <c r="G195" s="13" t="s">
        <v>229</v>
      </c>
      <c r="H195" s="13" t="s">
        <v>227</v>
      </c>
      <c r="J195" s="13" t="s">
        <v>106</v>
      </c>
      <c r="W195" s="13">
        <v>280</v>
      </c>
      <c r="X195" s="13">
        <v>280</v>
      </c>
      <c r="Y195" s="13" t="s">
        <v>107</v>
      </c>
      <c r="Z195" s="13" t="s">
        <v>108</v>
      </c>
      <c r="AA195" s="13" t="s">
        <v>107</v>
      </c>
      <c r="AB195" s="13" t="s">
        <v>3297</v>
      </c>
      <c r="AC195" s="13" t="s">
        <v>3297</v>
      </c>
      <c r="AD195" s="13" t="s">
        <v>3297</v>
      </c>
      <c r="AE195" s="34" t="s">
        <v>112</v>
      </c>
      <c r="AF195" s="13" t="s">
        <v>3297</v>
      </c>
      <c r="AG195" s="13" t="s">
        <v>3297</v>
      </c>
      <c r="AH195" s="39" t="s">
        <v>3298</v>
      </c>
      <c r="AL195" s="13" t="s">
        <v>3299</v>
      </c>
      <c r="AN195" s="13">
        <v>329</v>
      </c>
      <c r="AO195" s="13" t="s">
        <v>3300</v>
      </c>
      <c r="AQ195" s="13" t="s">
        <v>3297</v>
      </c>
      <c r="AR195" s="13" t="s">
        <v>3297</v>
      </c>
      <c r="AS195" s="13" t="s">
        <v>116</v>
      </c>
      <c r="AT195" s="13" t="s">
        <v>3301</v>
      </c>
      <c r="AU195" s="13" t="s">
        <v>2377</v>
      </c>
      <c r="AV195" s="13" t="s">
        <v>827</v>
      </c>
      <c r="AW195" s="39" t="s">
        <v>828</v>
      </c>
      <c r="AX195" s="39" t="s">
        <v>829</v>
      </c>
      <c r="AY195" s="13" t="s">
        <v>3302</v>
      </c>
      <c r="AZ195" s="13" t="s">
        <v>3303</v>
      </c>
      <c r="BA195" s="13" t="s">
        <v>3303</v>
      </c>
      <c r="BB195" s="13" t="s">
        <v>3304</v>
      </c>
      <c r="BC195" s="13" t="s">
        <v>3305</v>
      </c>
      <c r="BD195" s="13">
        <f t="shared" si="7"/>
        <v>59</v>
      </c>
      <c r="BE195" s="17" t="s">
        <v>834</v>
      </c>
      <c r="BF195" s="17" t="s">
        <v>736</v>
      </c>
      <c r="BG195" s="17" t="s">
        <v>751</v>
      </c>
      <c r="BJ195" s="31" t="s">
        <v>3306</v>
      </c>
      <c r="BK195" s="17" t="s">
        <v>3307</v>
      </c>
      <c r="BO195" s="17" t="s">
        <v>3274</v>
      </c>
      <c r="BP195" s="17" t="s">
        <v>2384</v>
      </c>
      <c r="BS195" s="17" t="s">
        <v>127</v>
      </c>
      <c r="BU195" s="17" t="s">
        <v>129</v>
      </c>
      <c r="BX195" s="13" t="s">
        <v>3308</v>
      </c>
      <c r="DA195" s="13" t="s">
        <v>10348</v>
      </c>
      <c r="DB195" s="13" t="s">
        <v>10348</v>
      </c>
    </row>
    <row r="196" spans="1:106" s="13" customFormat="1" ht="12.75" customHeight="1" x14ac:dyDescent="0.2">
      <c r="A196" s="13" t="s">
        <v>102</v>
      </c>
      <c r="B196" s="13" t="s">
        <v>103</v>
      </c>
      <c r="D196" s="13" t="s">
        <v>820</v>
      </c>
      <c r="E196" s="13" t="s">
        <v>228</v>
      </c>
      <c r="F196" s="13" t="s">
        <v>820</v>
      </c>
      <c r="G196" s="13" t="s">
        <v>229</v>
      </c>
      <c r="H196" s="13" t="s">
        <v>227</v>
      </c>
      <c r="J196" s="13" t="s">
        <v>106</v>
      </c>
      <c r="W196" s="13">
        <v>281</v>
      </c>
      <c r="X196" s="13">
        <v>281</v>
      </c>
      <c r="Y196" s="13" t="s">
        <v>107</v>
      </c>
      <c r="Z196" s="13" t="s">
        <v>108</v>
      </c>
      <c r="AA196" s="13" t="s">
        <v>107</v>
      </c>
      <c r="AB196" s="13" t="s">
        <v>3309</v>
      </c>
      <c r="AC196" s="13" t="s">
        <v>3309</v>
      </c>
      <c r="AD196" s="13" t="s">
        <v>3309</v>
      </c>
      <c r="AE196" s="34" t="s">
        <v>112</v>
      </c>
      <c r="AF196" s="13" t="s">
        <v>3309</v>
      </c>
      <c r="AG196" s="13" t="s">
        <v>3309</v>
      </c>
      <c r="AH196" s="39" t="s">
        <v>3310</v>
      </c>
      <c r="AL196" s="13" t="s">
        <v>3311</v>
      </c>
      <c r="AN196" s="13">
        <v>329</v>
      </c>
      <c r="AO196" s="13" t="s">
        <v>3312</v>
      </c>
      <c r="AQ196" s="13" t="s">
        <v>3309</v>
      </c>
      <c r="AR196" s="13" t="s">
        <v>3309</v>
      </c>
      <c r="AS196" s="13" t="s">
        <v>116</v>
      </c>
      <c r="AT196" s="13" t="s">
        <v>3313</v>
      </c>
      <c r="AU196" s="13" t="s">
        <v>2377</v>
      </c>
      <c r="AV196" s="13" t="s">
        <v>827</v>
      </c>
      <c r="AW196" s="39" t="s">
        <v>828</v>
      </c>
      <c r="AX196" s="39" t="s">
        <v>829</v>
      </c>
      <c r="AY196" s="13" t="s">
        <v>3314</v>
      </c>
      <c r="AZ196" s="13" t="s">
        <v>3315</v>
      </c>
      <c r="BA196" s="13" t="s">
        <v>3315</v>
      </c>
      <c r="BB196" s="13" t="s">
        <v>3316</v>
      </c>
      <c r="BC196" s="13" t="s">
        <v>3317</v>
      </c>
      <c r="BD196" s="13">
        <f t="shared" si="7"/>
        <v>59</v>
      </c>
      <c r="BE196" s="17" t="s">
        <v>834</v>
      </c>
      <c r="BF196" s="17" t="s">
        <v>736</v>
      </c>
      <c r="BG196" s="17" t="s">
        <v>751</v>
      </c>
      <c r="BJ196" s="31" t="s">
        <v>849</v>
      </c>
      <c r="BO196" s="17" t="s">
        <v>3318</v>
      </c>
      <c r="BP196" s="17" t="s">
        <v>2384</v>
      </c>
      <c r="BS196" s="17" t="s">
        <v>127</v>
      </c>
      <c r="BU196" s="17" t="s">
        <v>129</v>
      </c>
      <c r="BX196" s="13" t="s">
        <v>3319</v>
      </c>
      <c r="DA196" s="13" t="s">
        <v>10348</v>
      </c>
      <c r="DB196" s="13" t="s">
        <v>10348</v>
      </c>
    </row>
    <row r="197" spans="1:106" s="13" customFormat="1" ht="12.75" customHeight="1" x14ac:dyDescent="0.2">
      <c r="A197" s="13" t="s">
        <v>102</v>
      </c>
      <c r="B197" s="13" t="s">
        <v>103</v>
      </c>
      <c r="D197" s="13" t="s">
        <v>820</v>
      </c>
      <c r="E197" s="13" t="s">
        <v>228</v>
      </c>
      <c r="F197" s="13" t="s">
        <v>820</v>
      </c>
      <c r="G197" s="13" t="s">
        <v>229</v>
      </c>
      <c r="H197" s="13" t="s">
        <v>227</v>
      </c>
      <c r="J197" s="13" t="s">
        <v>106</v>
      </c>
      <c r="W197" s="13">
        <v>282</v>
      </c>
      <c r="X197" s="13">
        <v>282</v>
      </c>
      <c r="Y197" s="13" t="s">
        <v>107</v>
      </c>
      <c r="Z197" s="13" t="s">
        <v>108</v>
      </c>
      <c r="AA197" s="13" t="s">
        <v>107</v>
      </c>
      <c r="AB197" s="13" t="s">
        <v>3320</v>
      </c>
      <c r="AC197" s="13" t="s">
        <v>3320</v>
      </c>
      <c r="AD197" s="13" t="s">
        <v>3320</v>
      </c>
      <c r="AE197" s="34" t="s">
        <v>112</v>
      </c>
      <c r="AF197" s="13" t="s">
        <v>3320</v>
      </c>
      <c r="AG197" s="13" t="s">
        <v>3320</v>
      </c>
      <c r="AH197" s="39" t="s">
        <v>3321</v>
      </c>
      <c r="AL197" s="13" t="s">
        <v>3322</v>
      </c>
      <c r="AN197" s="13">
        <v>329</v>
      </c>
      <c r="AO197" s="13" t="s">
        <v>3323</v>
      </c>
      <c r="AQ197" s="13" t="s">
        <v>3320</v>
      </c>
      <c r="AR197" s="13" t="s">
        <v>3320</v>
      </c>
      <c r="AS197" s="13" t="s">
        <v>116</v>
      </c>
      <c r="AT197" s="13" t="s">
        <v>3324</v>
      </c>
      <c r="AU197" s="13" t="s">
        <v>2377</v>
      </c>
      <c r="AV197" s="13" t="s">
        <v>827</v>
      </c>
      <c r="AW197" s="39" t="s">
        <v>828</v>
      </c>
      <c r="AX197" s="39" t="s">
        <v>829</v>
      </c>
      <c r="AY197" s="13" t="s">
        <v>3314</v>
      </c>
      <c r="AZ197" s="13" t="s">
        <v>3325</v>
      </c>
      <c r="BA197" s="13" t="s">
        <v>3325</v>
      </c>
      <c r="BB197" s="13" t="s">
        <v>3326</v>
      </c>
      <c r="BC197" s="13" t="s">
        <v>3327</v>
      </c>
      <c r="BD197" s="13">
        <f t="shared" si="7"/>
        <v>60</v>
      </c>
      <c r="BE197" s="17" t="s">
        <v>834</v>
      </c>
      <c r="BF197" s="17" t="s">
        <v>736</v>
      </c>
      <c r="BG197" s="17" t="s">
        <v>751</v>
      </c>
      <c r="BJ197" s="31" t="s">
        <v>849</v>
      </c>
      <c r="BO197" s="17" t="s">
        <v>3328</v>
      </c>
      <c r="BP197" s="17" t="s">
        <v>2384</v>
      </c>
      <c r="BS197" s="17" t="s">
        <v>127</v>
      </c>
      <c r="BU197" s="17" t="s">
        <v>129</v>
      </c>
      <c r="BX197" s="13" t="s">
        <v>3329</v>
      </c>
      <c r="DA197" s="13" t="s">
        <v>10348</v>
      </c>
      <c r="DB197" s="13" t="s">
        <v>10348</v>
      </c>
    </row>
    <row r="198" spans="1:106" s="13" customFormat="1" ht="12.75" customHeight="1" x14ac:dyDescent="0.2">
      <c r="A198" s="13" t="s">
        <v>102</v>
      </c>
      <c r="B198" s="13" t="s">
        <v>103</v>
      </c>
      <c r="D198" s="13" t="s">
        <v>820</v>
      </c>
      <c r="E198" s="13" t="s">
        <v>471</v>
      </c>
      <c r="F198" s="13" t="s">
        <v>820</v>
      </c>
      <c r="G198" s="13" t="s">
        <v>229</v>
      </c>
      <c r="H198" s="13" t="s">
        <v>227</v>
      </c>
      <c r="J198" s="13" t="s">
        <v>106</v>
      </c>
      <c r="W198" s="13">
        <v>283</v>
      </c>
      <c r="X198" s="13">
        <v>283</v>
      </c>
      <c r="Y198" s="13" t="s">
        <v>107</v>
      </c>
      <c r="Z198" s="13" t="s">
        <v>108</v>
      </c>
      <c r="AA198" s="13" t="s">
        <v>107</v>
      </c>
      <c r="AB198" s="13" t="s">
        <v>3330</v>
      </c>
      <c r="AC198" s="13" t="s">
        <v>3330</v>
      </c>
      <c r="AD198" s="13" t="s">
        <v>3330</v>
      </c>
      <c r="AE198" s="34" t="s">
        <v>112</v>
      </c>
      <c r="AF198" s="13" t="s">
        <v>3330</v>
      </c>
      <c r="AG198" s="13" t="s">
        <v>3330</v>
      </c>
      <c r="AH198" s="39" t="s">
        <v>3331</v>
      </c>
      <c r="AL198" s="13" t="s">
        <v>3332</v>
      </c>
      <c r="AN198" s="13">
        <v>329</v>
      </c>
      <c r="AO198" s="13" t="s">
        <v>3333</v>
      </c>
      <c r="AQ198" s="13" t="s">
        <v>3330</v>
      </c>
      <c r="AR198" s="13" t="s">
        <v>3330</v>
      </c>
      <c r="AS198" s="13" t="s">
        <v>116</v>
      </c>
      <c r="AT198" s="13" t="s">
        <v>3334</v>
      </c>
      <c r="AU198" s="13" t="s">
        <v>2377</v>
      </c>
      <c r="AV198" s="13" t="s">
        <v>827</v>
      </c>
      <c r="AW198" s="39" t="s">
        <v>828</v>
      </c>
      <c r="AX198" s="39" t="s">
        <v>829</v>
      </c>
      <c r="AY198" s="13" t="s">
        <v>3334</v>
      </c>
      <c r="AZ198" s="13" t="s">
        <v>3335</v>
      </c>
      <c r="BA198" s="13" t="s">
        <v>3335</v>
      </c>
      <c r="BB198" s="13" t="s">
        <v>3336</v>
      </c>
      <c r="BC198" s="13" t="s">
        <v>3337</v>
      </c>
      <c r="BD198" s="13">
        <f t="shared" si="7"/>
        <v>58</v>
      </c>
      <c r="BE198" s="17" t="s">
        <v>834</v>
      </c>
      <c r="BF198" s="17" t="s">
        <v>736</v>
      </c>
      <c r="BG198" s="17" t="s">
        <v>924</v>
      </c>
      <c r="BH198" s="17" t="s">
        <v>1082</v>
      </c>
      <c r="BJ198" s="31" t="s">
        <v>849</v>
      </c>
      <c r="BO198" s="17" t="s">
        <v>2407</v>
      </c>
      <c r="BP198" s="17" t="s">
        <v>2384</v>
      </c>
      <c r="BS198" s="17" t="s">
        <v>127</v>
      </c>
      <c r="BU198" s="17" t="s">
        <v>129</v>
      </c>
      <c r="BX198" s="13" t="s">
        <v>3338</v>
      </c>
      <c r="DA198" s="13" t="s">
        <v>10348</v>
      </c>
      <c r="DB198" s="13" t="s">
        <v>10348</v>
      </c>
    </row>
    <row r="199" spans="1:106" s="13" customFormat="1" ht="12.75" customHeight="1" x14ac:dyDescent="0.2">
      <c r="A199" s="13" t="s">
        <v>102</v>
      </c>
      <c r="B199" s="13" t="s">
        <v>103</v>
      </c>
      <c r="D199" s="13" t="s">
        <v>820</v>
      </c>
      <c r="E199" s="13" t="s">
        <v>471</v>
      </c>
      <c r="F199" s="13" t="s">
        <v>820</v>
      </c>
      <c r="G199" s="13" t="s">
        <v>229</v>
      </c>
      <c r="H199" s="13" t="s">
        <v>227</v>
      </c>
      <c r="J199" s="13" t="s">
        <v>106</v>
      </c>
      <c r="W199" s="13">
        <v>284</v>
      </c>
      <c r="X199" s="13">
        <v>284</v>
      </c>
      <c r="Y199" s="13" t="s">
        <v>107</v>
      </c>
      <c r="Z199" s="13" t="s">
        <v>108</v>
      </c>
      <c r="AA199" s="13" t="s">
        <v>107</v>
      </c>
      <c r="AB199" s="13" t="s">
        <v>3339</v>
      </c>
      <c r="AC199" s="13" t="s">
        <v>3339</v>
      </c>
      <c r="AD199" s="13" t="s">
        <v>3339</v>
      </c>
      <c r="AE199" s="34" t="s">
        <v>112</v>
      </c>
      <c r="AF199" s="13" t="s">
        <v>3339</v>
      </c>
      <c r="AG199" s="13" t="s">
        <v>3339</v>
      </c>
      <c r="AH199" s="39" t="s">
        <v>3340</v>
      </c>
      <c r="AL199" s="13" t="s">
        <v>3341</v>
      </c>
      <c r="AN199" s="13">
        <v>329</v>
      </c>
      <c r="AO199" s="13" t="s">
        <v>3342</v>
      </c>
      <c r="AQ199" s="13" t="s">
        <v>3339</v>
      </c>
      <c r="AR199" s="13" t="s">
        <v>3339</v>
      </c>
      <c r="AS199" s="13" t="s">
        <v>116</v>
      </c>
      <c r="AT199" s="13" t="s">
        <v>3343</v>
      </c>
      <c r="AU199" s="13" t="s">
        <v>2377</v>
      </c>
      <c r="AV199" s="13" t="s">
        <v>827</v>
      </c>
      <c r="AW199" s="39" t="s">
        <v>828</v>
      </c>
      <c r="AX199" s="39" t="s">
        <v>829</v>
      </c>
      <c r="AY199" s="13" t="s">
        <v>3343</v>
      </c>
      <c r="AZ199" s="13" t="s">
        <v>3344</v>
      </c>
      <c r="BA199" s="13" t="s">
        <v>3344</v>
      </c>
      <c r="BB199" s="13" t="s">
        <v>3345</v>
      </c>
      <c r="BC199" s="13" t="s">
        <v>3346</v>
      </c>
      <c r="BD199" s="13">
        <f t="shared" si="7"/>
        <v>53</v>
      </c>
      <c r="BE199" s="17" t="s">
        <v>834</v>
      </c>
      <c r="BF199" s="17" t="s">
        <v>736</v>
      </c>
      <c r="BG199" s="17" t="s">
        <v>751</v>
      </c>
      <c r="BJ199" s="31" t="s">
        <v>3347</v>
      </c>
      <c r="BO199" s="17" t="s">
        <v>2428</v>
      </c>
      <c r="BP199" s="17" t="s">
        <v>2384</v>
      </c>
      <c r="BS199" s="17" t="s">
        <v>127</v>
      </c>
      <c r="BU199" s="17" t="s">
        <v>129</v>
      </c>
      <c r="BX199" s="13" t="s">
        <v>3348</v>
      </c>
      <c r="DA199" s="13" t="s">
        <v>10348</v>
      </c>
      <c r="DB199" s="13" t="s">
        <v>10348</v>
      </c>
    </row>
    <row r="200" spans="1:106" s="13" customFormat="1" ht="12.75" customHeight="1" x14ac:dyDescent="0.2">
      <c r="A200" s="13" t="s">
        <v>102</v>
      </c>
      <c r="B200" s="13" t="s">
        <v>103</v>
      </c>
      <c r="D200" s="13" t="s">
        <v>820</v>
      </c>
      <c r="E200" s="13" t="s">
        <v>471</v>
      </c>
      <c r="F200" s="13" t="s">
        <v>820</v>
      </c>
      <c r="G200" s="13" t="s">
        <v>229</v>
      </c>
      <c r="H200" s="13" t="s">
        <v>227</v>
      </c>
      <c r="J200" s="13" t="s">
        <v>106</v>
      </c>
      <c r="W200" s="13">
        <v>285</v>
      </c>
      <c r="X200" s="13">
        <v>285</v>
      </c>
      <c r="Y200" s="13" t="s">
        <v>107</v>
      </c>
      <c r="Z200" s="13" t="s">
        <v>108</v>
      </c>
      <c r="AA200" s="13" t="s">
        <v>107</v>
      </c>
      <c r="AB200" s="13" t="s">
        <v>3349</v>
      </c>
      <c r="AC200" s="13" t="s">
        <v>3349</v>
      </c>
      <c r="AD200" s="13" t="s">
        <v>3349</v>
      </c>
      <c r="AE200" s="34" t="s">
        <v>112</v>
      </c>
      <c r="AF200" s="13" t="s">
        <v>3349</v>
      </c>
      <c r="AG200" s="13" t="s">
        <v>3349</v>
      </c>
      <c r="AH200" s="39" t="s">
        <v>3350</v>
      </c>
      <c r="AL200" s="13" t="s">
        <v>3351</v>
      </c>
      <c r="AN200" s="13">
        <v>329</v>
      </c>
      <c r="AO200" s="13" t="s">
        <v>3352</v>
      </c>
      <c r="AQ200" s="13" t="s">
        <v>3349</v>
      </c>
      <c r="AR200" s="13" t="s">
        <v>3349</v>
      </c>
      <c r="AS200" s="13" t="s">
        <v>116</v>
      </c>
      <c r="AT200" s="13" t="s">
        <v>3353</v>
      </c>
      <c r="AU200" s="13" t="s">
        <v>2377</v>
      </c>
      <c r="AV200" s="13" t="s">
        <v>827</v>
      </c>
      <c r="AW200" s="39" t="s">
        <v>828</v>
      </c>
      <c r="AX200" s="39" t="s">
        <v>829</v>
      </c>
      <c r="AY200" s="13" t="s">
        <v>3353</v>
      </c>
      <c r="AZ200" s="13" t="s">
        <v>3354</v>
      </c>
      <c r="BA200" s="13" t="s">
        <v>3354</v>
      </c>
      <c r="BB200" s="13" t="s">
        <v>3355</v>
      </c>
      <c r="BC200" s="13" t="s">
        <v>3356</v>
      </c>
      <c r="BD200" s="13">
        <f t="shared" si="7"/>
        <v>56</v>
      </c>
      <c r="BE200" s="17" t="s">
        <v>834</v>
      </c>
      <c r="BF200" s="17" t="s">
        <v>736</v>
      </c>
      <c r="BG200" s="17" t="s">
        <v>924</v>
      </c>
      <c r="BH200" s="17" t="s">
        <v>2382</v>
      </c>
      <c r="BJ200" s="31" t="s">
        <v>3357</v>
      </c>
      <c r="BO200" s="17" t="s">
        <v>2428</v>
      </c>
      <c r="BP200" s="17" t="s">
        <v>2384</v>
      </c>
      <c r="BS200" s="17" t="s">
        <v>127</v>
      </c>
      <c r="BU200" s="17" t="s">
        <v>129</v>
      </c>
      <c r="BX200" s="13" t="s">
        <v>3358</v>
      </c>
      <c r="DA200" s="13" t="s">
        <v>10348</v>
      </c>
      <c r="DB200" s="13" t="s">
        <v>10348</v>
      </c>
    </row>
    <row r="201" spans="1:106" s="13" customFormat="1" ht="12.75" customHeight="1" x14ac:dyDescent="0.2">
      <c r="A201" s="13" t="s">
        <v>102</v>
      </c>
      <c r="B201" s="13" t="s">
        <v>103</v>
      </c>
      <c r="D201" s="13" t="s">
        <v>820</v>
      </c>
      <c r="E201" s="13" t="s">
        <v>471</v>
      </c>
      <c r="F201" s="13" t="s">
        <v>820</v>
      </c>
      <c r="G201" s="13" t="s">
        <v>229</v>
      </c>
      <c r="H201" s="13" t="s">
        <v>227</v>
      </c>
      <c r="J201" s="13" t="s">
        <v>106</v>
      </c>
      <c r="W201" s="13">
        <v>286</v>
      </c>
      <c r="X201" s="13">
        <v>286</v>
      </c>
      <c r="Y201" s="13" t="s">
        <v>107</v>
      </c>
      <c r="Z201" s="13" t="s">
        <v>108</v>
      </c>
      <c r="AA201" s="13" t="s">
        <v>107</v>
      </c>
      <c r="AB201" s="13" t="s">
        <v>3359</v>
      </c>
      <c r="AC201" s="13" t="s">
        <v>3359</v>
      </c>
      <c r="AD201" s="13" t="s">
        <v>3359</v>
      </c>
      <c r="AE201" s="34" t="s">
        <v>112</v>
      </c>
      <c r="AF201" s="13" t="s">
        <v>3359</v>
      </c>
      <c r="AG201" s="13" t="s">
        <v>3359</v>
      </c>
      <c r="AH201" s="39" t="s">
        <v>3360</v>
      </c>
      <c r="AL201" s="13" t="s">
        <v>3361</v>
      </c>
      <c r="AN201" s="13">
        <v>329</v>
      </c>
      <c r="AO201" s="13" t="s">
        <v>3362</v>
      </c>
      <c r="AQ201" s="13" t="s">
        <v>3359</v>
      </c>
      <c r="AR201" s="13" t="s">
        <v>3359</v>
      </c>
      <c r="AS201" s="13" t="s">
        <v>116</v>
      </c>
      <c r="AT201" s="13" t="s">
        <v>3363</v>
      </c>
      <c r="AU201" s="13" t="s">
        <v>2377</v>
      </c>
      <c r="AV201" s="13" t="s">
        <v>827</v>
      </c>
      <c r="AW201" s="39" t="s">
        <v>828</v>
      </c>
      <c r="AX201" s="39" t="s">
        <v>829</v>
      </c>
      <c r="AY201" s="13" t="s">
        <v>3364</v>
      </c>
      <c r="AZ201" s="13" t="s">
        <v>3365</v>
      </c>
      <c r="BA201" s="13" t="s">
        <v>3365</v>
      </c>
      <c r="BB201" s="13" t="s">
        <v>3366</v>
      </c>
      <c r="BC201" s="13" t="s">
        <v>3367</v>
      </c>
      <c r="BD201" s="13">
        <f t="shared" si="7"/>
        <v>60</v>
      </c>
      <c r="BE201" s="17" t="s">
        <v>834</v>
      </c>
      <c r="BF201" s="17" t="s">
        <v>736</v>
      </c>
      <c r="BG201" s="17" t="s">
        <v>2855</v>
      </c>
      <c r="BH201" s="17" t="s">
        <v>2382</v>
      </c>
      <c r="BJ201" s="31" t="s">
        <v>3368</v>
      </c>
      <c r="BK201" s="17" t="s">
        <v>2922</v>
      </c>
      <c r="BO201" s="17" t="s">
        <v>3369</v>
      </c>
      <c r="BP201" s="17" t="s">
        <v>2384</v>
      </c>
      <c r="BS201" s="17" t="s">
        <v>127</v>
      </c>
      <c r="BU201" s="17" t="s">
        <v>129</v>
      </c>
      <c r="BX201" s="13" t="s">
        <v>3370</v>
      </c>
      <c r="DA201" s="13" t="s">
        <v>10348</v>
      </c>
      <c r="DB201" s="13" t="s">
        <v>10348</v>
      </c>
    </row>
    <row r="202" spans="1:106" s="13" customFormat="1" ht="12.75" customHeight="1" x14ac:dyDescent="0.2">
      <c r="A202" s="13" t="s">
        <v>102</v>
      </c>
      <c r="B202" s="13" t="s">
        <v>103</v>
      </c>
      <c r="D202" s="13" t="s">
        <v>820</v>
      </c>
      <c r="E202" s="13" t="s">
        <v>471</v>
      </c>
      <c r="F202" s="13" t="s">
        <v>820</v>
      </c>
      <c r="G202" s="13" t="s">
        <v>229</v>
      </c>
      <c r="H202" s="13" t="s">
        <v>227</v>
      </c>
      <c r="J202" s="13" t="s">
        <v>106</v>
      </c>
      <c r="W202" s="13">
        <v>287</v>
      </c>
      <c r="X202" s="13">
        <v>287</v>
      </c>
      <c r="Y202" s="13" t="s">
        <v>107</v>
      </c>
      <c r="Z202" s="13" t="s">
        <v>108</v>
      </c>
      <c r="AA202" s="13" t="s">
        <v>107</v>
      </c>
      <c r="AB202" s="13" t="s">
        <v>3371</v>
      </c>
      <c r="AC202" s="13" t="s">
        <v>3371</v>
      </c>
      <c r="AD202" s="13" t="s">
        <v>3371</v>
      </c>
      <c r="AE202" s="34" t="s">
        <v>112</v>
      </c>
      <c r="AF202" s="13" t="s">
        <v>3371</v>
      </c>
      <c r="AG202" s="13" t="s">
        <v>3371</v>
      </c>
      <c r="AH202" s="39" t="s">
        <v>3372</v>
      </c>
      <c r="AL202" s="13" t="s">
        <v>3373</v>
      </c>
      <c r="AN202" s="13">
        <v>329</v>
      </c>
      <c r="AO202" s="13" t="s">
        <v>3374</v>
      </c>
      <c r="AQ202" s="13" t="s">
        <v>3371</v>
      </c>
      <c r="AR202" s="13" t="s">
        <v>3371</v>
      </c>
      <c r="AS202" s="13" t="s">
        <v>116</v>
      </c>
      <c r="AT202" s="13" t="s">
        <v>3375</v>
      </c>
      <c r="AU202" s="13" t="s">
        <v>2377</v>
      </c>
      <c r="AV202" s="13" t="s">
        <v>827</v>
      </c>
      <c r="AW202" s="39" t="s">
        <v>828</v>
      </c>
      <c r="AX202" s="39" t="s">
        <v>829</v>
      </c>
      <c r="AY202" s="13" t="s">
        <v>3376</v>
      </c>
      <c r="AZ202" s="13" t="s">
        <v>3377</v>
      </c>
      <c r="BA202" s="13" t="s">
        <v>3377</v>
      </c>
      <c r="BB202" s="13" t="s">
        <v>3378</v>
      </c>
      <c r="BC202" s="13" t="s">
        <v>3379</v>
      </c>
      <c r="BD202" s="13">
        <f t="shared" si="7"/>
        <v>60</v>
      </c>
      <c r="BE202" s="17" t="s">
        <v>834</v>
      </c>
      <c r="BF202" s="17" t="s">
        <v>736</v>
      </c>
      <c r="BG202" s="17" t="s">
        <v>924</v>
      </c>
      <c r="BH202" s="17" t="s">
        <v>1082</v>
      </c>
      <c r="BJ202" s="31" t="s">
        <v>3036</v>
      </c>
      <c r="BK202" s="17" t="s">
        <v>2922</v>
      </c>
      <c r="BO202" s="17" t="s">
        <v>2911</v>
      </c>
      <c r="BP202" s="17" t="s">
        <v>2384</v>
      </c>
      <c r="BS202" s="17" t="s">
        <v>127</v>
      </c>
      <c r="BU202" s="17" t="s">
        <v>129</v>
      </c>
      <c r="BX202" s="13" t="s">
        <v>3380</v>
      </c>
      <c r="DA202" s="13" t="s">
        <v>10348</v>
      </c>
      <c r="DB202" s="13" t="s">
        <v>10348</v>
      </c>
    </row>
    <row r="203" spans="1:106" s="13" customFormat="1" ht="12.75" customHeight="1" x14ac:dyDescent="0.2">
      <c r="A203" s="13" t="s">
        <v>102</v>
      </c>
      <c r="B203" s="13" t="s">
        <v>103</v>
      </c>
      <c r="D203" s="13" t="s">
        <v>820</v>
      </c>
      <c r="E203" s="13" t="s">
        <v>471</v>
      </c>
      <c r="F203" s="13" t="s">
        <v>820</v>
      </c>
      <c r="G203" s="13" t="s">
        <v>229</v>
      </c>
      <c r="H203" s="13" t="s">
        <v>227</v>
      </c>
      <c r="J203" s="13" t="s">
        <v>106</v>
      </c>
      <c r="W203" s="13">
        <v>288</v>
      </c>
      <c r="X203" s="13">
        <v>288</v>
      </c>
      <c r="Y203" s="13" t="s">
        <v>107</v>
      </c>
      <c r="Z203" s="13" t="s">
        <v>108</v>
      </c>
      <c r="AA203" s="13" t="s">
        <v>107</v>
      </c>
      <c r="AB203" s="13" t="s">
        <v>3381</v>
      </c>
      <c r="AC203" s="13" t="s">
        <v>3381</v>
      </c>
      <c r="AD203" s="13" t="s">
        <v>3381</v>
      </c>
      <c r="AE203" s="34" t="s">
        <v>112</v>
      </c>
      <c r="AF203" s="13" t="s">
        <v>3381</v>
      </c>
      <c r="AG203" s="13" t="s">
        <v>3381</v>
      </c>
      <c r="AH203" s="39" t="s">
        <v>3382</v>
      </c>
      <c r="AL203" s="13" t="s">
        <v>3383</v>
      </c>
      <c r="AN203" s="13">
        <v>329</v>
      </c>
      <c r="AO203" s="13" t="s">
        <v>3384</v>
      </c>
      <c r="AQ203" s="13" t="s">
        <v>3381</v>
      </c>
      <c r="AR203" s="13" t="s">
        <v>3381</v>
      </c>
      <c r="AS203" s="13" t="s">
        <v>116</v>
      </c>
      <c r="AT203" s="13" t="s">
        <v>3385</v>
      </c>
      <c r="AU203" s="13" t="s">
        <v>2377</v>
      </c>
      <c r="AV203" s="13" t="s">
        <v>827</v>
      </c>
      <c r="AW203" s="39" t="s">
        <v>828</v>
      </c>
      <c r="AX203" s="39" t="s">
        <v>829</v>
      </c>
      <c r="AY203" s="13" t="s">
        <v>3386</v>
      </c>
      <c r="AZ203" s="13" t="s">
        <v>3387</v>
      </c>
      <c r="BA203" s="13" t="s">
        <v>3387</v>
      </c>
      <c r="BB203" s="13" t="s">
        <v>3388</v>
      </c>
      <c r="BC203" s="13" t="s">
        <v>3389</v>
      </c>
      <c r="BD203" s="13">
        <f t="shared" si="7"/>
        <v>58</v>
      </c>
      <c r="BE203" s="17" t="s">
        <v>834</v>
      </c>
      <c r="BF203" s="17" t="s">
        <v>736</v>
      </c>
      <c r="BG203" s="17" t="s">
        <v>751</v>
      </c>
      <c r="BJ203" s="31" t="s">
        <v>1107</v>
      </c>
      <c r="BK203" s="17" t="s">
        <v>2922</v>
      </c>
      <c r="BO203" s="17" t="s">
        <v>2911</v>
      </c>
      <c r="BP203" s="17" t="s">
        <v>2384</v>
      </c>
      <c r="BS203" s="17" t="s">
        <v>127</v>
      </c>
      <c r="BU203" s="17" t="s">
        <v>129</v>
      </c>
      <c r="BX203" s="13" t="s">
        <v>3390</v>
      </c>
      <c r="DA203" s="13" t="s">
        <v>10348</v>
      </c>
      <c r="DB203" s="13" t="s">
        <v>10348</v>
      </c>
    </row>
    <row r="204" spans="1:106" s="13" customFormat="1" ht="12.75" customHeight="1" x14ac:dyDescent="0.2">
      <c r="A204" s="13" t="s">
        <v>102</v>
      </c>
      <c r="B204" s="13" t="s">
        <v>103</v>
      </c>
      <c r="D204" s="13" t="s">
        <v>820</v>
      </c>
      <c r="E204" s="13" t="s">
        <v>471</v>
      </c>
      <c r="F204" s="13" t="s">
        <v>820</v>
      </c>
      <c r="G204" s="13" t="s">
        <v>229</v>
      </c>
      <c r="H204" s="13" t="s">
        <v>227</v>
      </c>
      <c r="J204" s="13" t="s">
        <v>106</v>
      </c>
      <c r="W204" s="13">
        <v>289</v>
      </c>
      <c r="X204" s="13">
        <v>289</v>
      </c>
      <c r="Y204" s="13" t="s">
        <v>107</v>
      </c>
      <c r="Z204" s="13" t="s">
        <v>108</v>
      </c>
      <c r="AA204" s="13" t="s">
        <v>107</v>
      </c>
      <c r="AB204" s="13" t="s">
        <v>3391</v>
      </c>
      <c r="AC204" s="13" t="s">
        <v>3391</v>
      </c>
      <c r="AD204" s="13" t="s">
        <v>3391</v>
      </c>
      <c r="AE204" s="34" t="s">
        <v>112</v>
      </c>
      <c r="AF204" s="13" t="s">
        <v>3391</v>
      </c>
      <c r="AG204" s="13" t="s">
        <v>3391</v>
      </c>
      <c r="AH204" s="39" t="s">
        <v>3392</v>
      </c>
      <c r="AL204" s="13" t="s">
        <v>3393</v>
      </c>
      <c r="AN204" s="13">
        <v>329</v>
      </c>
      <c r="AO204" s="13" t="s">
        <v>3394</v>
      </c>
      <c r="AQ204" s="13" t="s">
        <v>3391</v>
      </c>
      <c r="AR204" s="13" t="s">
        <v>3391</v>
      </c>
      <c r="AS204" s="13" t="s">
        <v>116</v>
      </c>
      <c r="AT204" s="13" t="s">
        <v>3395</v>
      </c>
      <c r="AU204" s="13" t="s">
        <v>2377</v>
      </c>
      <c r="AV204" s="13" t="s">
        <v>827</v>
      </c>
      <c r="AW204" s="39" t="s">
        <v>828</v>
      </c>
      <c r="AX204" s="39" t="s">
        <v>829</v>
      </c>
      <c r="AY204" s="13" t="s">
        <v>3395</v>
      </c>
      <c r="AZ204" s="13" t="s">
        <v>3396</v>
      </c>
      <c r="BA204" s="13" t="s">
        <v>3396</v>
      </c>
      <c r="BB204" s="13" t="s">
        <v>3397</v>
      </c>
      <c r="BC204" s="13" t="s">
        <v>3398</v>
      </c>
      <c r="BD204" s="13">
        <f t="shared" si="7"/>
        <v>60</v>
      </c>
      <c r="BE204" s="17" t="s">
        <v>834</v>
      </c>
      <c r="BF204" s="17" t="s">
        <v>736</v>
      </c>
      <c r="BG204" s="17" t="s">
        <v>924</v>
      </c>
      <c r="BH204" s="17" t="s">
        <v>2382</v>
      </c>
      <c r="BJ204" s="31" t="s">
        <v>1107</v>
      </c>
      <c r="BO204" s="17" t="s">
        <v>2428</v>
      </c>
      <c r="BP204" s="17" t="s">
        <v>2384</v>
      </c>
      <c r="BS204" s="17" t="s">
        <v>127</v>
      </c>
      <c r="BU204" s="17" t="s">
        <v>129</v>
      </c>
      <c r="BX204" s="13" t="s">
        <v>3399</v>
      </c>
      <c r="DA204" s="13" t="s">
        <v>10348</v>
      </c>
      <c r="DB204" s="13" t="s">
        <v>10348</v>
      </c>
    </row>
    <row r="205" spans="1:106" s="13" customFormat="1" ht="12.75" customHeight="1" x14ac:dyDescent="0.2">
      <c r="A205" s="13" t="s">
        <v>102</v>
      </c>
      <c r="B205" s="13" t="s">
        <v>103</v>
      </c>
      <c r="D205" s="13" t="s">
        <v>820</v>
      </c>
      <c r="E205" s="13" t="s">
        <v>471</v>
      </c>
      <c r="F205" s="13" t="s">
        <v>820</v>
      </c>
      <c r="G205" s="13" t="s">
        <v>229</v>
      </c>
      <c r="H205" s="13" t="s">
        <v>227</v>
      </c>
      <c r="J205" s="13" t="s">
        <v>106</v>
      </c>
      <c r="W205" s="13">
        <v>290</v>
      </c>
      <c r="X205" s="13">
        <v>290</v>
      </c>
      <c r="Y205" s="13" t="s">
        <v>107</v>
      </c>
      <c r="Z205" s="13" t="s">
        <v>108</v>
      </c>
      <c r="AA205" s="13" t="s">
        <v>107</v>
      </c>
      <c r="AB205" s="13" t="s">
        <v>3400</v>
      </c>
      <c r="AC205" s="13" t="s">
        <v>3400</v>
      </c>
      <c r="AD205" s="13" t="s">
        <v>3400</v>
      </c>
      <c r="AE205" s="34" t="s">
        <v>112</v>
      </c>
      <c r="AF205" s="13" t="s">
        <v>3400</v>
      </c>
      <c r="AG205" s="13" t="s">
        <v>3400</v>
      </c>
      <c r="AH205" s="39" t="s">
        <v>3401</v>
      </c>
      <c r="AL205" s="13" t="s">
        <v>3402</v>
      </c>
      <c r="AN205" s="13">
        <v>329</v>
      </c>
      <c r="AO205" s="13" t="s">
        <v>3403</v>
      </c>
      <c r="AQ205" s="13" t="s">
        <v>3400</v>
      </c>
      <c r="AR205" s="13" t="s">
        <v>3400</v>
      </c>
      <c r="AS205" s="13" t="s">
        <v>116</v>
      </c>
      <c r="AT205" s="13" t="s">
        <v>3404</v>
      </c>
      <c r="AU205" s="13" t="s">
        <v>2377</v>
      </c>
      <c r="AV205" s="13" t="s">
        <v>827</v>
      </c>
      <c r="AW205" s="39" t="s">
        <v>828</v>
      </c>
      <c r="AX205" s="39" t="s">
        <v>829</v>
      </c>
      <c r="AY205" s="13" t="s">
        <v>3404</v>
      </c>
      <c r="AZ205" s="13" t="s">
        <v>3405</v>
      </c>
      <c r="BA205" s="13" t="s">
        <v>3405</v>
      </c>
      <c r="BB205" s="13" t="s">
        <v>3406</v>
      </c>
      <c r="BC205" s="13" t="s">
        <v>3407</v>
      </c>
      <c r="BD205" s="13">
        <f t="shared" si="7"/>
        <v>54</v>
      </c>
      <c r="BE205" s="17" t="s">
        <v>834</v>
      </c>
      <c r="BF205" s="17" t="s">
        <v>736</v>
      </c>
      <c r="BG205" s="17" t="s">
        <v>751</v>
      </c>
      <c r="BJ205" s="31" t="s">
        <v>3408</v>
      </c>
      <c r="BO205" s="17" t="s">
        <v>2428</v>
      </c>
      <c r="BP205" s="17" t="s">
        <v>2384</v>
      </c>
      <c r="BS205" s="17" t="s">
        <v>127</v>
      </c>
      <c r="BU205" s="17" t="s">
        <v>129</v>
      </c>
      <c r="BX205" s="13" t="s">
        <v>3409</v>
      </c>
      <c r="DA205" s="13" t="s">
        <v>10348</v>
      </c>
      <c r="DB205" s="13" t="s">
        <v>10348</v>
      </c>
    </row>
    <row r="206" spans="1:106" s="13" customFormat="1" ht="12.75" customHeight="1" x14ac:dyDescent="0.2">
      <c r="A206" s="13" t="s">
        <v>102</v>
      </c>
      <c r="B206" s="13" t="s">
        <v>103</v>
      </c>
      <c r="D206" s="13" t="s">
        <v>820</v>
      </c>
      <c r="E206" s="13" t="s">
        <v>471</v>
      </c>
      <c r="F206" s="13" t="s">
        <v>820</v>
      </c>
      <c r="G206" s="13" t="s">
        <v>229</v>
      </c>
      <c r="H206" s="13" t="s">
        <v>227</v>
      </c>
      <c r="J206" s="13" t="s">
        <v>106</v>
      </c>
      <c r="W206" s="13">
        <v>291</v>
      </c>
      <c r="X206" s="13">
        <v>291</v>
      </c>
      <c r="Y206" s="13" t="s">
        <v>107</v>
      </c>
      <c r="Z206" s="13" t="s">
        <v>108</v>
      </c>
      <c r="AA206" s="13" t="s">
        <v>107</v>
      </c>
      <c r="AB206" s="13" t="s">
        <v>3410</v>
      </c>
      <c r="AC206" s="13" t="s">
        <v>3410</v>
      </c>
      <c r="AD206" s="13" t="s">
        <v>3410</v>
      </c>
      <c r="AE206" s="34" t="s">
        <v>112</v>
      </c>
      <c r="AF206" s="13" t="s">
        <v>3410</v>
      </c>
      <c r="AG206" s="13" t="s">
        <v>3410</v>
      </c>
      <c r="AH206" s="39" t="s">
        <v>3411</v>
      </c>
      <c r="AL206" s="13" t="s">
        <v>3412</v>
      </c>
      <c r="AN206" s="13">
        <v>329</v>
      </c>
      <c r="AO206" s="13" t="s">
        <v>3413</v>
      </c>
      <c r="AQ206" s="13" t="s">
        <v>3410</v>
      </c>
      <c r="AR206" s="13" t="s">
        <v>3410</v>
      </c>
      <c r="AS206" s="13" t="s">
        <v>116</v>
      </c>
      <c r="AT206" s="13" t="s">
        <v>3414</v>
      </c>
      <c r="AU206" s="13" t="s">
        <v>2377</v>
      </c>
      <c r="AV206" s="13" t="s">
        <v>827</v>
      </c>
      <c r="AW206" s="39" t="s">
        <v>828</v>
      </c>
      <c r="AX206" s="39" t="s">
        <v>829</v>
      </c>
      <c r="AY206" s="13" t="s">
        <v>3414</v>
      </c>
      <c r="AZ206" s="13" t="s">
        <v>3415</v>
      </c>
      <c r="BA206" s="13" t="s">
        <v>3415</v>
      </c>
      <c r="BB206" s="13" t="s">
        <v>3416</v>
      </c>
      <c r="BC206" s="13" t="s">
        <v>3417</v>
      </c>
      <c r="BD206" s="13">
        <f t="shared" si="7"/>
        <v>56</v>
      </c>
      <c r="BE206" s="17" t="s">
        <v>834</v>
      </c>
      <c r="BF206" s="17" t="s">
        <v>736</v>
      </c>
      <c r="BG206" s="17" t="s">
        <v>924</v>
      </c>
      <c r="BH206" s="17" t="s">
        <v>2382</v>
      </c>
      <c r="BJ206" s="31" t="s">
        <v>3408</v>
      </c>
      <c r="BO206" s="17" t="s">
        <v>2428</v>
      </c>
      <c r="BP206" s="17" t="s">
        <v>2384</v>
      </c>
      <c r="BS206" s="17" t="s">
        <v>127</v>
      </c>
      <c r="BU206" s="17" t="s">
        <v>129</v>
      </c>
      <c r="BX206" s="13" t="s">
        <v>3418</v>
      </c>
      <c r="DA206" s="13" t="s">
        <v>10348</v>
      </c>
      <c r="DB206" s="13" t="s">
        <v>10348</v>
      </c>
    </row>
    <row r="207" spans="1:106" s="13" customFormat="1" ht="12.75" customHeight="1" x14ac:dyDescent="0.2">
      <c r="A207" s="13" t="s">
        <v>102</v>
      </c>
      <c r="B207" s="13" t="s">
        <v>103</v>
      </c>
      <c r="D207" s="13" t="s">
        <v>820</v>
      </c>
      <c r="E207" s="13" t="s">
        <v>471</v>
      </c>
      <c r="F207" s="13" t="s">
        <v>820</v>
      </c>
      <c r="G207" s="13" t="s">
        <v>229</v>
      </c>
      <c r="H207" s="13" t="s">
        <v>227</v>
      </c>
      <c r="J207" s="13" t="s">
        <v>106</v>
      </c>
      <c r="W207" s="13">
        <v>292</v>
      </c>
      <c r="X207" s="13">
        <v>292</v>
      </c>
      <c r="Y207" s="13" t="s">
        <v>107</v>
      </c>
      <c r="Z207" s="13" t="s">
        <v>108</v>
      </c>
      <c r="AA207" s="13" t="s">
        <v>107</v>
      </c>
      <c r="AB207" s="13" t="s">
        <v>3419</v>
      </c>
      <c r="AC207" s="13" t="s">
        <v>3419</v>
      </c>
      <c r="AD207" s="13" t="s">
        <v>3419</v>
      </c>
      <c r="AE207" s="34" t="s">
        <v>112</v>
      </c>
      <c r="AF207" s="13" t="s">
        <v>3419</v>
      </c>
      <c r="AG207" s="13" t="s">
        <v>3419</v>
      </c>
      <c r="AH207" s="39" t="s">
        <v>3420</v>
      </c>
      <c r="AL207" s="13" t="s">
        <v>3421</v>
      </c>
      <c r="AN207" s="13">
        <v>329</v>
      </c>
      <c r="AO207" s="13" t="s">
        <v>3422</v>
      </c>
      <c r="AQ207" s="13" t="s">
        <v>3419</v>
      </c>
      <c r="AR207" s="13" t="s">
        <v>3419</v>
      </c>
      <c r="AS207" s="13" t="s">
        <v>116</v>
      </c>
      <c r="AT207" s="13" t="s">
        <v>3423</v>
      </c>
      <c r="AU207" s="13" t="s">
        <v>2377</v>
      </c>
      <c r="AV207" s="13" t="s">
        <v>827</v>
      </c>
      <c r="AW207" s="39" t="s">
        <v>828</v>
      </c>
      <c r="AX207" s="26" t="s">
        <v>829</v>
      </c>
      <c r="AY207" s="13" t="s">
        <v>3423</v>
      </c>
      <c r="AZ207" s="13" t="s">
        <v>3424</v>
      </c>
      <c r="BA207" s="13" t="s">
        <v>3424</v>
      </c>
      <c r="BB207" s="13" t="s">
        <v>3425</v>
      </c>
      <c r="BC207" s="13" t="s">
        <v>3426</v>
      </c>
      <c r="BD207" s="13">
        <f t="shared" si="7"/>
        <v>54</v>
      </c>
      <c r="BE207" s="17" t="s">
        <v>834</v>
      </c>
      <c r="BF207" s="17" t="s">
        <v>736</v>
      </c>
      <c r="BG207" s="17" t="s">
        <v>751</v>
      </c>
      <c r="BJ207" s="31" t="s">
        <v>3427</v>
      </c>
      <c r="BO207" s="17" t="s">
        <v>2428</v>
      </c>
      <c r="BP207" s="17" t="s">
        <v>2384</v>
      </c>
      <c r="BS207" s="17" t="s">
        <v>127</v>
      </c>
      <c r="BU207" s="17" t="s">
        <v>129</v>
      </c>
      <c r="BX207" s="13" t="s">
        <v>3428</v>
      </c>
      <c r="DA207" s="13" t="s">
        <v>10348</v>
      </c>
      <c r="DB207" s="13" t="s">
        <v>10348</v>
      </c>
    </row>
    <row r="208" spans="1:106" s="13" customFormat="1" ht="12.75" customHeight="1" x14ac:dyDescent="0.2">
      <c r="A208" s="13" t="s">
        <v>102</v>
      </c>
      <c r="B208" s="13" t="s">
        <v>103</v>
      </c>
      <c r="D208" s="13" t="s">
        <v>820</v>
      </c>
      <c r="E208" s="13" t="s">
        <v>471</v>
      </c>
      <c r="F208" s="13" t="s">
        <v>820</v>
      </c>
      <c r="G208" s="13" t="s">
        <v>229</v>
      </c>
      <c r="H208" s="13" t="s">
        <v>227</v>
      </c>
      <c r="J208" s="13" t="s">
        <v>106</v>
      </c>
      <c r="W208" s="13">
        <v>293</v>
      </c>
      <c r="X208" s="13">
        <v>293</v>
      </c>
      <c r="Y208" s="13" t="s">
        <v>107</v>
      </c>
      <c r="Z208" s="13" t="s">
        <v>108</v>
      </c>
      <c r="AA208" s="13" t="s">
        <v>107</v>
      </c>
      <c r="AB208" s="13" t="s">
        <v>3429</v>
      </c>
      <c r="AC208" s="13" t="s">
        <v>3429</v>
      </c>
      <c r="AD208" s="13" t="s">
        <v>3429</v>
      </c>
      <c r="AE208" s="34" t="s">
        <v>112</v>
      </c>
      <c r="AF208" s="13" t="s">
        <v>3429</v>
      </c>
      <c r="AG208" s="13" t="s">
        <v>3429</v>
      </c>
      <c r="AH208" s="39" t="s">
        <v>3430</v>
      </c>
      <c r="AL208" s="13" t="s">
        <v>3431</v>
      </c>
      <c r="AN208" s="13">
        <v>329</v>
      </c>
      <c r="AO208" s="13" t="s">
        <v>3432</v>
      </c>
      <c r="AQ208" s="13" t="s">
        <v>3429</v>
      </c>
      <c r="AR208" s="13" t="s">
        <v>3429</v>
      </c>
      <c r="AS208" s="13" t="s">
        <v>116</v>
      </c>
      <c r="AT208" s="13" t="s">
        <v>3433</v>
      </c>
      <c r="AU208" s="13" t="s">
        <v>2377</v>
      </c>
      <c r="AV208" s="13" t="s">
        <v>827</v>
      </c>
      <c r="AW208" s="39" t="s">
        <v>828</v>
      </c>
      <c r="AX208" s="26" t="s">
        <v>829</v>
      </c>
      <c r="AY208" s="13" t="s">
        <v>3433</v>
      </c>
      <c r="AZ208" s="13" t="s">
        <v>3434</v>
      </c>
      <c r="BA208" s="13" t="s">
        <v>3434</v>
      </c>
      <c r="BB208" s="13" t="s">
        <v>3435</v>
      </c>
      <c r="BC208" s="13" t="s">
        <v>3436</v>
      </c>
      <c r="BD208" s="13">
        <f t="shared" si="7"/>
        <v>58</v>
      </c>
      <c r="BE208" s="17" t="s">
        <v>834</v>
      </c>
      <c r="BF208" s="17" t="s">
        <v>736</v>
      </c>
      <c r="BG208" s="17" t="s">
        <v>924</v>
      </c>
      <c r="BH208" s="17" t="s">
        <v>1082</v>
      </c>
      <c r="BJ208" s="31" t="s">
        <v>3408</v>
      </c>
      <c r="BO208" s="17" t="s">
        <v>2428</v>
      </c>
      <c r="BP208" s="17" t="s">
        <v>2384</v>
      </c>
      <c r="BS208" s="17" t="s">
        <v>127</v>
      </c>
      <c r="BU208" s="17" t="s">
        <v>129</v>
      </c>
      <c r="BX208" s="13" t="s">
        <v>3437</v>
      </c>
      <c r="DA208" s="13" t="s">
        <v>10348</v>
      </c>
      <c r="DB208" s="13" t="s">
        <v>10348</v>
      </c>
    </row>
    <row r="209" spans="1:106" s="13" customFormat="1" ht="12.75" customHeight="1" x14ac:dyDescent="0.2">
      <c r="A209" s="13" t="s">
        <v>102</v>
      </c>
      <c r="B209" s="13" t="s">
        <v>103</v>
      </c>
      <c r="D209" s="13" t="s">
        <v>820</v>
      </c>
      <c r="E209" s="13" t="s">
        <v>471</v>
      </c>
      <c r="F209" s="13" t="s">
        <v>820</v>
      </c>
      <c r="G209" s="13" t="s">
        <v>229</v>
      </c>
      <c r="H209" s="13" t="s">
        <v>227</v>
      </c>
      <c r="J209" s="13" t="s">
        <v>106</v>
      </c>
      <c r="W209" s="13">
        <v>294</v>
      </c>
      <c r="X209" s="13">
        <v>294</v>
      </c>
      <c r="Y209" s="13" t="s">
        <v>107</v>
      </c>
      <c r="Z209" s="13" t="s">
        <v>108</v>
      </c>
      <c r="AA209" s="13" t="s">
        <v>107</v>
      </c>
      <c r="AB209" s="13" t="s">
        <v>3438</v>
      </c>
      <c r="AC209" s="13" t="s">
        <v>3438</v>
      </c>
      <c r="AD209" s="13" t="s">
        <v>3438</v>
      </c>
      <c r="AE209" s="34" t="s">
        <v>112</v>
      </c>
      <c r="AF209" s="13" t="s">
        <v>3438</v>
      </c>
      <c r="AG209" s="13" t="s">
        <v>3438</v>
      </c>
      <c r="AH209" s="39" t="s">
        <v>3439</v>
      </c>
      <c r="AL209" s="13" t="s">
        <v>3440</v>
      </c>
      <c r="AN209" s="13">
        <v>329</v>
      </c>
      <c r="AO209" s="13" t="s">
        <v>3441</v>
      </c>
      <c r="AQ209" s="13" t="s">
        <v>3438</v>
      </c>
      <c r="AR209" s="13" t="s">
        <v>3438</v>
      </c>
      <c r="AS209" s="13" t="s">
        <v>116</v>
      </c>
      <c r="AT209" s="13" t="s">
        <v>3442</v>
      </c>
      <c r="AU209" s="13" t="s">
        <v>2377</v>
      </c>
      <c r="AV209" s="13" t="s">
        <v>827</v>
      </c>
      <c r="AW209" s="39" t="s">
        <v>828</v>
      </c>
      <c r="AX209" s="26" t="s">
        <v>829</v>
      </c>
      <c r="AY209" s="13" t="s">
        <v>3442</v>
      </c>
      <c r="AZ209" s="13" t="s">
        <v>3443</v>
      </c>
      <c r="BA209" s="13" t="s">
        <v>3443</v>
      </c>
      <c r="BB209" s="13" t="s">
        <v>3444</v>
      </c>
      <c r="BC209" s="13" t="s">
        <v>3445</v>
      </c>
      <c r="BD209" s="13">
        <f t="shared" si="7"/>
        <v>54</v>
      </c>
      <c r="BE209" s="17" t="s">
        <v>834</v>
      </c>
      <c r="BF209" s="17" t="s">
        <v>736</v>
      </c>
      <c r="BG209" s="17" t="s">
        <v>751</v>
      </c>
      <c r="BJ209" s="31" t="s">
        <v>3446</v>
      </c>
      <c r="BO209" s="17" t="s">
        <v>2428</v>
      </c>
      <c r="BP209" s="17" t="s">
        <v>2384</v>
      </c>
      <c r="BS209" s="17" t="s">
        <v>127</v>
      </c>
      <c r="BU209" s="17" t="s">
        <v>129</v>
      </c>
      <c r="BX209" s="13" t="s">
        <v>3447</v>
      </c>
      <c r="DA209" s="13" t="s">
        <v>10348</v>
      </c>
      <c r="DB209" s="13" t="s">
        <v>10348</v>
      </c>
    </row>
    <row r="210" spans="1:106" s="13" customFormat="1" ht="12.75" customHeight="1" x14ac:dyDescent="0.2">
      <c r="A210" s="13" t="s">
        <v>102</v>
      </c>
      <c r="B210" s="13" t="s">
        <v>103</v>
      </c>
      <c r="D210" s="13" t="s">
        <v>820</v>
      </c>
      <c r="E210" s="13" t="s">
        <v>471</v>
      </c>
      <c r="F210" s="13" t="s">
        <v>820</v>
      </c>
      <c r="G210" s="13" t="s">
        <v>229</v>
      </c>
      <c r="H210" s="13" t="s">
        <v>227</v>
      </c>
      <c r="J210" s="13" t="s">
        <v>106</v>
      </c>
      <c r="W210" s="13">
        <v>295</v>
      </c>
      <c r="X210" s="13">
        <v>295</v>
      </c>
      <c r="Y210" s="13" t="s">
        <v>107</v>
      </c>
      <c r="Z210" s="13" t="s">
        <v>108</v>
      </c>
      <c r="AA210" s="13" t="s">
        <v>107</v>
      </c>
      <c r="AB210" s="13" t="s">
        <v>3448</v>
      </c>
      <c r="AC210" s="13" t="s">
        <v>3448</v>
      </c>
      <c r="AD210" s="13" t="s">
        <v>3448</v>
      </c>
      <c r="AE210" s="34" t="s">
        <v>112</v>
      </c>
      <c r="AF210" s="13" t="s">
        <v>3448</v>
      </c>
      <c r="AG210" s="13" t="s">
        <v>3448</v>
      </c>
      <c r="AH210" s="39" t="s">
        <v>3449</v>
      </c>
      <c r="AL210" s="13" t="s">
        <v>3450</v>
      </c>
      <c r="AN210" s="13">
        <v>329</v>
      </c>
      <c r="AO210" s="13" t="s">
        <v>3451</v>
      </c>
      <c r="AQ210" s="13" t="s">
        <v>3448</v>
      </c>
      <c r="AR210" s="13" t="s">
        <v>3448</v>
      </c>
      <c r="AS210" s="13" t="s">
        <v>116</v>
      </c>
      <c r="AT210" s="13" t="s">
        <v>3452</v>
      </c>
      <c r="AU210" s="13" t="s">
        <v>2377</v>
      </c>
      <c r="AV210" s="13" t="s">
        <v>827</v>
      </c>
      <c r="AW210" s="39" t="s">
        <v>828</v>
      </c>
      <c r="AX210" s="26" t="s">
        <v>829</v>
      </c>
      <c r="AY210" s="13" t="s">
        <v>3452</v>
      </c>
      <c r="AZ210" s="13" t="s">
        <v>3453</v>
      </c>
      <c r="BA210" s="13" t="s">
        <v>3453</v>
      </c>
      <c r="BB210" s="13" t="s">
        <v>3454</v>
      </c>
      <c r="BC210" s="13" t="s">
        <v>3455</v>
      </c>
      <c r="BD210" s="13">
        <f t="shared" ref="BD210:BD241" si="8">LEN(SUBSTITUTE(BC210, ", "," "))</f>
        <v>54</v>
      </c>
      <c r="BE210" s="17" t="s">
        <v>834</v>
      </c>
      <c r="BF210" s="17" t="s">
        <v>736</v>
      </c>
      <c r="BG210" s="17" t="s">
        <v>751</v>
      </c>
      <c r="BJ210" s="31" t="s">
        <v>2965</v>
      </c>
      <c r="BO210" s="17" t="s">
        <v>2428</v>
      </c>
      <c r="BP210" s="17" t="s">
        <v>2384</v>
      </c>
      <c r="BS210" s="17" t="s">
        <v>127</v>
      </c>
      <c r="BU210" s="17" t="s">
        <v>129</v>
      </c>
      <c r="BX210" s="13" t="s">
        <v>3456</v>
      </c>
      <c r="DA210" s="13" t="s">
        <v>10348</v>
      </c>
      <c r="DB210" s="13" t="s">
        <v>10348</v>
      </c>
    </row>
    <row r="211" spans="1:106" s="13" customFormat="1" ht="12.75" customHeight="1" x14ac:dyDescent="0.2">
      <c r="A211" s="13" t="s">
        <v>102</v>
      </c>
      <c r="B211" s="13" t="s">
        <v>103</v>
      </c>
      <c r="D211" s="13" t="s">
        <v>820</v>
      </c>
      <c r="E211" s="13" t="s">
        <v>471</v>
      </c>
      <c r="F211" s="13" t="s">
        <v>820</v>
      </c>
      <c r="G211" s="13" t="s">
        <v>229</v>
      </c>
      <c r="H211" s="13" t="s">
        <v>227</v>
      </c>
      <c r="J211" s="13" t="s">
        <v>106</v>
      </c>
      <c r="W211" s="13">
        <v>296</v>
      </c>
      <c r="X211" s="13">
        <v>296</v>
      </c>
      <c r="Y211" s="13" t="s">
        <v>107</v>
      </c>
      <c r="Z211" s="13" t="s">
        <v>108</v>
      </c>
      <c r="AA211" s="13" t="s">
        <v>107</v>
      </c>
      <c r="AB211" s="13" t="s">
        <v>3457</v>
      </c>
      <c r="AC211" s="13" t="s">
        <v>3457</v>
      </c>
      <c r="AD211" s="13" t="s">
        <v>3457</v>
      </c>
      <c r="AE211" s="34" t="s">
        <v>112</v>
      </c>
      <c r="AF211" s="13" t="s">
        <v>3457</v>
      </c>
      <c r="AG211" s="13" t="s">
        <v>3457</v>
      </c>
      <c r="AH211" s="39" t="s">
        <v>3458</v>
      </c>
      <c r="AL211" s="13" t="s">
        <v>3459</v>
      </c>
      <c r="AN211" s="13">
        <v>329</v>
      </c>
      <c r="AO211" s="13" t="s">
        <v>3460</v>
      </c>
      <c r="AQ211" s="13" t="s">
        <v>3457</v>
      </c>
      <c r="AR211" s="13" t="s">
        <v>3457</v>
      </c>
      <c r="AS211" s="13" t="s">
        <v>116</v>
      </c>
      <c r="AT211" s="13" t="s">
        <v>3461</v>
      </c>
      <c r="AU211" s="13" t="s">
        <v>2377</v>
      </c>
      <c r="AV211" s="13" t="s">
        <v>827</v>
      </c>
      <c r="AW211" s="39" t="s">
        <v>828</v>
      </c>
      <c r="AX211" s="39" t="s">
        <v>829</v>
      </c>
      <c r="AY211" s="13" t="s">
        <v>3461</v>
      </c>
      <c r="AZ211" s="13" t="s">
        <v>3462</v>
      </c>
      <c r="BA211" s="13" t="s">
        <v>3462</v>
      </c>
      <c r="BB211" s="13" t="s">
        <v>3463</v>
      </c>
      <c r="BC211" s="13" t="s">
        <v>3464</v>
      </c>
      <c r="BD211" s="13">
        <f t="shared" si="8"/>
        <v>60</v>
      </c>
      <c r="BE211" s="17" t="s">
        <v>834</v>
      </c>
      <c r="BF211" s="17" t="s">
        <v>736</v>
      </c>
      <c r="BG211" s="17" t="s">
        <v>924</v>
      </c>
      <c r="BH211" s="17" t="s">
        <v>2382</v>
      </c>
      <c r="BJ211" s="31" t="s">
        <v>3465</v>
      </c>
      <c r="BO211" s="17" t="s">
        <v>2428</v>
      </c>
      <c r="BP211" s="17" t="s">
        <v>2384</v>
      </c>
      <c r="BS211" s="17" t="s">
        <v>127</v>
      </c>
      <c r="BU211" s="17" t="s">
        <v>129</v>
      </c>
      <c r="BX211" s="13" t="s">
        <v>3466</v>
      </c>
      <c r="DA211" s="13" t="s">
        <v>10348</v>
      </c>
      <c r="DB211" s="13" t="s">
        <v>10348</v>
      </c>
    </row>
    <row r="212" spans="1:106" s="13" customFormat="1" ht="12.75" customHeight="1" x14ac:dyDescent="0.2">
      <c r="A212" s="13" t="s">
        <v>102</v>
      </c>
      <c r="B212" s="13" t="s">
        <v>103</v>
      </c>
      <c r="D212" s="13" t="s">
        <v>820</v>
      </c>
      <c r="E212" s="13" t="s">
        <v>471</v>
      </c>
      <c r="F212" s="13" t="s">
        <v>820</v>
      </c>
      <c r="G212" s="13" t="s">
        <v>229</v>
      </c>
      <c r="H212" s="13" t="s">
        <v>227</v>
      </c>
      <c r="J212" s="13" t="s">
        <v>106</v>
      </c>
      <c r="W212" s="13">
        <v>297</v>
      </c>
      <c r="X212" s="13">
        <v>297</v>
      </c>
      <c r="Y212" s="13" t="s">
        <v>107</v>
      </c>
      <c r="Z212" s="13" t="s">
        <v>108</v>
      </c>
      <c r="AA212" s="13" t="s">
        <v>107</v>
      </c>
      <c r="AB212" s="13" t="s">
        <v>3467</v>
      </c>
      <c r="AC212" s="13" t="s">
        <v>3467</v>
      </c>
      <c r="AD212" s="13" t="s">
        <v>3467</v>
      </c>
      <c r="AE212" s="34" t="s">
        <v>112</v>
      </c>
      <c r="AF212" s="13" t="s">
        <v>3467</v>
      </c>
      <c r="AG212" s="13" t="s">
        <v>3467</v>
      </c>
      <c r="AH212" s="39" t="s">
        <v>3468</v>
      </c>
      <c r="AL212" s="13" t="s">
        <v>3469</v>
      </c>
      <c r="AN212" s="13">
        <v>329</v>
      </c>
      <c r="AO212" s="13" t="s">
        <v>3470</v>
      </c>
      <c r="AQ212" s="13" t="s">
        <v>3467</v>
      </c>
      <c r="AR212" s="13" t="s">
        <v>3467</v>
      </c>
      <c r="AS212" s="13" t="s">
        <v>116</v>
      </c>
      <c r="AT212" s="13" t="s">
        <v>3471</v>
      </c>
      <c r="AU212" s="13" t="s">
        <v>2377</v>
      </c>
      <c r="AV212" s="13" t="s">
        <v>827</v>
      </c>
      <c r="AW212" s="39" t="s">
        <v>828</v>
      </c>
      <c r="AX212" s="39" t="s">
        <v>829</v>
      </c>
      <c r="AY212" s="13" t="s">
        <v>3472</v>
      </c>
      <c r="AZ212" s="13" t="s">
        <v>3443</v>
      </c>
      <c r="BA212" s="13" t="s">
        <v>3473</v>
      </c>
      <c r="BB212" s="13" t="s">
        <v>3444</v>
      </c>
      <c r="BC212" s="13" t="s">
        <v>3474</v>
      </c>
      <c r="BD212" s="13">
        <f t="shared" si="8"/>
        <v>57</v>
      </c>
      <c r="BE212" s="17" t="s">
        <v>834</v>
      </c>
      <c r="BF212" s="17" t="s">
        <v>736</v>
      </c>
      <c r="BG212" s="17" t="s">
        <v>751</v>
      </c>
      <c r="BJ212" s="31" t="s">
        <v>3446</v>
      </c>
      <c r="BO212" s="17" t="s">
        <v>2428</v>
      </c>
      <c r="BP212" s="17" t="s">
        <v>2384</v>
      </c>
      <c r="BS212" s="17" t="s">
        <v>127</v>
      </c>
      <c r="BU212" s="17" t="s">
        <v>129</v>
      </c>
      <c r="BX212" s="13" t="s">
        <v>3475</v>
      </c>
      <c r="CA212" s="13" t="s">
        <v>3075</v>
      </c>
      <c r="DA212" s="13" t="s">
        <v>10348</v>
      </c>
      <c r="DB212" s="13" t="s">
        <v>10348</v>
      </c>
    </row>
    <row r="213" spans="1:106" s="13" customFormat="1" ht="12.75" customHeight="1" x14ac:dyDescent="0.2">
      <c r="A213" s="13" t="s">
        <v>102</v>
      </c>
      <c r="B213" s="13" t="s">
        <v>103</v>
      </c>
      <c r="D213" s="13" t="s">
        <v>820</v>
      </c>
      <c r="E213" s="13" t="s">
        <v>471</v>
      </c>
      <c r="F213" s="13" t="s">
        <v>820</v>
      </c>
      <c r="G213" s="13" t="s">
        <v>229</v>
      </c>
      <c r="H213" s="13" t="s">
        <v>227</v>
      </c>
      <c r="J213" s="13" t="s">
        <v>106</v>
      </c>
      <c r="W213" s="13">
        <v>298</v>
      </c>
      <c r="X213" s="13">
        <v>298</v>
      </c>
      <c r="Y213" s="13" t="s">
        <v>107</v>
      </c>
      <c r="Z213" s="13" t="s">
        <v>108</v>
      </c>
      <c r="AA213" s="13" t="s">
        <v>107</v>
      </c>
      <c r="AB213" s="13" t="s">
        <v>3476</v>
      </c>
      <c r="AC213" s="13" t="s">
        <v>3476</v>
      </c>
      <c r="AD213" s="13" t="s">
        <v>3476</v>
      </c>
      <c r="AE213" s="34" t="s">
        <v>112</v>
      </c>
      <c r="AF213" s="13" t="s">
        <v>3476</v>
      </c>
      <c r="AG213" s="13" t="s">
        <v>3476</v>
      </c>
      <c r="AH213" s="39" t="s">
        <v>3477</v>
      </c>
      <c r="AL213" s="13" t="s">
        <v>3478</v>
      </c>
      <c r="AN213" s="13">
        <v>329</v>
      </c>
      <c r="AO213" s="13" t="s">
        <v>3479</v>
      </c>
      <c r="AQ213" s="13" t="s">
        <v>3476</v>
      </c>
      <c r="AR213" s="13" t="s">
        <v>3476</v>
      </c>
      <c r="AS213" s="13" t="s">
        <v>116</v>
      </c>
      <c r="AT213" s="13" t="s">
        <v>3480</v>
      </c>
      <c r="AU213" s="13" t="s">
        <v>2377</v>
      </c>
      <c r="AV213" s="13" t="s">
        <v>827</v>
      </c>
      <c r="AW213" s="39" t="s">
        <v>828</v>
      </c>
      <c r="AX213" s="39" t="s">
        <v>829</v>
      </c>
      <c r="AY213" s="13" t="s">
        <v>3481</v>
      </c>
      <c r="AZ213" s="13" t="s">
        <v>3482</v>
      </c>
      <c r="BA213" s="13" t="s">
        <v>3482</v>
      </c>
      <c r="BB213" s="13" t="s">
        <v>3483</v>
      </c>
      <c r="BC213" s="13" t="s">
        <v>3484</v>
      </c>
      <c r="BD213" s="13">
        <f t="shared" si="8"/>
        <v>57</v>
      </c>
      <c r="BE213" s="17" t="s">
        <v>834</v>
      </c>
      <c r="BF213" s="17" t="s">
        <v>736</v>
      </c>
      <c r="BG213" s="17" t="s">
        <v>924</v>
      </c>
      <c r="BH213" s="17" t="s">
        <v>2382</v>
      </c>
      <c r="BJ213" s="31" t="s">
        <v>3485</v>
      </c>
      <c r="BK213" s="17" t="s">
        <v>2922</v>
      </c>
      <c r="BO213" s="17" t="s">
        <v>2911</v>
      </c>
      <c r="BP213" s="17" t="s">
        <v>2384</v>
      </c>
      <c r="BS213" s="17" t="s">
        <v>127</v>
      </c>
      <c r="BU213" s="17" t="s">
        <v>129</v>
      </c>
      <c r="BX213" s="13" t="s">
        <v>3486</v>
      </c>
      <c r="DA213" s="13" t="s">
        <v>10348</v>
      </c>
      <c r="DB213" s="13" t="s">
        <v>10348</v>
      </c>
    </row>
    <row r="214" spans="1:106" s="13" customFormat="1" ht="12.75" customHeight="1" x14ac:dyDescent="0.2">
      <c r="A214" s="13" t="s">
        <v>102</v>
      </c>
      <c r="B214" s="13" t="s">
        <v>103</v>
      </c>
      <c r="D214" s="13" t="s">
        <v>820</v>
      </c>
      <c r="E214" s="13" t="s">
        <v>471</v>
      </c>
      <c r="F214" s="13" t="s">
        <v>820</v>
      </c>
      <c r="G214" s="13" t="s">
        <v>229</v>
      </c>
      <c r="H214" s="13" t="s">
        <v>227</v>
      </c>
      <c r="J214" s="13" t="s">
        <v>106</v>
      </c>
      <c r="W214" s="13">
        <v>299</v>
      </c>
      <c r="X214" s="13">
        <v>299</v>
      </c>
      <c r="Y214" s="13" t="s">
        <v>107</v>
      </c>
      <c r="Z214" s="13" t="s">
        <v>108</v>
      </c>
      <c r="AA214" s="13" t="s">
        <v>107</v>
      </c>
      <c r="AB214" s="13" t="s">
        <v>3487</v>
      </c>
      <c r="AC214" s="13" t="s">
        <v>3487</v>
      </c>
      <c r="AD214" s="13" t="s">
        <v>3487</v>
      </c>
      <c r="AE214" s="34" t="s">
        <v>112</v>
      </c>
      <c r="AF214" s="13" t="s">
        <v>3487</v>
      </c>
      <c r="AG214" s="13" t="s">
        <v>3487</v>
      </c>
      <c r="AH214" s="39" t="s">
        <v>3488</v>
      </c>
      <c r="AL214" s="13" t="s">
        <v>3489</v>
      </c>
      <c r="AN214" s="13">
        <v>329</v>
      </c>
      <c r="AO214" s="13" t="s">
        <v>3490</v>
      </c>
      <c r="AQ214" s="13" t="s">
        <v>3487</v>
      </c>
      <c r="AR214" s="13" t="s">
        <v>3487</v>
      </c>
      <c r="AS214" s="13" t="s">
        <v>116</v>
      </c>
      <c r="AT214" s="13" t="s">
        <v>3491</v>
      </c>
      <c r="AU214" s="13" t="s">
        <v>2377</v>
      </c>
      <c r="AV214" s="13" t="s">
        <v>827</v>
      </c>
      <c r="AW214" s="39" t="s">
        <v>828</v>
      </c>
      <c r="AX214" s="39" t="s">
        <v>829</v>
      </c>
      <c r="AY214" s="13" t="s">
        <v>3492</v>
      </c>
      <c r="AZ214" s="13" t="s">
        <v>3493</v>
      </c>
      <c r="BA214" s="13" t="s">
        <v>3493</v>
      </c>
      <c r="BB214" s="13" t="s">
        <v>3494</v>
      </c>
      <c r="BC214" s="13" t="s">
        <v>3495</v>
      </c>
      <c r="BD214" s="13">
        <f t="shared" si="8"/>
        <v>53</v>
      </c>
      <c r="BE214" s="17" t="s">
        <v>834</v>
      </c>
      <c r="BF214" s="17" t="s">
        <v>736</v>
      </c>
      <c r="BG214" s="17" t="s">
        <v>751</v>
      </c>
      <c r="BJ214" s="31" t="s">
        <v>3485</v>
      </c>
      <c r="BO214" s="17" t="s">
        <v>2428</v>
      </c>
      <c r="BP214" s="17" t="s">
        <v>2384</v>
      </c>
      <c r="BS214" s="17" t="s">
        <v>127</v>
      </c>
      <c r="BU214" s="17" t="s">
        <v>129</v>
      </c>
      <c r="BX214" s="13" t="s">
        <v>3496</v>
      </c>
      <c r="DA214" s="13" t="s">
        <v>10348</v>
      </c>
      <c r="DB214" s="13" t="s">
        <v>10348</v>
      </c>
    </row>
    <row r="215" spans="1:106" s="13" customFormat="1" ht="12.75" customHeight="1" x14ac:dyDescent="0.2">
      <c r="A215" s="13" t="s">
        <v>102</v>
      </c>
      <c r="B215" s="13" t="s">
        <v>103</v>
      </c>
      <c r="D215" s="13" t="s">
        <v>820</v>
      </c>
      <c r="E215" s="13" t="s">
        <v>471</v>
      </c>
      <c r="F215" s="13" t="s">
        <v>820</v>
      </c>
      <c r="G215" s="13" t="s">
        <v>229</v>
      </c>
      <c r="H215" s="13" t="s">
        <v>227</v>
      </c>
      <c r="J215" s="13" t="s">
        <v>106</v>
      </c>
      <c r="W215" s="13">
        <v>300</v>
      </c>
      <c r="X215" s="13">
        <v>300</v>
      </c>
      <c r="Y215" s="13" t="s">
        <v>107</v>
      </c>
      <c r="Z215" s="13" t="s">
        <v>108</v>
      </c>
      <c r="AA215" s="13" t="s">
        <v>107</v>
      </c>
      <c r="AB215" s="13" t="s">
        <v>3497</v>
      </c>
      <c r="AC215" s="13" t="s">
        <v>3497</v>
      </c>
      <c r="AD215" s="13" t="s">
        <v>3497</v>
      </c>
      <c r="AE215" s="34" t="s">
        <v>112</v>
      </c>
      <c r="AF215" s="13" t="s">
        <v>3497</v>
      </c>
      <c r="AG215" s="13" t="s">
        <v>3497</v>
      </c>
      <c r="AH215" s="39" t="s">
        <v>3498</v>
      </c>
      <c r="AL215" s="13" t="s">
        <v>3499</v>
      </c>
      <c r="AN215" s="13">
        <v>329</v>
      </c>
      <c r="AO215" s="13" t="s">
        <v>3500</v>
      </c>
      <c r="AQ215" s="13" t="s">
        <v>3497</v>
      </c>
      <c r="AR215" s="13" t="s">
        <v>3497</v>
      </c>
      <c r="AS215" s="13" t="s">
        <v>116</v>
      </c>
      <c r="AT215" s="13" t="s">
        <v>3501</v>
      </c>
      <c r="AU215" s="13" t="s">
        <v>2377</v>
      </c>
      <c r="AV215" s="13" t="s">
        <v>827</v>
      </c>
      <c r="AW215" s="39" t="s">
        <v>828</v>
      </c>
      <c r="AX215" s="39" t="s">
        <v>829</v>
      </c>
      <c r="AY215" s="13" t="s">
        <v>3501</v>
      </c>
      <c r="AZ215" s="13" t="s">
        <v>3502</v>
      </c>
      <c r="BA215" s="13" t="s">
        <v>3502</v>
      </c>
      <c r="BB215" s="13" t="s">
        <v>3503</v>
      </c>
      <c r="BC215" s="13" t="s">
        <v>3504</v>
      </c>
      <c r="BD215" s="13">
        <f t="shared" si="8"/>
        <v>59</v>
      </c>
      <c r="BE215" s="17" t="s">
        <v>834</v>
      </c>
      <c r="BF215" s="17" t="s">
        <v>736</v>
      </c>
      <c r="BG215" s="17" t="s">
        <v>2855</v>
      </c>
      <c r="BH215" s="17" t="s">
        <v>2382</v>
      </c>
      <c r="BJ215" s="31" t="s">
        <v>2944</v>
      </c>
      <c r="BO215" s="17" t="s">
        <v>2856</v>
      </c>
      <c r="BP215" s="17" t="s">
        <v>2384</v>
      </c>
      <c r="BS215" s="17" t="s">
        <v>127</v>
      </c>
      <c r="BU215" s="17" t="s">
        <v>129</v>
      </c>
      <c r="BX215" s="13" t="s">
        <v>3505</v>
      </c>
      <c r="DA215" s="13" t="s">
        <v>10348</v>
      </c>
      <c r="DB215" s="13" t="s">
        <v>10348</v>
      </c>
    </row>
    <row r="216" spans="1:106" s="13" customFormat="1" ht="12.75" customHeight="1" x14ac:dyDescent="0.2">
      <c r="A216" s="13" t="s">
        <v>102</v>
      </c>
      <c r="B216" s="13" t="s">
        <v>103</v>
      </c>
      <c r="D216" s="13" t="s">
        <v>820</v>
      </c>
      <c r="E216" s="13" t="s">
        <v>471</v>
      </c>
      <c r="F216" s="13" t="s">
        <v>820</v>
      </c>
      <c r="G216" s="13" t="s">
        <v>229</v>
      </c>
      <c r="H216" s="13" t="s">
        <v>227</v>
      </c>
      <c r="J216" s="13" t="s">
        <v>106</v>
      </c>
      <c r="W216" s="13">
        <v>301</v>
      </c>
      <c r="X216" s="13">
        <v>301</v>
      </c>
      <c r="Y216" s="13" t="s">
        <v>107</v>
      </c>
      <c r="Z216" s="13" t="s">
        <v>108</v>
      </c>
      <c r="AA216" s="13" t="s">
        <v>107</v>
      </c>
      <c r="AB216" s="13" t="s">
        <v>3506</v>
      </c>
      <c r="AC216" s="13" t="s">
        <v>3506</v>
      </c>
      <c r="AD216" s="13" t="s">
        <v>3506</v>
      </c>
      <c r="AE216" s="34" t="s">
        <v>112</v>
      </c>
      <c r="AF216" s="13" t="s">
        <v>3506</v>
      </c>
      <c r="AG216" s="13" t="s">
        <v>3506</v>
      </c>
      <c r="AH216" s="39" t="s">
        <v>3507</v>
      </c>
      <c r="AL216" s="13" t="s">
        <v>3508</v>
      </c>
      <c r="AN216" s="13">
        <v>329</v>
      </c>
      <c r="AO216" s="13" t="s">
        <v>3509</v>
      </c>
      <c r="AQ216" s="13" t="s">
        <v>3506</v>
      </c>
      <c r="AR216" s="13" t="s">
        <v>3506</v>
      </c>
      <c r="AS216" s="13" t="s">
        <v>116</v>
      </c>
      <c r="AT216" s="13" t="s">
        <v>3510</v>
      </c>
      <c r="AU216" s="13" t="s">
        <v>2377</v>
      </c>
      <c r="AV216" s="13" t="s">
        <v>827</v>
      </c>
      <c r="AW216" s="39" t="s">
        <v>828</v>
      </c>
      <c r="AX216" s="39" t="s">
        <v>829</v>
      </c>
      <c r="AY216" s="13" t="s">
        <v>3510</v>
      </c>
      <c r="AZ216" s="13" t="s">
        <v>3511</v>
      </c>
      <c r="BA216" s="13" t="s">
        <v>3511</v>
      </c>
      <c r="BB216" s="13" t="s">
        <v>3512</v>
      </c>
      <c r="BC216" s="13" t="s">
        <v>3513</v>
      </c>
      <c r="BD216" s="13">
        <f t="shared" si="8"/>
        <v>54</v>
      </c>
      <c r="BE216" s="17" t="s">
        <v>834</v>
      </c>
      <c r="BF216" s="17" t="s">
        <v>736</v>
      </c>
      <c r="BG216" s="17" t="s">
        <v>751</v>
      </c>
      <c r="BJ216" s="31" t="s">
        <v>3357</v>
      </c>
      <c r="BO216" s="17" t="s">
        <v>2428</v>
      </c>
      <c r="BP216" s="17" t="s">
        <v>2384</v>
      </c>
      <c r="BS216" s="17" t="s">
        <v>127</v>
      </c>
      <c r="BU216" s="17" t="s">
        <v>129</v>
      </c>
      <c r="BX216" s="13" t="s">
        <v>3514</v>
      </c>
      <c r="DA216" s="13" t="s">
        <v>10348</v>
      </c>
      <c r="DB216" s="13" t="s">
        <v>10348</v>
      </c>
    </row>
    <row r="217" spans="1:106" s="13" customFormat="1" ht="12.75" customHeight="1" x14ac:dyDescent="0.2">
      <c r="A217" s="13" t="s">
        <v>102</v>
      </c>
      <c r="B217" s="13" t="s">
        <v>103</v>
      </c>
      <c r="D217" s="13" t="s">
        <v>820</v>
      </c>
      <c r="E217" s="13" t="s">
        <v>471</v>
      </c>
      <c r="F217" s="13" t="s">
        <v>820</v>
      </c>
      <c r="G217" s="13" t="s">
        <v>229</v>
      </c>
      <c r="H217" s="13" t="s">
        <v>227</v>
      </c>
      <c r="J217" s="13" t="s">
        <v>106</v>
      </c>
      <c r="W217" s="13">
        <v>302</v>
      </c>
      <c r="X217" s="13">
        <v>302</v>
      </c>
      <c r="Y217" s="13" t="s">
        <v>107</v>
      </c>
      <c r="Z217" s="13" t="s">
        <v>108</v>
      </c>
      <c r="AA217" s="13" t="s">
        <v>107</v>
      </c>
      <c r="AB217" s="13" t="s">
        <v>3515</v>
      </c>
      <c r="AC217" s="13" t="s">
        <v>3515</v>
      </c>
      <c r="AD217" s="13" t="s">
        <v>3515</v>
      </c>
      <c r="AE217" s="34" t="s">
        <v>112</v>
      </c>
      <c r="AF217" s="13" t="s">
        <v>3515</v>
      </c>
      <c r="AG217" s="13" t="s">
        <v>3515</v>
      </c>
      <c r="AH217" s="39" t="s">
        <v>3516</v>
      </c>
      <c r="AL217" s="13" t="s">
        <v>3517</v>
      </c>
      <c r="AN217" s="13">
        <v>329</v>
      </c>
      <c r="AO217" s="13" t="s">
        <v>3518</v>
      </c>
      <c r="AQ217" s="13" t="s">
        <v>3515</v>
      </c>
      <c r="AR217" s="13" t="s">
        <v>3515</v>
      </c>
      <c r="AS217" s="13" t="s">
        <v>116</v>
      </c>
      <c r="AT217" s="13" t="s">
        <v>3519</v>
      </c>
      <c r="AU217" s="13" t="s">
        <v>2377</v>
      </c>
      <c r="AV217" s="13" t="s">
        <v>827</v>
      </c>
      <c r="AW217" s="39" t="s">
        <v>828</v>
      </c>
      <c r="AX217" s="39" t="s">
        <v>829</v>
      </c>
      <c r="AY217" s="13" t="s">
        <v>3520</v>
      </c>
      <c r="AZ217" s="13" t="s">
        <v>3521</v>
      </c>
      <c r="BA217" s="13" t="s">
        <v>3521</v>
      </c>
      <c r="BB217" s="13" t="s">
        <v>3522</v>
      </c>
      <c r="BC217" s="13" t="s">
        <v>3523</v>
      </c>
      <c r="BD217" s="13">
        <f t="shared" si="8"/>
        <v>58</v>
      </c>
      <c r="BE217" s="17" t="s">
        <v>834</v>
      </c>
      <c r="BF217" s="17" t="s">
        <v>736</v>
      </c>
      <c r="BG217" s="17" t="s">
        <v>924</v>
      </c>
      <c r="BH217" s="17" t="s">
        <v>2382</v>
      </c>
      <c r="BJ217" s="31" t="s">
        <v>3446</v>
      </c>
      <c r="BK217" s="17" t="s">
        <v>2922</v>
      </c>
      <c r="BO217" s="17" t="s">
        <v>2911</v>
      </c>
      <c r="BP217" s="17" t="s">
        <v>2384</v>
      </c>
      <c r="BS217" s="17" t="s">
        <v>127</v>
      </c>
      <c r="BU217" s="17" t="s">
        <v>129</v>
      </c>
      <c r="BX217" s="13" t="s">
        <v>3524</v>
      </c>
      <c r="DA217" s="13" t="s">
        <v>10348</v>
      </c>
      <c r="DB217" s="13" t="s">
        <v>10348</v>
      </c>
    </row>
    <row r="218" spans="1:106" s="13" customFormat="1" ht="12.75" customHeight="1" x14ac:dyDescent="0.2">
      <c r="A218" s="13" t="s">
        <v>102</v>
      </c>
      <c r="B218" s="13" t="s">
        <v>103</v>
      </c>
      <c r="D218" s="13" t="s">
        <v>820</v>
      </c>
      <c r="E218" s="13" t="s">
        <v>471</v>
      </c>
      <c r="F218" s="13" t="s">
        <v>820</v>
      </c>
      <c r="G218" s="13" t="s">
        <v>229</v>
      </c>
      <c r="H218" s="13" t="s">
        <v>227</v>
      </c>
      <c r="J218" s="13" t="s">
        <v>106</v>
      </c>
      <c r="W218" s="13">
        <v>303</v>
      </c>
      <c r="X218" s="13">
        <v>303</v>
      </c>
      <c r="Y218" s="13" t="s">
        <v>107</v>
      </c>
      <c r="Z218" s="13" t="s">
        <v>108</v>
      </c>
      <c r="AA218" s="13" t="s">
        <v>107</v>
      </c>
      <c r="AB218" s="13" t="s">
        <v>3525</v>
      </c>
      <c r="AC218" s="13" t="s">
        <v>3525</v>
      </c>
      <c r="AD218" s="13" t="s">
        <v>3525</v>
      </c>
      <c r="AE218" s="34" t="s">
        <v>112</v>
      </c>
      <c r="AF218" s="13" t="s">
        <v>3525</v>
      </c>
      <c r="AG218" s="13" t="s">
        <v>3525</v>
      </c>
      <c r="AH218" s="39" t="s">
        <v>3526</v>
      </c>
      <c r="AL218" s="13" t="s">
        <v>3527</v>
      </c>
      <c r="AN218" s="13">
        <v>329</v>
      </c>
      <c r="AO218" s="13" t="s">
        <v>3528</v>
      </c>
      <c r="AQ218" s="13" t="s">
        <v>3525</v>
      </c>
      <c r="AR218" s="13" t="s">
        <v>3525</v>
      </c>
      <c r="AS218" s="13" t="s">
        <v>116</v>
      </c>
      <c r="AT218" s="13" t="s">
        <v>3529</v>
      </c>
      <c r="AU218" s="13" t="s">
        <v>2377</v>
      </c>
      <c r="AV218" s="13" t="s">
        <v>827</v>
      </c>
      <c r="AW218" s="39" t="s">
        <v>828</v>
      </c>
      <c r="AX218" s="39" t="s">
        <v>829</v>
      </c>
      <c r="AY218" s="13" t="s">
        <v>3530</v>
      </c>
      <c r="AZ218" s="13" t="s">
        <v>3531</v>
      </c>
      <c r="BA218" s="13" t="s">
        <v>3531</v>
      </c>
      <c r="BB218" s="13" t="s">
        <v>3532</v>
      </c>
      <c r="BC218" s="13" t="s">
        <v>3533</v>
      </c>
      <c r="BD218" s="13">
        <f t="shared" si="8"/>
        <v>53</v>
      </c>
      <c r="BE218" s="17" t="s">
        <v>834</v>
      </c>
      <c r="BF218" s="17" t="s">
        <v>736</v>
      </c>
      <c r="BG218" s="17" t="s">
        <v>751</v>
      </c>
      <c r="BJ218" s="31" t="s">
        <v>3534</v>
      </c>
      <c r="BO218" s="17" t="s">
        <v>2428</v>
      </c>
      <c r="BP218" s="17" t="s">
        <v>2384</v>
      </c>
      <c r="BS218" s="17" t="s">
        <v>127</v>
      </c>
      <c r="BU218" s="17" t="s">
        <v>129</v>
      </c>
      <c r="BX218" s="13" t="s">
        <v>3535</v>
      </c>
      <c r="DA218" s="13" t="s">
        <v>10348</v>
      </c>
      <c r="DB218" s="13" t="s">
        <v>10348</v>
      </c>
    </row>
    <row r="219" spans="1:106" s="13" customFormat="1" ht="12.75" customHeight="1" x14ac:dyDescent="0.2">
      <c r="A219" s="13" t="s">
        <v>102</v>
      </c>
      <c r="B219" s="13" t="s">
        <v>103</v>
      </c>
      <c r="D219" s="13" t="s">
        <v>820</v>
      </c>
      <c r="E219" s="13" t="s">
        <v>471</v>
      </c>
      <c r="F219" s="13" t="s">
        <v>820</v>
      </c>
      <c r="G219" s="13" t="s">
        <v>229</v>
      </c>
      <c r="H219" s="13" t="s">
        <v>227</v>
      </c>
      <c r="J219" s="13" t="s">
        <v>106</v>
      </c>
      <c r="W219" s="13">
        <v>304</v>
      </c>
      <c r="X219" s="13">
        <v>304</v>
      </c>
      <c r="Y219" s="13" t="s">
        <v>107</v>
      </c>
      <c r="Z219" s="13" t="s">
        <v>108</v>
      </c>
      <c r="AA219" s="13" t="s">
        <v>107</v>
      </c>
      <c r="AB219" s="13" t="s">
        <v>3536</v>
      </c>
      <c r="AC219" s="13" t="s">
        <v>3536</v>
      </c>
      <c r="AD219" s="13" t="s">
        <v>3536</v>
      </c>
      <c r="AE219" s="34" t="s">
        <v>112</v>
      </c>
      <c r="AF219" s="13" t="s">
        <v>3536</v>
      </c>
      <c r="AG219" s="13" t="s">
        <v>3536</v>
      </c>
      <c r="AH219" s="39" t="s">
        <v>3537</v>
      </c>
      <c r="AL219" s="13" t="s">
        <v>3538</v>
      </c>
      <c r="AN219" s="13">
        <v>329</v>
      </c>
      <c r="AO219" s="13" t="s">
        <v>3539</v>
      </c>
      <c r="AQ219" s="13" t="s">
        <v>3536</v>
      </c>
      <c r="AR219" s="13" t="s">
        <v>3536</v>
      </c>
      <c r="AS219" s="13" t="s">
        <v>116</v>
      </c>
      <c r="AT219" s="13" t="s">
        <v>3540</v>
      </c>
      <c r="AU219" s="13" t="s">
        <v>2377</v>
      </c>
      <c r="AV219" s="13" t="s">
        <v>827</v>
      </c>
      <c r="AW219" s="39" t="s">
        <v>828</v>
      </c>
      <c r="AX219" s="39" t="s">
        <v>829</v>
      </c>
      <c r="AY219" s="13" t="s">
        <v>3541</v>
      </c>
      <c r="AZ219" s="13" t="s">
        <v>3542</v>
      </c>
      <c r="BA219" s="13" t="s">
        <v>3542</v>
      </c>
      <c r="BB219" s="13" t="s">
        <v>3543</v>
      </c>
      <c r="BC219" s="13" t="s">
        <v>3544</v>
      </c>
      <c r="BD219" s="13">
        <f t="shared" si="8"/>
        <v>59</v>
      </c>
      <c r="BE219" s="17" t="s">
        <v>834</v>
      </c>
      <c r="BF219" s="17" t="s">
        <v>736</v>
      </c>
      <c r="BG219" s="17" t="s">
        <v>2855</v>
      </c>
      <c r="BH219" s="17" t="s">
        <v>2382</v>
      </c>
      <c r="BJ219" s="31" t="s">
        <v>3545</v>
      </c>
      <c r="BO219" s="17" t="s">
        <v>2856</v>
      </c>
      <c r="BP219" s="17" t="s">
        <v>2384</v>
      </c>
      <c r="BS219" s="17" t="s">
        <v>127</v>
      </c>
      <c r="BU219" s="17" t="s">
        <v>129</v>
      </c>
      <c r="BX219" s="13" t="s">
        <v>3546</v>
      </c>
      <c r="DA219" s="13" t="s">
        <v>10348</v>
      </c>
      <c r="DB219" s="13" t="s">
        <v>10348</v>
      </c>
    </row>
    <row r="220" spans="1:106" s="13" customFormat="1" ht="12.75" customHeight="1" x14ac:dyDescent="0.2">
      <c r="A220" s="13" t="s">
        <v>102</v>
      </c>
      <c r="B220" s="13" t="s">
        <v>103</v>
      </c>
      <c r="D220" s="13" t="s">
        <v>820</v>
      </c>
      <c r="E220" s="13" t="s">
        <v>471</v>
      </c>
      <c r="F220" s="13" t="s">
        <v>820</v>
      </c>
      <c r="G220" s="13" t="s">
        <v>229</v>
      </c>
      <c r="H220" s="13" t="s">
        <v>227</v>
      </c>
      <c r="J220" s="13" t="s">
        <v>106</v>
      </c>
      <c r="W220" s="13">
        <v>305</v>
      </c>
      <c r="X220" s="13">
        <v>305</v>
      </c>
      <c r="Y220" s="13" t="s">
        <v>107</v>
      </c>
      <c r="Z220" s="13" t="s">
        <v>108</v>
      </c>
      <c r="AA220" s="13" t="s">
        <v>107</v>
      </c>
      <c r="AB220" s="13" t="s">
        <v>3547</v>
      </c>
      <c r="AC220" s="13" t="s">
        <v>3547</v>
      </c>
      <c r="AD220" s="13" t="s">
        <v>3547</v>
      </c>
      <c r="AE220" s="34" t="s">
        <v>112</v>
      </c>
      <c r="AF220" s="13" t="s">
        <v>3547</v>
      </c>
      <c r="AG220" s="13" t="s">
        <v>3547</v>
      </c>
      <c r="AH220" s="39" t="s">
        <v>3548</v>
      </c>
      <c r="AL220" s="13" t="s">
        <v>3549</v>
      </c>
      <c r="AN220" s="13">
        <v>329</v>
      </c>
      <c r="AO220" s="13" t="s">
        <v>3550</v>
      </c>
      <c r="AQ220" s="13" t="s">
        <v>3547</v>
      </c>
      <c r="AR220" s="13" t="s">
        <v>3547</v>
      </c>
      <c r="AS220" s="13" t="s">
        <v>116</v>
      </c>
      <c r="AT220" s="13" t="s">
        <v>3551</v>
      </c>
      <c r="AU220" s="13" t="s">
        <v>2377</v>
      </c>
      <c r="AV220" s="13" t="s">
        <v>827</v>
      </c>
      <c r="AW220" s="39" t="s">
        <v>828</v>
      </c>
      <c r="AX220" s="39" t="s">
        <v>829</v>
      </c>
      <c r="AY220" s="13" t="s">
        <v>3551</v>
      </c>
      <c r="AZ220" s="13" t="s">
        <v>3552</v>
      </c>
      <c r="BA220" s="13" t="s">
        <v>3552</v>
      </c>
      <c r="BB220" s="13" t="s">
        <v>3553</v>
      </c>
      <c r="BC220" s="13" t="s">
        <v>3554</v>
      </c>
      <c r="BD220" s="13">
        <f t="shared" si="8"/>
        <v>59</v>
      </c>
      <c r="BE220" s="17" t="s">
        <v>834</v>
      </c>
      <c r="BF220" s="17" t="s">
        <v>736</v>
      </c>
      <c r="BG220" s="17" t="s">
        <v>2855</v>
      </c>
      <c r="BH220" s="17" t="s">
        <v>2382</v>
      </c>
      <c r="BJ220" s="31" t="s">
        <v>3465</v>
      </c>
      <c r="BO220" s="17" t="s">
        <v>2856</v>
      </c>
      <c r="BP220" s="17" t="s">
        <v>2384</v>
      </c>
      <c r="BS220" s="17" t="s">
        <v>127</v>
      </c>
      <c r="BU220" s="17" t="s">
        <v>129</v>
      </c>
      <c r="BX220" s="13" t="s">
        <v>3555</v>
      </c>
      <c r="DA220" s="13" t="s">
        <v>10348</v>
      </c>
      <c r="DB220" s="13" t="s">
        <v>10348</v>
      </c>
    </row>
    <row r="221" spans="1:106" s="13" customFormat="1" ht="12.75" customHeight="1" x14ac:dyDescent="0.2">
      <c r="A221" s="13" t="s">
        <v>102</v>
      </c>
      <c r="B221" s="13" t="s">
        <v>103</v>
      </c>
      <c r="D221" s="13" t="s">
        <v>820</v>
      </c>
      <c r="E221" s="13" t="s">
        <v>471</v>
      </c>
      <c r="F221" s="13" t="s">
        <v>820</v>
      </c>
      <c r="G221" s="13" t="s">
        <v>229</v>
      </c>
      <c r="H221" s="13" t="s">
        <v>227</v>
      </c>
      <c r="J221" s="13" t="s">
        <v>106</v>
      </c>
      <c r="W221" s="13">
        <v>306</v>
      </c>
      <c r="X221" s="13">
        <v>306</v>
      </c>
      <c r="Y221" s="13" t="s">
        <v>107</v>
      </c>
      <c r="Z221" s="13" t="s">
        <v>108</v>
      </c>
      <c r="AA221" s="13" t="s">
        <v>107</v>
      </c>
      <c r="AB221" s="13" t="s">
        <v>3556</v>
      </c>
      <c r="AC221" s="13" t="s">
        <v>3556</v>
      </c>
      <c r="AD221" s="13" t="s">
        <v>3556</v>
      </c>
      <c r="AE221" s="34" t="s">
        <v>112</v>
      </c>
      <c r="AF221" s="13" t="s">
        <v>3556</v>
      </c>
      <c r="AG221" s="13" t="s">
        <v>3556</v>
      </c>
      <c r="AH221" s="39" t="s">
        <v>3557</v>
      </c>
      <c r="AL221" s="13" t="s">
        <v>3558</v>
      </c>
      <c r="AN221" s="13">
        <v>329</v>
      </c>
      <c r="AO221" s="13" t="s">
        <v>3559</v>
      </c>
      <c r="AQ221" s="13" t="s">
        <v>3556</v>
      </c>
      <c r="AR221" s="13" t="s">
        <v>3556</v>
      </c>
      <c r="AS221" s="13" t="s">
        <v>116</v>
      </c>
      <c r="AT221" s="13" t="s">
        <v>3560</v>
      </c>
      <c r="AU221" s="13" t="s">
        <v>2377</v>
      </c>
      <c r="AV221" s="13" t="s">
        <v>827</v>
      </c>
      <c r="AW221" s="39" t="s">
        <v>828</v>
      </c>
      <c r="AX221" s="39" t="s">
        <v>829</v>
      </c>
      <c r="AY221" s="13" t="s">
        <v>3561</v>
      </c>
      <c r="AZ221" s="13" t="s">
        <v>3562</v>
      </c>
      <c r="BA221" s="13" t="s">
        <v>3562</v>
      </c>
      <c r="BB221" s="13" t="s">
        <v>3563</v>
      </c>
      <c r="BC221" s="13" t="s">
        <v>3564</v>
      </c>
      <c r="BD221" s="13">
        <f t="shared" si="8"/>
        <v>58</v>
      </c>
      <c r="BE221" s="17" t="s">
        <v>834</v>
      </c>
      <c r="BF221" s="17" t="s">
        <v>736</v>
      </c>
      <c r="BG221" s="17" t="s">
        <v>924</v>
      </c>
      <c r="BH221" s="17" t="s">
        <v>2382</v>
      </c>
      <c r="BJ221" s="31" t="s">
        <v>3036</v>
      </c>
      <c r="BK221" s="17" t="s">
        <v>2922</v>
      </c>
      <c r="BO221" s="17" t="s">
        <v>2911</v>
      </c>
      <c r="BP221" s="17" t="s">
        <v>2384</v>
      </c>
      <c r="BS221" s="17" t="s">
        <v>127</v>
      </c>
      <c r="BU221" s="17" t="s">
        <v>129</v>
      </c>
      <c r="BX221" s="13" t="s">
        <v>3565</v>
      </c>
      <c r="DA221" s="13" t="s">
        <v>10348</v>
      </c>
      <c r="DB221" s="13" t="s">
        <v>10348</v>
      </c>
    </row>
    <row r="222" spans="1:106" s="13" customFormat="1" ht="12.75" customHeight="1" x14ac:dyDescent="0.2">
      <c r="A222" s="13" t="s">
        <v>102</v>
      </c>
      <c r="B222" s="13" t="s">
        <v>103</v>
      </c>
      <c r="D222" s="13" t="s">
        <v>820</v>
      </c>
      <c r="E222" s="13" t="s">
        <v>471</v>
      </c>
      <c r="F222" s="13" t="s">
        <v>820</v>
      </c>
      <c r="G222" s="13" t="s">
        <v>229</v>
      </c>
      <c r="H222" s="13" t="s">
        <v>227</v>
      </c>
      <c r="J222" s="13" t="s">
        <v>106</v>
      </c>
      <c r="W222" s="13">
        <v>307</v>
      </c>
      <c r="X222" s="13">
        <v>307</v>
      </c>
      <c r="Y222" s="13" t="s">
        <v>107</v>
      </c>
      <c r="Z222" s="13" t="s">
        <v>108</v>
      </c>
      <c r="AA222" s="13" t="s">
        <v>107</v>
      </c>
      <c r="AB222" s="13" t="s">
        <v>3566</v>
      </c>
      <c r="AC222" s="13" t="s">
        <v>3566</v>
      </c>
      <c r="AD222" s="13" t="s">
        <v>3566</v>
      </c>
      <c r="AE222" s="34" t="s">
        <v>112</v>
      </c>
      <c r="AF222" s="13" t="s">
        <v>3566</v>
      </c>
      <c r="AG222" s="13" t="s">
        <v>3566</v>
      </c>
      <c r="AH222" s="39" t="s">
        <v>3567</v>
      </c>
      <c r="AL222" s="13" t="s">
        <v>3568</v>
      </c>
      <c r="AN222" s="13">
        <v>329</v>
      </c>
      <c r="AO222" s="13" t="s">
        <v>3569</v>
      </c>
      <c r="AQ222" s="13" t="s">
        <v>3566</v>
      </c>
      <c r="AR222" s="13" t="s">
        <v>3566</v>
      </c>
      <c r="AS222" s="13" t="s">
        <v>116</v>
      </c>
      <c r="AT222" s="13" t="s">
        <v>3570</v>
      </c>
      <c r="AU222" s="13" t="s">
        <v>2377</v>
      </c>
      <c r="AV222" s="13" t="s">
        <v>827</v>
      </c>
      <c r="AW222" s="39" t="s">
        <v>828</v>
      </c>
      <c r="AX222" s="39" t="s">
        <v>829</v>
      </c>
      <c r="AY222" s="13" t="s">
        <v>3571</v>
      </c>
      <c r="AZ222" s="13" t="s">
        <v>3572</v>
      </c>
      <c r="BA222" s="13" t="s">
        <v>3572</v>
      </c>
      <c r="BB222" s="13" t="s">
        <v>3573</v>
      </c>
      <c r="BC222" s="13" t="s">
        <v>3574</v>
      </c>
      <c r="BD222" s="13">
        <f t="shared" si="8"/>
        <v>57</v>
      </c>
      <c r="BE222" s="17" t="s">
        <v>834</v>
      </c>
      <c r="BF222" s="17" t="s">
        <v>736</v>
      </c>
      <c r="BG222" s="17" t="s">
        <v>924</v>
      </c>
      <c r="BH222" s="17" t="s">
        <v>2382</v>
      </c>
      <c r="BJ222" s="31" t="s">
        <v>2976</v>
      </c>
      <c r="BK222" s="17" t="s">
        <v>2922</v>
      </c>
      <c r="BO222" s="17" t="s">
        <v>2911</v>
      </c>
      <c r="BP222" s="17" t="s">
        <v>2384</v>
      </c>
      <c r="BS222" s="17" t="s">
        <v>127</v>
      </c>
      <c r="BU222" s="17" t="s">
        <v>129</v>
      </c>
      <c r="BX222" s="13" t="s">
        <v>3575</v>
      </c>
      <c r="DA222" s="13" t="s">
        <v>10348</v>
      </c>
      <c r="DB222" s="13" t="s">
        <v>10348</v>
      </c>
    </row>
    <row r="223" spans="1:106" s="13" customFormat="1" ht="12.75" customHeight="1" x14ac:dyDescent="0.2">
      <c r="A223" s="13" t="s">
        <v>102</v>
      </c>
      <c r="B223" s="13" t="s">
        <v>103</v>
      </c>
      <c r="D223" s="13" t="s">
        <v>820</v>
      </c>
      <c r="E223" s="13" t="s">
        <v>471</v>
      </c>
      <c r="F223" s="13" t="s">
        <v>820</v>
      </c>
      <c r="G223" s="13" t="s">
        <v>229</v>
      </c>
      <c r="H223" s="13" t="s">
        <v>227</v>
      </c>
      <c r="J223" s="13" t="s">
        <v>106</v>
      </c>
      <c r="W223" s="13">
        <v>308</v>
      </c>
      <c r="X223" s="13">
        <v>308</v>
      </c>
      <c r="Y223" s="13" t="s">
        <v>107</v>
      </c>
      <c r="Z223" s="13" t="s">
        <v>108</v>
      </c>
      <c r="AA223" s="13" t="s">
        <v>107</v>
      </c>
      <c r="AB223" s="13" t="s">
        <v>3576</v>
      </c>
      <c r="AC223" s="13" t="s">
        <v>3576</v>
      </c>
      <c r="AD223" s="13" t="s">
        <v>3576</v>
      </c>
      <c r="AE223" s="34" t="s">
        <v>112</v>
      </c>
      <c r="AF223" s="13" t="s">
        <v>3576</v>
      </c>
      <c r="AG223" s="13" t="s">
        <v>3576</v>
      </c>
      <c r="AH223" s="39" t="s">
        <v>3577</v>
      </c>
      <c r="AL223" s="13" t="s">
        <v>3578</v>
      </c>
      <c r="AN223" s="13">
        <v>329</v>
      </c>
      <c r="AO223" s="13" t="s">
        <v>3579</v>
      </c>
      <c r="AQ223" s="13" t="s">
        <v>3576</v>
      </c>
      <c r="AR223" s="13" t="s">
        <v>3576</v>
      </c>
      <c r="AS223" s="13" t="s">
        <v>116</v>
      </c>
      <c r="AT223" s="13" t="s">
        <v>3580</v>
      </c>
      <c r="AU223" s="13" t="s">
        <v>2377</v>
      </c>
      <c r="AV223" s="13" t="s">
        <v>827</v>
      </c>
      <c r="AW223" s="39" t="s">
        <v>828</v>
      </c>
      <c r="AX223" s="39" t="s">
        <v>829</v>
      </c>
      <c r="AY223" s="13" t="s">
        <v>3581</v>
      </c>
      <c r="AZ223" s="13" t="s">
        <v>3582</v>
      </c>
      <c r="BA223" s="13" t="s">
        <v>3582</v>
      </c>
      <c r="BB223" s="13" t="s">
        <v>3583</v>
      </c>
      <c r="BC223" s="13" t="s">
        <v>3584</v>
      </c>
      <c r="BD223" s="13">
        <f t="shared" si="8"/>
        <v>56</v>
      </c>
      <c r="BE223" s="17" t="s">
        <v>834</v>
      </c>
      <c r="BF223" s="17" t="s">
        <v>736</v>
      </c>
      <c r="BG223" s="17" t="s">
        <v>924</v>
      </c>
      <c r="BH223" s="17" t="s">
        <v>2382</v>
      </c>
      <c r="BJ223" s="31" t="s">
        <v>2996</v>
      </c>
      <c r="BO223" s="17" t="s">
        <v>2428</v>
      </c>
      <c r="BP223" s="17" t="s">
        <v>2384</v>
      </c>
      <c r="BS223" s="17" t="s">
        <v>127</v>
      </c>
      <c r="BU223" s="17" t="s">
        <v>129</v>
      </c>
      <c r="BX223" s="13" t="s">
        <v>3585</v>
      </c>
      <c r="DA223" s="13" t="s">
        <v>10348</v>
      </c>
      <c r="DB223" s="13" t="s">
        <v>10348</v>
      </c>
    </row>
    <row r="224" spans="1:106" s="13" customFormat="1" ht="12.75" customHeight="1" x14ac:dyDescent="0.2">
      <c r="A224" s="13" t="s">
        <v>102</v>
      </c>
      <c r="B224" s="13" t="s">
        <v>103</v>
      </c>
      <c r="D224" s="13" t="s">
        <v>820</v>
      </c>
      <c r="E224" s="13" t="s">
        <v>471</v>
      </c>
      <c r="F224" s="13" t="s">
        <v>820</v>
      </c>
      <c r="G224" s="13" t="s">
        <v>229</v>
      </c>
      <c r="H224" s="13" t="s">
        <v>227</v>
      </c>
      <c r="J224" s="13" t="s">
        <v>106</v>
      </c>
      <c r="W224" s="13">
        <v>309</v>
      </c>
      <c r="X224" s="13">
        <v>309</v>
      </c>
      <c r="Y224" s="13" t="s">
        <v>107</v>
      </c>
      <c r="Z224" s="13" t="s">
        <v>108</v>
      </c>
      <c r="AA224" s="13" t="s">
        <v>107</v>
      </c>
      <c r="AB224" s="13" t="s">
        <v>3586</v>
      </c>
      <c r="AC224" s="13" t="s">
        <v>3586</v>
      </c>
      <c r="AD224" s="13" t="s">
        <v>3586</v>
      </c>
      <c r="AE224" s="34" t="s">
        <v>112</v>
      </c>
      <c r="AF224" s="13" t="s">
        <v>3586</v>
      </c>
      <c r="AG224" s="13" t="s">
        <v>3586</v>
      </c>
      <c r="AH224" s="39" t="s">
        <v>3587</v>
      </c>
      <c r="AL224" s="13" t="s">
        <v>3588</v>
      </c>
      <c r="AN224" s="13">
        <v>329</v>
      </c>
      <c r="AO224" s="13" t="s">
        <v>3589</v>
      </c>
      <c r="AQ224" s="13" t="s">
        <v>3586</v>
      </c>
      <c r="AR224" s="13" t="s">
        <v>3586</v>
      </c>
      <c r="AS224" s="13" t="s">
        <v>116</v>
      </c>
      <c r="AT224" s="13" t="s">
        <v>3590</v>
      </c>
      <c r="AU224" s="13" t="s">
        <v>2377</v>
      </c>
      <c r="AV224" s="13" t="s">
        <v>827</v>
      </c>
      <c r="AW224" s="39" t="s">
        <v>828</v>
      </c>
      <c r="AX224" s="39" t="s">
        <v>829</v>
      </c>
      <c r="AY224" s="13" t="s">
        <v>3590</v>
      </c>
      <c r="AZ224" s="13" t="s">
        <v>3582</v>
      </c>
      <c r="BA224" s="13" t="s">
        <v>3591</v>
      </c>
      <c r="BB224" s="13" t="s">
        <v>3583</v>
      </c>
      <c r="BC224" s="13" t="s">
        <v>3592</v>
      </c>
      <c r="BD224" s="13">
        <f t="shared" si="8"/>
        <v>59</v>
      </c>
      <c r="BE224" s="17" t="s">
        <v>834</v>
      </c>
      <c r="BF224" s="17" t="s">
        <v>736</v>
      </c>
      <c r="BG224" s="17" t="s">
        <v>924</v>
      </c>
      <c r="BH224" s="17" t="s">
        <v>2382</v>
      </c>
      <c r="BJ224" s="31" t="s">
        <v>2996</v>
      </c>
      <c r="BO224" s="17" t="s">
        <v>2428</v>
      </c>
      <c r="BP224" s="17" t="s">
        <v>2384</v>
      </c>
      <c r="BS224" s="17" t="s">
        <v>127</v>
      </c>
      <c r="BU224" s="17" t="s">
        <v>129</v>
      </c>
      <c r="BX224" s="13" t="s">
        <v>3593</v>
      </c>
      <c r="CA224" s="13" t="s">
        <v>3075</v>
      </c>
      <c r="DA224" s="13" t="s">
        <v>10348</v>
      </c>
      <c r="DB224" s="13" t="s">
        <v>10348</v>
      </c>
    </row>
    <row r="225" spans="1:106" s="13" customFormat="1" ht="12.75" customHeight="1" x14ac:dyDescent="0.2">
      <c r="A225" s="13" t="s">
        <v>102</v>
      </c>
      <c r="B225" s="13" t="s">
        <v>103</v>
      </c>
      <c r="D225" s="13" t="s">
        <v>820</v>
      </c>
      <c r="E225" s="13" t="s">
        <v>471</v>
      </c>
      <c r="F225" s="13" t="s">
        <v>820</v>
      </c>
      <c r="G225" s="13" t="s">
        <v>229</v>
      </c>
      <c r="H225" s="13" t="s">
        <v>227</v>
      </c>
      <c r="J225" s="13" t="s">
        <v>106</v>
      </c>
      <c r="W225" s="13">
        <v>310</v>
      </c>
      <c r="X225" s="13">
        <v>310</v>
      </c>
      <c r="Y225" s="13" t="s">
        <v>107</v>
      </c>
      <c r="Z225" s="13" t="s">
        <v>108</v>
      </c>
      <c r="AA225" s="13" t="s">
        <v>107</v>
      </c>
      <c r="AB225" s="13" t="s">
        <v>3594</v>
      </c>
      <c r="AC225" s="13" t="s">
        <v>3594</v>
      </c>
      <c r="AD225" s="13" t="s">
        <v>3594</v>
      </c>
      <c r="AE225" s="34" t="s">
        <v>112</v>
      </c>
      <c r="AF225" s="13" t="s">
        <v>3594</v>
      </c>
      <c r="AG225" s="13" t="s">
        <v>3594</v>
      </c>
      <c r="AH225" s="39" t="s">
        <v>3595</v>
      </c>
      <c r="AL225" s="13" t="s">
        <v>3596</v>
      </c>
      <c r="AN225" s="13">
        <v>329</v>
      </c>
      <c r="AO225" s="13" t="s">
        <v>3597</v>
      </c>
      <c r="AQ225" s="13" t="s">
        <v>3594</v>
      </c>
      <c r="AR225" s="13" t="s">
        <v>3594</v>
      </c>
      <c r="AS225" s="13" t="s">
        <v>116</v>
      </c>
      <c r="AT225" s="13" t="s">
        <v>3598</v>
      </c>
      <c r="AU225" s="13" t="s">
        <v>2377</v>
      </c>
      <c r="AV225" s="13" t="s">
        <v>827</v>
      </c>
      <c r="AW225" s="39" t="s">
        <v>828</v>
      </c>
      <c r="AX225" s="39" t="s">
        <v>829</v>
      </c>
      <c r="AY225" s="13" t="s">
        <v>3598</v>
      </c>
      <c r="AZ225" s="13" t="s">
        <v>3599</v>
      </c>
      <c r="BA225" s="13" t="s">
        <v>3599</v>
      </c>
      <c r="BB225" s="13" t="s">
        <v>3600</v>
      </c>
      <c r="BC225" s="13" t="s">
        <v>3601</v>
      </c>
      <c r="BD225" s="13">
        <f t="shared" si="8"/>
        <v>60</v>
      </c>
      <c r="BE225" s="17" t="s">
        <v>834</v>
      </c>
      <c r="BF225" s="17" t="s">
        <v>736</v>
      </c>
      <c r="BG225" s="17" t="s">
        <v>924</v>
      </c>
      <c r="BH225" s="17" t="s">
        <v>2382</v>
      </c>
      <c r="BJ225" s="31" t="s">
        <v>3602</v>
      </c>
      <c r="BO225" s="17" t="s">
        <v>2428</v>
      </c>
      <c r="BP225" s="17" t="s">
        <v>2384</v>
      </c>
      <c r="BS225" s="17" t="s">
        <v>127</v>
      </c>
      <c r="BU225" s="17" t="s">
        <v>129</v>
      </c>
      <c r="BX225" s="13" t="s">
        <v>3603</v>
      </c>
      <c r="DA225" s="13" t="s">
        <v>10348</v>
      </c>
      <c r="DB225" s="13" t="s">
        <v>10348</v>
      </c>
    </row>
    <row r="226" spans="1:106" s="13" customFormat="1" ht="12.75" customHeight="1" x14ac:dyDescent="0.2">
      <c r="A226" s="13" t="s">
        <v>102</v>
      </c>
      <c r="B226" s="13" t="s">
        <v>103</v>
      </c>
      <c r="D226" s="13" t="s">
        <v>820</v>
      </c>
      <c r="E226" s="13" t="s">
        <v>471</v>
      </c>
      <c r="F226" s="13" t="s">
        <v>820</v>
      </c>
      <c r="G226" s="13" t="s">
        <v>229</v>
      </c>
      <c r="H226" s="13" t="s">
        <v>227</v>
      </c>
      <c r="J226" s="13" t="s">
        <v>106</v>
      </c>
      <c r="W226" s="13">
        <v>311</v>
      </c>
      <c r="X226" s="13">
        <v>311</v>
      </c>
      <c r="Y226" s="13" t="s">
        <v>107</v>
      </c>
      <c r="Z226" s="13" t="s">
        <v>108</v>
      </c>
      <c r="AA226" s="13" t="s">
        <v>107</v>
      </c>
      <c r="AB226" s="13" t="s">
        <v>3604</v>
      </c>
      <c r="AC226" s="13" t="s">
        <v>3604</v>
      </c>
      <c r="AD226" s="13" t="s">
        <v>3604</v>
      </c>
      <c r="AE226" s="34" t="s">
        <v>112</v>
      </c>
      <c r="AF226" s="13" t="s">
        <v>3604</v>
      </c>
      <c r="AG226" s="13" t="s">
        <v>3604</v>
      </c>
      <c r="AH226" s="39" t="s">
        <v>3605</v>
      </c>
      <c r="AL226" s="13" t="s">
        <v>3606</v>
      </c>
      <c r="AN226" s="13">
        <v>329</v>
      </c>
      <c r="AO226" s="13" t="s">
        <v>3607</v>
      </c>
      <c r="AQ226" s="13" t="s">
        <v>3604</v>
      </c>
      <c r="AR226" s="13" t="s">
        <v>3604</v>
      </c>
      <c r="AS226" s="13" t="s">
        <v>116</v>
      </c>
      <c r="AT226" s="13" t="s">
        <v>3608</v>
      </c>
      <c r="AU226" s="13" t="s">
        <v>2377</v>
      </c>
      <c r="AV226" s="13" t="s">
        <v>827</v>
      </c>
      <c r="AW226" s="39" t="s">
        <v>828</v>
      </c>
      <c r="AX226" s="39" t="s">
        <v>829</v>
      </c>
      <c r="AY226" s="13" t="s">
        <v>3608</v>
      </c>
      <c r="AZ226" s="13" t="s">
        <v>3609</v>
      </c>
      <c r="BA226" s="13" t="s">
        <v>3609</v>
      </c>
      <c r="BB226" s="13" t="s">
        <v>3610</v>
      </c>
      <c r="BC226" s="13" t="s">
        <v>3611</v>
      </c>
      <c r="BD226" s="13">
        <f t="shared" si="8"/>
        <v>56</v>
      </c>
      <c r="BE226" s="17" t="s">
        <v>834</v>
      </c>
      <c r="BF226" s="17" t="s">
        <v>736</v>
      </c>
      <c r="BG226" s="17" t="s">
        <v>924</v>
      </c>
      <c r="BH226" s="17" t="s">
        <v>2382</v>
      </c>
      <c r="BJ226" s="31" t="s">
        <v>3284</v>
      </c>
      <c r="BO226" s="17" t="s">
        <v>2428</v>
      </c>
      <c r="BP226" s="17" t="s">
        <v>2384</v>
      </c>
      <c r="BS226" s="17" t="s">
        <v>127</v>
      </c>
      <c r="BU226" s="17" t="s">
        <v>129</v>
      </c>
      <c r="BX226" s="13" t="s">
        <v>3612</v>
      </c>
      <c r="DA226" s="13" t="s">
        <v>10348</v>
      </c>
      <c r="DB226" s="13" t="s">
        <v>10348</v>
      </c>
    </row>
    <row r="227" spans="1:106" s="13" customFormat="1" ht="12.75" customHeight="1" x14ac:dyDescent="0.2">
      <c r="A227" s="13" t="s">
        <v>102</v>
      </c>
      <c r="B227" s="13" t="s">
        <v>103</v>
      </c>
      <c r="D227" s="13" t="s">
        <v>820</v>
      </c>
      <c r="E227" s="13" t="s">
        <v>471</v>
      </c>
      <c r="F227" s="13" t="s">
        <v>820</v>
      </c>
      <c r="G227" s="13" t="s">
        <v>229</v>
      </c>
      <c r="H227" s="13" t="s">
        <v>227</v>
      </c>
      <c r="J227" s="13" t="s">
        <v>106</v>
      </c>
      <c r="W227" s="13">
        <v>312</v>
      </c>
      <c r="X227" s="13">
        <v>312</v>
      </c>
      <c r="Y227" s="13" t="s">
        <v>107</v>
      </c>
      <c r="Z227" s="13" t="s">
        <v>108</v>
      </c>
      <c r="AA227" s="13" t="s">
        <v>107</v>
      </c>
      <c r="AB227" s="13" t="s">
        <v>3613</v>
      </c>
      <c r="AC227" s="13" t="s">
        <v>3613</v>
      </c>
      <c r="AD227" s="13" t="s">
        <v>3613</v>
      </c>
      <c r="AE227" s="34" t="s">
        <v>112</v>
      </c>
      <c r="AF227" s="13" t="s">
        <v>3613</v>
      </c>
      <c r="AG227" s="13" t="s">
        <v>3613</v>
      </c>
      <c r="AH227" s="39" t="s">
        <v>3614</v>
      </c>
      <c r="AL227" s="13" t="s">
        <v>3615</v>
      </c>
      <c r="AN227" s="13">
        <v>329</v>
      </c>
      <c r="AO227" s="13" t="s">
        <v>3616</v>
      </c>
      <c r="AQ227" s="13" t="s">
        <v>3613</v>
      </c>
      <c r="AR227" s="13" t="s">
        <v>3613</v>
      </c>
      <c r="AS227" s="13" t="s">
        <v>116</v>
      </c>
      <c r="AT227" s="13" t="s">
        <v>3617</v>
      </c>
      <c r="AU227" s="13" t="s">
        <v>2377</v>
      </c>
      <c r="AV227" s="13" t="s">
        <v>827</v>
      </c>
      <c r="AW227" s="39" t="s">
        <v>828</v>
      </c>
      <c r="AX227" s="39" t="s">
        <v>829</v>
      </c>
      <c r="AY227" s="13" t="s">
        <v>3618</v>
      </c>
      <c r="AZ227" s="13" t="s">
        <v>3619</v>
      </c>
      <c r="BA227" s="13" t="s">
        <v>3619</v>
      </c>
      <c r="BB227" s="13" t="s">
        <v>3620</v>
      </c>
      <c r="BC227" s="13" t="s">
        <v>3621</v>
      </c>
      <c r="BD227" s="13">
        <f t="shared" si="8"/>
        <v>59</v>
      </c>
      <c r="BE227" s="17" t="s">
        <v>834</v>
      </c>
      <c r="BF227" s="17" t="s">
        <v>736</v>
      </c>
      <c r="BG227" s="17" t="s">
        <v>924</v>
      </c>
      <c r="BH227" s="17" t="s">
        <v>2382</v>
      </c>
      <c r="BJ227" s="31" t="s">
        <v>3622</v>
      </c>
      <c r="BK227" s="17" t="s">
        <v>3295</v>
      </c>
      <c r="BO227" s="17" t="s">
        <v>2911</v>
      </c>
      <c r="BP227" s="17" t="s">
        <v>2384</v>
      </c>
      <c r="BS227" s="17" t="s">
        <v>127</v>
      </c>
      <c r="BU227" s="17" t="s">
        <v>129</v>
      </c>
      <c r="BX227" s="13" t="s">
        <v>3623</v>
      </c>
      <c r="DA227" s="13" t="s">
        <v>10348</v>
      </c>
      <c r="DB227" s="13" t="s">
        <v>10348</v>
      </c>
    </row>
    <row r="228" spans="1:106" s="13" customFormat="1" ht="12.75" customHeight="1" x14ac:dyDescent="0.2">
      <c r="A228" s="13" t="s">
        <v>102</v>
      </c>
      <c r="B228" s="13" t="s">
        <v>103</v>
      </c>
      <c r="D228" s="13" t="s">
        <v>820</v>
      </c>
      <c r="E228" s="13" t="s">
        <v>228</v>
      </c>
      <c r="F228" s="13" t="s">
        <v>820</v>
      </c>
      <c r="G228" s="13" t="s">
        <v>229</v>
      </c>
      <c r="H228" s="13" t="s">
        <v>227</v>
      </c>
      <c r="J228" s="13" t="s">
        <v>106</v>
      </c>
      <c r="W228" s="13">
        <v>313</v>
      </c>
      <c r="X228" s="13">
        <v>313</v>
      </c>
      <c r="Y228" s="13" t="s">
        <v>107</v>
      </c>
      <c r="Z228" s="13" t="s">
        <v>108</v>
      </c>
      <c r="AA228" s="13" t="s">
        <v>107</v>
      </c>
      <c r="AB228" s="13" t="s">
        <v>3624</v>
      </c>
      <c r="AC228" s="13" t="s">
        <v>3624</v>
      </c>
      <c r="AD228" s="13" t="s">
        <v>3624</v>
      </c>
      <c r="AE228" s="34" t="s">
        <v>112</v>
      </c>
      <c r="AF228" s="13" t="s">
        <v>3624</v>
      </c>
      <c r="AG228" s="13" t="s">
        <v>3624</v>
      </c>
      <c r="AH228" s="39" t="s">
        <v>3625</v>
      </c>
      <c r="AL228" s="13" t="s">
        <v>3626</v>
      </c>
      <c r="AN228" s="13">
        <v>329</v>
      </c>
      <c r="AO228" s="13" t="s">
        <v>3627</v>
      </c>
      <c r="AQ228" s="13" t="s">
        <v>3624</v>
      </c>
      <c r="AR228" s="13" t="s">
        <v>3624</v>
      </c>
      <c r="AS228" s="13" t="s">
        <v>116</v>
      </c>
      <c r="AT228" s="13" t="s">
        <v>3628</v>
      </c>
      <c r="AU228" s="13" t="s">
        <v>2377</v>
      </c>
      <c r="AV228" s="13" t="s">
        <v>827</v>
      </c>
      <c r="AW228" s="39" t="s">
        <v>828</v>
      </c>
      <c r="AX228" s="39" t="s">
        <v>829</v>
      </c>
      <c r="AY228" s="13" t="s">
        <v>3629</v>
      </c>
      <c r="AZ228" s="13" t="s">
        <v>3630</v>
      </c>
      <c r="BA228" s="13" t="s">
        <v>3630</v>
      </c>
      <c r="BB228" s="13" t="s">
        <v>3631</v>
      </c>
      <c r="BC228" s="13" t="s">
        <v>3632</v>
      </c>
      <c r="BD228" s="13">
        <f t="shared" si="8"/>
        <v>60</v>
      </c>
      <c r="BE228" s="17" t="s">
        <v>834</v>
      </c>
      <c r="BF228" s="17" t="s">
        <v>736</v>
      </c>
      <c r="BG228" s="17" t="s">
        <v>924</v>
      </c>
      <c r="BH228" s="17" t="s">
        <v>2382</v>
      </c>
      <c r="BJ228" s="31" t="s">
        <v>3633</v>
      </c>
      <c r="BO228" s="17" t="s">
        <v>2407</v>
      </c>
      <c r="BP228" s="17" t="s">
        <v>2384</v>
      </c>
      <c r="BS228" s="17" t="s">
        <v>127</v>
      </c>
      <c r="BU228" s="17" t="s">
        <v>129</v>
      </c>
      <c r="BX228" s="13" t="s">
        <v>3634</v>
      </c>
      <c r="DA228" s="13" t="s">
        <v>10348</v>
      </c>
      <c r="DB228" s="13" t="s">
        <v>10348</v>
      </c>
    </row>
    <row r="229" spans="1:106" s="13" customFormat="1" ht="12.75" customHeight="1" x14ac:dyDescent="0.2">
      <c r="A229" s="13" t="s">
        <v>102</v>
      </c>
      <c r="B229" s="13" t="s">
        <v>103</v>
      </c>
      <c r="D229" s="13" t="s">
        <v>820</v>
      </c>
      <c r="E229" s="13" t="s">
        <v>471</v>
      </c>
      <c r="F229" s="13" t="s">
        <v>820</v>
      </c>
      <c r="G229" s="13" t="s">
        <v>229</v>
      </c>
      <c r="H229" s="13" t="s">
        <v>227</v>
      </c>
      <c r="J229" s="13" t="s">
        <v>106</v>
      </c>
      <c r="W229" s="13">
        <v>314</v>
      </c>
      <c r="X229" s="13">
        <v>314</v>
      </c>
      <c r="Y229" s="13" t="s">
        <v>107</v>
      </c>
      <c r="Z229" s="13" t="s">
        <v>108</v>
      </c>
      <c r="AA229" s="13" t="s">
        <v>107</v>
      </c>
      <c r="AB229" s="13" t="s">
        <v>3635</v>
      </c>
      <c r="AC229" s="13" t="s">
        <v>3635</v>
      </c>
      <c r="AD229" s="13" t="s">
        <v>3635</v>
      </c>
      <c r="AE229" s="34" t="s">
        <v>112</v>
      </c>
      <c r="AF229" s="13" t="s">
        <v>3635</v>
      </c>
      <c r="AG229" s="13" t="s">
        <v>3635</v>
      </c>
      <c r="AH229" s="39" t="s">
        <v>3636</v>
      </c>
      <c r="AL229" s="13" t="s">
        <v>3637</v>
      </c>
      <c r="AN229" s="13">
        <v>329</v>
      </c>
      <c r="AO229" s="13" t="s">
        <v>3638</v>
      </c>
      <c r="AQ229" s="13" t="s">
        <v>3635</v>
      </c>
      <c r="AR229" s="13" t="s">
        <v>3635</v>
      </c>
      <c r="AS229" s="13" t="s">
        <v>116</v>
      </c>
      <c r="AT229" s="13" t="s">
        <v>3639</v>
      </c>
      <c r="AU229" s="13" t="s">
        <v>2377</v>
      </c>
      <c r="AV229" s="13" t="s">
        <v>827</v>
      </c>
      <c r="AW229" s="39" t="s">
        <v>828</v>
      </c>
      <c r="AX229" s="39" t="s">
        <v>829</v>
      </c>
      <c r="AY229" s="13" t="s">
        <v>3640</v>
      </c>
      <c r="AZ229" s="13" t="s">
        <v>3641</v>
      </c>
      <c r="BA229" s="13" t="s">
        <v>3641</v>
      </c>
      <c r="BB229" s="13" t="s">
        <v>3642</v>
      </c>
      <c r="BC229" s="13" t="s">
        <v>3643</v>
      </c>
      <c r="BD229" s="13">
        <f t="shared" si="8"/>
        <v>59</v>
      </c>
      <c r="BE229" s="17" t="s">
        <v>834</v>
      </c>
      <c r="BF229" s="17" t="s">
        <v>736</v>
      </c>
      <c r="BG229" s="17" t="s">
        <v>2855</v>
      </c>
      <c r="BH229" s="17" t="s">
        <v>2382</v>
      </c>
      <c r="BJ229" s="31" t="s">
        <v>3644</v>
      </c>
      <c r="BK229" s="17" t="s">
        <v>3295</v>
      </c>
      <c r="BO229" s="17" t="s">
        <v>3369</v>
      </c>
      <c r="BP229" s="17" t="s">
        <v>2384</v>
      </c>
      <c r="BS229" s="17" t="s">
        <v>127</v>
      </c>
      <c r="BU229" s="17" t="s">
        <v>129</v>
      </c>
      <c r="BX229" s="13" t="s">
        <v>3645</v>
      </c>
      <c r="DA229" s="13" t="s">
        <v>10348</v>
      </c>
      <c r="DB229" s="13" t="s">
        <v>10348</v>
      </c>
    </row>
    <row r="230" spans="1:106" s="13" customFormat="1" ht="12.75" customHeight="1" x14ac:dyDescent="0.2">
      <c r="A230" s="13" t="s">
        <v>102</v>
      </c>
      <c r="B230" s="13" t="s">
        <v>103</v>
      </c>
      <c r="D230" s="13" t="s">
        <v>820</v>
      </c>
      <c r="E230" s="13" t="s">
        <v>471</v>
      </c>
      <c r="F230" s="13" t="s">
        <v>820</v>
      </c>
      <c r="G230" s="13" t="s">
        <v>229</v>
      </c>
      <c r="H230" s="13" t="s">
        <v>227</v>
      </c>
      <c r="J230" s="13" t="s">
        <v>106</v>
      </c>
      <c r="W230" s="13">
        <v>315</v>
      </c>
      <c r="X230" s="13">
        <v>315</v>
      </c>
      <c r="Y230" s="13" t="s">
        <v>107</v>
      </c>
      <c r="Z230" s="13" t="s">
        <v>108</v>
      </c>
      <c r="AA230" s="13" t="s">
        <v>107</v>
      </c>
      <c r="AB230" s="13" t="s">
        <v>3646</v>
      </c>
      <c r="AC230" s="13" t="s">
        <v>3646</v>
      </c>
      <c r="AD230" s="13" t="s">
        <v>3646</v>
      </c>
      <c r="AE230" s="34" t="s">
        <v>112</v>
      </c>
      <c r="AF230" s="13" t="s">
        <v>3646</v>
      </c>
      <c r="AG230" s="13" t="s">
        <v>3646</v>
      </c>
      <c r="AH230" s="39" t="s">
        <v>3647</v>
      </c>
      <c r="AL230" s="13" t="s">
        <v>3648</v>
      </c>
      <c r="AN230" s="13">
        <v>329</v>
      </c>
      <c r="AO230" s="13" t="s">
        <v>3649</v>
      </c>
      <c r="AQ230" s="13" t="s">
        <v>3646</v>
      </c>
      <c r="AR230" s="13" t="s">
        <v>3646</v>
      </c>
      <c r="AS230" s="13" t="s">
        <v>116</v>
      </c>
      <c r="AT230" s="13" t="s">
        <v>3650</v>
      </c>
      <c r="AU230" s="13" t="s">
        <v>2377</v>
      </c>
      <c r="AV230" s="13" t="s">
        <v>827</v>
      </c>
      <c r="AW230" s="39" t="s">
        <v>828</v>
      </c>
      <c r="AX230" s="39" t="s">
        <v>829</v>
      </c>
      <c r="AY230" s="13" t="s">
        <v>3651</v>
      </c>
      <c r="AZ230" s="13" t="s">
        <v>3652</v>
      </c>
      <c r="BA230" s="13" t="s">
        <v>3652</v>
      </c>
      <c r="BB230" s="13" t="s">
        <v>3653</v>
      </c>
      <c r="BC230" s="13" t="s">
        <v>3654</v>
      </c>
      <c r="BD230" s="13">
        <f t="shared" si="8"/>
        <v>58</v>
      </c>
      <c r="BE230" s="17" t="s">
        <v>834</v>
      </c>
      <c r="BF230" s="17" t="s">
        <v>736</v>
      </c>
      <c r="BG230" s="17" t="s">
        <v>751</v>
      </c>
      <c r="BJ230" s="31" t="s">
        <v>849</v>
      </c>
      <c r="BK230" s="17" t="s">
        <v>2922</v>
      </c>
      <c r="BO230" s="17" t="s">
        <v>3655</v>
      </c>
      <c r="BP230" s="17" t="s">
        <v>2384</v>
      </c>
      <c r="BS230" s="17" t="s">
        <v>127</v>
      </c>
      <c r="BU230" s="17" t="s">
        <v>129</v>
      </c>
      <c r="BX230" s="13" t="s">
        <v>3656</v>
      </c>
      <c r="DA230" s="13" t="s">
        <v>10348</v>
      </c>
      <c r="DB230" s="13" t="s">
        <v>10348</v>
      </c>
    </row>
    <row r="231" spans="1:106" s="13" customFormat="1" ht="12.75" customHeight="1" x14ac:dyDescent="0.2">
      <c r="A231" s="13" t="s">
        <v>102</v>
      </c>
      <c r="B231" s="13" t="s">
        <v>103</v>
      </c>
      <c r="D231" s="13" t="s">
        <v>820</v>
      </c>
      <c r="E231" s="13" t="s">
        <v>471</v>
      </c>
      <c r="F231" s="13" t="s">
        <v>820</v>
      </c>
      <c r="G231" s="13" t="s">
        <v>229</v>
      </c>
      <c r="H231" s="13" t="s">
        <v>227</v>
      </c>
      <c r="J231" s="13" t="s">
        <v>106</v>
      </c>
      <c r="W231" s="13">
        <v>316</v>
      </c>
      <c r="X231" s="13">
        <v>316</v>
      </c>
      <c r="Y231" s="13" t="s">
        <v>107</v>
      </c>
      <c r="Z231" s="13" t="s">
        <v>108</v>
      </c>
      <c r="AA231" s="13" t="s">
        <v>107</v>
      </c>
      <c r="AB231" s="13" t="s">
        <v>3657</v>
      </c>
      <c r="AC231" s="13" t="s">
        <v>3657</v>
      </c>
      <c r="AD231" s="13" t="s">
        <v>3657</v>
      </c>
      <c r="AE231" s="34" t="s">
        <v>112</v>
      </c>
      <c r="AF231" s="13" t="s">
        <v>3657</v>
      </c>
      <c r="AG231" s="13" t="s">
        <v>3657</v>
      </c>
      <c r="AH231" s="39" t="s">
        <v>3658</v>
      </c>
      <c r="AL231" s="13" t="s">
        <v>3659</v>
      </c>
      <c r="AN231" s="13">
        <v>329</v>
      </c>
      <c r="AO231" s="13" t="s">
        <v>3660</v>
      </c>
      <c r="AQ231" s="13" t="s">
        <v>3657</v>
      </c>
      <c r="AR231" s="13" t="s">
        <v>3657</v>
      </c>
      <c r="AS231" s="13" t="s">
        <v>116</v>
      </c>
      <c r="AT231" s="13" t="s">
        <v>3661</v>
      </c>
      <c r="AU231" s="13" t="s">
        <v>2377</v>
      </c>
      <c r="AV231" s="13" t="s">
        <v>827</v>
      </c>
      <c r="AW231" s="39" t="s">
        <v>828</v>
      </c>
      <c r="AX231" s="39" t="s">
        <v>829</v>
      </c>
      <c r="AY231" s="13" t="s">
        <v>3661</v>
      </c>
      <c r="AZ231" s="13" t="s">
        <v>3662</v>
      </c>
      <c r="BA231" s="13" t="s">
        <v>3662</v>
      </c>
      <c r="BB231" s="13" t="s">
        <v>3663</v>
      </c>
      <c r="BC231" s="13" t="s">
        <v>3664</v>
      </c>
      <c r="BD231" s="13">
        <f t="shared" si="8"/>
        <v>60</v>
      </c>
      <c r="BE231" s="17" t="s">
        <v>834</v>
      </c>
      <c r="BF231" s="17" t="s">
        <v>736</v>
      </c>
      <c r="BG231" s="17" t="s">
        <v>924</v>
      </c>
      <c r="BH231" s="17" t="s">
        <v>2382</v>
      </c>
      <c r="BJ231" s="31" t="s">
        <v>3665</v>
      </c>
      <c r="BO231" s="17" t="s">
        <v>2428</v>
      </c>
      <c r="BP231" s="17" t="s">
        <v>2384</v>
      </c>
      <c r="BS231" s="17" t="s">
        <v>127</v>
      </c>
      <c r="BU231" s="17" t="s">
        <v>129</v>
      </c>
      <c r="BX231" s="13" t="s">
        <v>3666</v>
      </c>
      <c r="DA231" s="13" t="s">
        <v>10348</v>
      </c>
      <c r="DB231" s="13" t="s">
        <v>10348</v>
      </c>
    </row>
    <row r="232" spans="1:106" s="13" customFormat="1" ht="12.75" customHeight="1" x14ac:dyDescent="0.2">
      <c r="A232" s="13" t="s">
        <v>102</v>
      </c>
      <c r="B232" s="13" t="s">
        <v>103</v>
      </c>
      <c r="D232" s="13" t="s">
        <v>820</v>
      </c>
      <c r="E232" s="13" t="s">
        <v>471</v>
      </c>
      <c r="F232" s="13" t="s">
        <v>820</v>
      </c>
      <c r="G232" s="13" t="s">
        <v>229</v>
      </c>
      <c r="H232" s="13" t="s">
        <v>227</v>
      </c>
      <c r="J232" s="13" t="s">
        <v>106</v>
      </c>
      <c r="W232" s="13">
        <v>317</v>
      </c>
      <c r="X232" s="13">
        <v>317</v>
      </c>
      <c r="Y232" s="13" t="s">
        <v>107</v>
      </c>
      <c r="Z232" s="13" t="s">
        <v>108</v>
      </c>
      <c r="AA232" s="13" t="s">
        <v>107</v>
      </c>
      <c r="AB232" s="13" t="s">
        <v>3667</v>
      </c>
      <c r="AC232" s="13" t="s">
        <v>3667</v>
      </c>
      <c r="AD232" s="13" t="s">
        <v>3667</v>
      </c>
      <c r="AE232" s="34" t="s">
        <v>112</v>
      </c>
      <c r="AF232" s="13" t="s">
        <v>3667</v>
      </c>
      <c r="AG232" s="13" t="s">
        <v>3667</v>
      </c>
      <c r="AH232" s="39" t="s">
        <v>3668</v>
      </c>
      <c r="AL232" s="13" t="s">
        <v>3669</v>
      </c>
      <c r="AN232" s="13">
        <v>329</v>
      </c>
      <c r="AO232" s="13" t="s">
        <v>3670</v>
      </c>
      <c r="AQ232" s="13" t="s">
        <v>3667</v>
      </c>
      <c r="AR232" s="13" t="s">
        <v>3667</v>
      </c>
      <c r="AS232" s="13" t="s">
        <v>116</v>
      </c>
      <c r="AT232" s="13" t="s">
        <v>3671</v>
      </c>
      <c r="AU232" s="13" t="s">
        <v>2377</v>
      </c>
      <c r="AV232" s="13" t="s">
        <v>827</v>
      </c>
      <c r="AW232" s="39" t="s">
        <v>828</v>
      </c>
      <c r="AX232" s="39" t="s">
        <v>829</v>
      </c>
      <c r="AY232" s="13" t="s">
        <v>3671</v>
      </c>
      <c r="AZ232" s="13" t="s">
        <v>3672</v>
      </c>
      <c r="BA232" s="13" t="s">
        <v>3672</v>
      </c>
      <c r="BB232" s="13" t="s">
        <v>3673</v>
      </c>
      <c r="BC232" s="13" t="s">
        <v>3674</v>
      </c>
      <c r="BD232" s="13">
        <f t="shared" si="8"/>
        <v>53</v>
      </c>
      <c r="BE232" s="17" t="s">
        <v>834</v>
      </c>
      <c r="BF232" s="17" t="s">
        <v>736</v>
      </c>
      <c r="BG232" s="17" t="s">
        <v>751</v>
      </c>
      <c r="BJ232" s="31" t="s">
        <v>3675</v>
      </c>
      <c r="BO232" s="17" t="s">
        <v>2428</v>
      </c>
      <c r="BP232" s="17" t="s">
        <v>2384</v>
      </c>
      <c r="BS232" s="17" t="s">
        <v>127</v>
      </c>
      <c r="BU232" s="17" t="s">
        <v>129</v>
      </c>
      <c r="BX232" s="13" t="s">
        <v>3676</v>
      </c>
      <c r="DA232" s="13" t="s">
        <v>10348</v>
      </c>
      <c r="DB232" s="13" t="s">
        <v>10348</v>
      </c>
    </row>
    <row r="233" spans="1:106" s="13" customFormat="1" ht="12.75" customHeight="1" x14ac:dyDescent="0.2">
      <c r="A233" s="13" t="s">
        <v>102</v>
      </c>
      <c r="B233" s="13" t="s">
        <v>103</v>
      </c>
      <c r="D233" s="13" t="s">
        <v>820</v>
      </c>
      <c r="E233" s="13" t="s">
        <v>471</v>
      </c>
      <c r="F233" s="13" t="s">
        <v>820</v>
      </c>
      <c r="G233" s="13" t="s">
        <v>229</v>
      </c>
      <c r="H233" s="13" t="s">
        <v>227</v>
      </c>
      <c r="J233" s="13" t="s">
        <v>106</v>
      </c>
      <c r="W233" s="13">
        <v>318</v>
      </c>
      <c r="X233" s="13">
        <v>318</v>
      </c>
      <c r="Y233" s="13" t="s">
        <v>107</v>
      </c>
      <c r="Z233" s="13" t="s">
        <v>108</v>
      </c>
      <c r="AA233" s="13" t="s">
        <v>107</v>
      </c>
      <c r="AB233" s="13" t="s">
        <v>3677</v>
      </c>
      <c r="AC233" s="13" t="s">
        <v>3677</v>
      </c>
      <c r="AD233" s="13" t="s">
        <v>3677</v>
      </c>
      <c r="AE233" s="34" t="s">
        <v>112</v>
      </c>
      <c r="AF233" s="13" t="s">
        <v>3677</v>
      </c>
      <c r="AG233" s="13" t="s">
        <v>3677</v>
      </c>
      <c r="AH233" s="39" t="s">
        <v>3678</v>
      </c>
      <c r="AL233" s="13" t="s">
        <v>3679</v>
      </c>
      <c r="AN233" s="13">
        <v>329</v>
      </c>
      <c r="AO233" s="13" t="s">
        <v>3680</v>
      </c>
      <c r="AQ233" s="13" t="s">
        <v>3677</v>
      </c>
      <c r="AR233" s="13" t="s">
        <v>3677</v>
      </c>
      <c r="AS233" s="13" t="s">
        <v>116</v>
      </c>
      <c r="AT233" s="13" t="s">
        <v>3681</v>
      </c>
      <c r="AU233" s="13" t="s">
        <v>2377</v>
      </c>
      <c r="AV233" s="13" t="s">
        <v>827</v>
      </c>
      <c r="AW233" s="39" t="s">
        <v>828</v>
      </c>
      <c r="AX233" s="39" t="s">
        <v>829</v>
      </c>
      <c r="AY233" s="13" t="s">
        <v>3681</v>
      </c>
      <c r="AZ233" s="13" t="s">
        <v>3682</v>
      </c>
      <c r="BA233" s="13" t="s">
        <v>3682</v>
      </c>
      <c r="BB233" s="13" t="s">
        <v>3683</v>
      </c>
      <c r="BC233" s="13" t="s">
        <v>3684</v>
      </c>
      <c r="BD233" s="13">
        <f t="shared" si="8"/>
        <v>54</v>
      </c>
      <c r="BE233" s="17" t="s">
        <v>834</v>
      </c>
      <c r="BF233" s="17" t="s">
        <v>736</v>
      </c>
      <c r="BG233" s="17" t="s">
        <v>751</v>
      </c>
      <c r="BJ233" s="31" t="s">
        <v>3633</v>
      </c>
      <c r="BO233" s="17" t="s">
        <v>2428</v>
      </c>
      <c r="BP233" s="17" t="s">
        <v>2384</v>
      </c>
      <c r="BS233" s="17" t="s">
        <v>127</v>
      </c>
      <c r="BU233" s="17" t="s">
        <v>129</v>
      </c>
      <c r="BX233" s="13" t="s">
        <v>3685</v>
      </c>
      <c r="DA233" s="13" t="s">
        <v>10348</v>
      </c>
      <c r="DB233" s="13" t="s">
        <v>10348</v>
      </c>
    </row>
    <row r="234" spans="1:106" s="13" customFormat="1" ht="12.75" customHeight="1" x14ac:dyDescent="0.2">
      <c r="A234" s="13" t="s">
        <v>102</v>
      </c>
      <c r="B234" s="13" t="s">
        <v>103</v>
      </c>
      <c r="D234" s="13" t="s">
        <v>820</v>
      </c>
      <c r="E234" s="13" t="s">
        <v>228</v>
      </c>
      <c r="F234" s="13" t="s">
        <v>820</v>
      </c>
      <c r="G234" s="13" t="s">
        <v>229</v>
      </c>
      <c r="H234" s="13" t="s">
        <v>227</v>
      </c>
      <c r="J234" s="13" t="s">
        <v>106</v>
      </c>
      <c r="W234" s="13">
        <v>319</v>
      </c>
      <c r="X234" s="13">
        <v>319</v>
      </c>
      <c r="Y234" s="13" t="s">
        <v>107</v>
      </c>
      <c r="Z234" s="13" t="s">
        <v>108</v>
      </c>
      <c r="AA234" s="13" t="s">
        <v>107</v>
      </c>
      <c r="AB234" s="13" t="s">
        <v>3686</v>
      </c>
      <c r="AC234" s="13" t="s">
        <v>3686</v>
      </c>
      <c r="AD234" s="13" t="s">
        <v>3686</v>
      </c>
      <c r="AE234" s="34" t="s">
        <v>112</v>
      </c>
      <c r="AF234" s="13" t="s">
        <v>3686</v>
      </c>
      <c r="AG234" s="13" t="s">
        <v>3686</v>
      </c>
      <c r="AH234" s="39" t="s">
        <v>3687</v>
      </c>
      <c r="AL234" s="13" t="s">
        <v>3688</v>
      </c>
      <c r="AN234" s="13">
        <v>329</v>
      </c>
      <c r="AO234" s="13" t="s">
        <v>3689</v>
      </c>
      <c r="AQ234" s="13" t="s">
        <v>3686</v>
      </c>
      <c r="AR234" s="13" t="s">
        <v>3686</v>
      </c>
      <c r="AS234" s="13" t="s">
        <v>116</v>
      </c>
      <c r="AT234" s="13" t="s">
        <v>3690</v>
      </c>
      <c r="AU234" s="13" t="s">
        <v>2377</v>
      </c>
      <c r="AV234" s="13" t="s">
        <v>827</v>
      </c>
      <c r="AW234" s="39" t="s">
        <v>828</v>
      </c>
      <c r="AX234" s="39" t="s">
        <v>829</v>
      </c>
      <c r="AY234" s="13" t="s">
        <v>3691</v>
      </c>
      <c r="AZ234" s="13" t="s">
        <v>3692</v>
      </c>
      <c r="BA234" s="13" t="s">
        <v>3692</v>
      </c>
      <c r="BB234" s="13" t="s">
        <v>3693</v>
      </c>
      <c r="BC234" s="13" t="s">
        <v>3694</v>
      </c>
      <c r="BD234" s="13">
        <f t="shared" si="8"/>
        <v>58</v>
      </c>
      <c r="BE234" s="17" t="s">
        <v>834</v>
      </c>
      <c r="BF234" s="17" t="s">
        <v>736</v>
      </c>
      <c r="BG234" s="17" t="s">
        <v>924</v>
      </c>
      <c r="BH234" s="17" t="s">
        <v>2382</v>
      </c>
      <c r="BJ234" s="31" t="s">
        <v>849</v>
      </c>
      <c r="BO234" s="17" t="s">
        <v>3328</v>
      </c>
      <c r="BP234" s="17" t="s">
        <v>2384</v>
      </c>
      <c r="BS234" s="17" t="s">
        <v>127</v>
      </c>
      <c r="BU234" s="17" t="s">
        <v>129</v>
      </c>
      <c r="BX234" s="13" t="s">
        <v>3695</v>
      </c>
      <c r="DA234" s="13" t="s">
        <v>10348</v>
      </c>
      <c r="DB234" s="13" t="s">
        <v>10348</v>
      </c>
    </row>
    <row r="235" spans="1:106" s="13" customFormat="1" ht="12.75" customHeight="1" x14ac:dyDescent="0.2">
      <c r="A235" s="13" t="s">
        <v>102</v>
      </c>
      <c r="B235" s="13" t="s">
        <v>103</v>
      </c>
      <c r="D235" s="13" t="s">
        <v>820</v>
      </c>
      <c r="E235" s="13" t="s">
        <v>471</v>
      </c>
      <c r="F235" s="13" t="s">
        <v>820</v>
      </c>
      <c r="G235" s="13" t="s">
        <v>229</v>
      </c>
      <c r="H235" s="13" t="s">
        <v>227</v>
      </c>
      <c r="J235" s="13" t="s">
        <v>106</v>
      </c>
      <c r="W235" s="13">
        <v>320</v>
      </c>
      <c r="X235" s="13">
        <v>320</v>
      </c>
      <c r="Y235" s="13" t="s">
        <v>107</v>
      </c>
      <c r="Z235" s="13" t="s">
        <v>108</v>
      </c>
      <c r="AA235" s="13" t="s">
        <v>107</v>
      </c>
      <c r="AB235" s="13" t="s">
        <v>3696</v>
      </c>
      <c r="AC235" s="13" t="s">
        <v>3696</v>
      </c>
      <c r="AD235" s="13" t="s">
        <v>3696</v>
      </c>
      <c r="AE235" s="34" t="s">
        <v>112</v>
      </c>
      <c r="AF235" s="13" t="s">
        <v>3696</v>
      </c>
      <c r="AG235" s="13" t="s">
        <v>3696</v>
      </c>
      <c r="AH235" s="39" t="s">
        <v>3697</v>
      </c>
      <c r="AL235" s="13" t="s">
        <v>3698</v>
      </c>
      <c r="AN235" s="13">
        <v>329</v>
      </c>
      <c r="AO235" s="13" t="s">
        <v>3699</v>
      </c>
      <c r="AQ235" s="13" t="s">
        <v>3696</v>
      </c>
      <c r="AR235" s="13" t="s">
        <v>3696</v>
      </c>
      <c r="AS235" s="13" t="s">
        <v>116</v>
      </c>
      <c r="AT235" s="13" t="s">
        <v>3700</v>
      </c>
      <c r="AU235" s="13" t="s">
        <v>2377</v>
      </c>
      <c r="AV235" s="13" t="s">
        <v>827</v>
      </c>
      <c r="AW235" s="39" t="s">
        <v>828</v>
      </c>
      <c r="AX235" s="39" t="s">
        <v>829</v>
      </c>
      <c r="AY235" s="13" t="s">
        <v>3701</v>
      </c>
      <c r="AZ235" s="13" t="s">
        <v>3702</v>
      </c>
      <c r="BA235" s="13" t="s">
        <v>3702</v>
      </c>
      <c r="BB235" s="13" t="s">
        <v>3703</v>
      </c>
      <c r="BC235" s="13" t="s">
        <v>3704</v>
      </c>
      <c r="BD235" s="13">
        <f t="shared" si="8"/>
        <v>53</v>
      </c>
      <c r="BE235" s="17" t="s">
        <v>834</v>
      </c>
      <c r="BF235" s="17" t="s">
        <v>736</v>
      </c>
      <c r="BG235" s="17" t="s">
        <v>751</v>
      </c>
      <c r="BJ235" s="31" t="s">
        <v>3705</v>
      </c>
      <c r="BO235" s="17" t="s">
        <v>2428</v>
      </c>
      <c r="BP235" s="17" t="s">
        <v>2384</v>
      </c>
      <c r="BS235" s="17" t="s">
        <v>127</v>
      </c>
      <c r="BU235" s="17" t="s">
        <v>129</v>
      </c>
      <c r="BX235" s="13" t="s">
        <v>3706</v>
      </c>
      <c r="DA235" s="13" t="s">
        <v>10348</v>
      </c>
      <c r="DB235" s="13" t="s">
        <v>10348</v>
      </c>
    </row>
    <row r="236" spans="1:106" s="13" customFormat="1" ht="12.75" customHeight="1" x14ac:dyDescent="0.2">
      <c r="A236" s="13" t="s">
        <v>102</v>
      </c>
      <c r="B236" s="13" t="s">
        <v>103</v>
      </c>
      <c r="D236" s="13" t="s">
        <v>820</v>
      </c>
      <c r="E236" s="13" t="s">
        <v>471</v>
      </c>
      <c r="F236" s="13" t="s">
        <v>820</v>
      </c>
      <c r="G236" s="13" t="s">
        <v>229</v>
      </c>
      <c r="H236" s="13" t="s">
        <v>227</v>
      </c>
      <c r="J236" s="13" t="s">
        <v>106</v>
      </c>
      <c r="W236" s="13">
        <v>321</v>
      </c>
      <c r="X236" s="13">
        <v>321</v>
      </c>
      <c r="Y236" s="13" t="s">
        <v>107</v>
      </c>
      <c r="Z236" s="13" t="s">
        <v>108</v>
      </c>
      <c r="AA236" s="13" t="s">
        <v>107</v>
      </c>
      <c r="AB236" s="13" t="s">
        <v>3707</v>
      </c>
      <c r="AC236" s="13" t="s">
        <v>3707</v>
      </c>
      <c r="AD236" s="13" t="s">
        <v>3707</v>
      </c>
      <c r="AE236" s="34" t="s">
        <v>112</v>
      </c>
      <c r="AF236" s="13" t="s">
        <v>3707</v>
      </c>
      <c r="AG236" s="13" t="s">
        <v>3707</v>
      </c>
      <c r="AH236" s="39" t="s">
        <v>3708</v>
      </c>
      <c r="AL236" s="13" t="s">
        <v>3709</v>
      </c>
      <c r="AN236" s="13">
        <v>329</v>
      </c>
      <c r="AO236" s="13" t="s">
        <v>3710</v>
      </c>
      <c r="AQ236" s="13" t="s">
        <v>3707</v>
      </c>
      <c r="AR236" s="13" t="s">
        <v>3707</v>
      </c>
      <c r="AS236" s="13" t="s">
        <v>116</v>
      </c>
      <c r="AT236" s="13" t="s">
        <v>3711</v>
      </c>
      <c r="AU236" s="13" t="s">
        <v>2377</v>
      </c>
      <c r="AV236" s="13" t="s">
        <v>827</v>
      </c>
      <c r="AW236" s="39" t="s">
        <v>828</v>
      </c>
      <c r="AX236" s="39" t="s">
        <v>829</v>
      </c>
      <c r="AY236" s="13" t="s">
        <v>3712</v>
      </c>
      <c r="AZ236" s="13" t="s">
        <v>3713</v>
      </c>
      <c r="BA236" s="13" t="s">
        <v>3713</v>
      </c>
      <c r="BB236" s="13" t="s">
        <v>3714</v>
      </c>
      <c r="BC236" s="13" t="s">
        <v>3715</v>
      </c>
      <c r="BD236" s="13">
        <f t="shared" si="8"/>
        <v>59</v>
      </c>
      <c r="BE236" s="17" t="s">
        <v>834</v>
      </c>
      <c r="BF236" s="17" t="s">
        <v>736</v>
      </c>
      <c r="BG236" s="17" t="s">
        <v>924</v>
      </c>
      <c r="BH236" s="17" t="s">
        <v>2382</v>
      </c>
      <c r="BJ236" s="31" t="s">
        <v>3716</v>
      </c>
      <c r="BO236" s="17" t="s">
        <v>3717</v>
      </c>
      <c r="BP236" s="17" t="s">
        <v>2384</v>
      </c>
      <c r="BS236" s="17" t="s">
        <v>127</v>
      </c>
      <c r="BU236" s="17" t="s">
        <v>129</v>
      </c>
      <c r="BX236" s="13" t="s">
        <v>3718</v>
      </c>
      <c r="DA236" s="13" t="s">
        <v>10348</v>
      </c>
      <c r="DB236" s="13" t="s">
        <v>10348</v>
      </c>
    </row>
    <row r="237" spans="1:106" s="13" customFormat="1" ht="12.75" customHeight="1" x14ac:dyDescent="0.2">
      <c r="A237" s="13" t="s">
        <v>102</v>
      </c>
      <c r="B237" s="13" t="s">
        <v>103</v>
      </c>
      <c r="D237" s="13" t="s">
        <v>820</v>
      </c>
      <c r="E237" s="13" t="s">
        <v>471</v>
      </c>
      <c r="F237" s="13" t="s">
        <v>820</v>
      </c>
      <c r="G237" s="13" t="s">
        <v>229</v>
      </c>
      <c r="H237" s="13" t="s">
        <v>227</v>
      </c>
      <c r="J237" s="13" t="s">
        <v>106</v>
      </c>
      <c r="W237" s="13">
        <v>322</v>
      </c>
      <c r="X237" s="13">
        <v>322</v>
      </c>
      <c r="Y237" s="13" t="s">
        <v>107</v>
      </c>
      <c r="Z237" s="13" t="s">
        <v>108</v>
      </c>
      <c r="AA237" s="13" t="s">
        <v>107</v>
      </c>
      <c r="AB237" s="13" t="s">
        <v>3719</v>
      </c>
      <c r="AC237" s="13" t="s">
        <v>3719</v>
      </c>
      <c r="AD237" s="13" t="s">
        <v>3719</v>
      </c>
      <c r="AE237" s="34" t="s">
        <v>112</v>
      </c>
      <c r="AF237" s="13" t="s">
        <v>3719</v>
      </c>
      <c r="AG237" s="13" t="s">
        <v>3719</v>
      </c>
      <c r="AH237" s="39" t="s">
        <v>3720</v>
      </c>
      <c r="AL237" s="13" t="s">
        <v>3721</v>
      </c>
      <c r="AN237" s="13">
        <v>329</v>
      </c>
      <c r="AO237" s="13" t="s">
        <v>3722</v>
      </c>
      <c r="AQ237" s="13" t="s">
        <v>3719</v>
      </c>
      <c r="AR237" s="13" t="s">
        <v>3719</v>
      </c>
      <c r="AS237" s="13" t="s">
        <v>116</v>
      </c>
      <c r="AT237" s="13" t="s">
        <v>3723</v>
      </c>
      <c r="AU237" s="13" t="s">
        <v>2377</v>
      </c>
      <c r="AV237" s="13" t="s">
        <v>827</v>
      </c>
      <c r="AW237" s="39" t="s">
        <v>828</v>
      </c>
      <c r="AX237" s="39" t="s">
        <v>829</v>
      </c>
      <c r="AY237" s="13" t="s">
        <v>3724</v>
      </c>
      <c r="AZ237" s="13" t="s">
        <v>3725</v>
      </c>
      <c r="BA237" s="13" t="s">
        <v>3725</v>
      </c>
      <c r="BB237" s="13" t="s">
        <v>3726</v>
      </c>
      <c r="BC237" s="13" t="s">
        <v>3727</v>
      </c>
      <c r="BD237" s="13">
        <f t="shared" si="8"/>
        <v>56</v>
      </c>
      <c r="BE237" s="17" t="s">
        <v>834</v>
      </c>
      <c r="BF237" s="17" t="s">
        <v>736</v>
      </c>
      <c r="BG237" s="17" t="s">
        <v>924</v>
      </c>
      <c r="BH237" s="17" t="s">
        <v>2382</v>
      </c>
      <c r="BJ237" s="31" t="s">
        <v>3633</v>
      </c>
      <c r="BO237" s="17" t="s">
        <v>2428</v>
      </c>
      <c r="BP237" s="17" t="s">
        <v>2384</v>
      </c>
      <c r="BS237" s="17" t="s">
        <v>127</v>
      </c>
      <c r="BU237" s="17" t="s">
        <v>129</v>
      </c>
      <c r="BX237" s="13" t="s">
        <v>3728</v>
      </c>
      <c r="DA237" s="13" t="s">
        <v>10348</v>
      </c>
      <c r="DB237" s="13" t="s">
        <v>10348</v>
      </c>
    </row>
    <row r="238" spans="1:106" s="13" customFormat="1" ht="12.75" customHeight="1" x14ac:dyDescent="0.2">
      <c r="A238" s="13" t="s">
        <v>102</v>
      </c>
      <c r="B238" s="13" t="s">
        <v>103</v>
      </c>
      <c r="D238" s="13" t="s">
        <v>820</v>
      </c>
      <c r="E238" s="13" t="s">
        <v>471</v>
      </c>
      <c r="F238" s="13" t="s">
        <v>820</v>
      </c>
      <c r="G238" s="13" t="s">
        <v>229</v>
      </c>
      <c r="H238" s="13" t="s">
        <v>227</v>
      </c>
      <c r="J238" s="13" t="s">
        <v>106</v>
      </c>
      <c r="W238" s="13">
        <v>323</v>
      </c>
      <c r="X238" s="13">
        <v>323</v>
      </c>
      <c r="Y238" s="13" t="s">
        <v>107</v>
      </c>
      <c r="Z238" s="13" t="s">
        <v>108</v>
      </c>
      <c r="AA238" s="13" t="s">
        <v>107</v>
      </c>
      <c r="AB238" s="13" t="s">
        <v>3729</v>
      </c>
      <c r="AC238" s="13" t="s">
        <v>3729</v>
      </c>
      <c r="AD238" s="13" t="s">
        <v>3729</v>
      </c>
      <c r="AE238" s="34" t="s">
        <v>112</v>
      </c>
      <c r="AF238" s="13" t="s">
        <v>3729</v>
      </c>
      <c r="AG238" s="13" t="s">
        <v>3729</v>
      </c>
      <c r="AH238" s="39" t="s">
        <v>3730</v>
      </c>
      <c r="AL238" s="13" t="s">
        <v>3731</v>
      </c>
      <c r="AN238" s="13">
        <v>329</v>
      </c>
      <c r="AO238" s="13" t="s">
        <v>3732</v>
      </c>
      <c r="AQ238" s="13" t="s">
        <v>3729</v>
      </c>
      <c r="AR238" s="13" t="s">
        <v>3729</v>
      </c>
      <c r="AS238" s="13" t="s">
        <v>116</v>
      </c>
      <c r="AT238" s="13" t="s">
        <v>3733</v>
      </c>
      <c r="AU238" s="13" t="s">
        <v>2377</v>
      </c>
      <c r="AV238" s="13" t="s">
        <v>827</v>
      </c>
      <c r="AW238" s="39" t="s">
        <v>828</v>
      </c>
      <c r="AX238" s="39" t="s">
        <v>829</v>
      </c>
      <c r="AY238" s="13" t="s">
        <v>3734</v>
      </c>
      <c r="AZ238" s="13" t="s">
        <v>3735</v>
      </c>
      <c r="BA238" s="13" t="s">
        <v>3735</v>
      </c>
      <c r="BB238" s="13" t="s">
        <v>3736</v>
      </c>
      <c r="BC238" s="13" t="s">
        <v>3737</v>
      </c>
      <c r="BD238" s="13">
        <f t="shared" si="8"/>
        <v>60</v>
      </c>
      <c r="BE238" s="17" t="s">
        <v>834</v>
      </c>
      <c r="BF238" s="17" t="s">
        <v>736</v>
      </c>
      <c r="BG238" s="17" t="s">
        <v>924</v>
      </c>
      <c r="BH238" s="17" t="s">
        <v>2382</v>
      </c>
      <c r="BJ238" s="31" t="s">
        <v>3705</v>
      </c>
      <c r="BO238" s="17" t="s">
        <v>2428</v>
      </c>
      <c r="BP238" s="17" t="s">
        <v>2384</v>
      </c>
      <c r="BS238" s="17" t="s">
        <v>127</v>
      </c>
      <c r="BU238" s="17" t="s">
        <v>129</v>
      </c>
      <c r="BX238" s="13" t="s">
        <v>3738</v>
      </c>
      <c r="DA238" s="13" t="s">
        <v>10348</v>
      </c>
      <c r="DB238" s="13" t="s">
        <v>10348</v>
      </c>
    </row>
    <row r="239" spans="1:106" s="13" customFormat="1" ht="12.75" customHeight="1" x14ac:dyDescent="0.2">
      <c r="A239" s="13" t="s">
        <v>102</v>
      </c>
      <c r="B239" s="13" t="s">
        <v>103</v>
      </c>
      <c r="D239" s="13" t="s">
        <v>820</v>
      </c>
      <c r="E239" s="13" t="s">
        <v>471</v>
      </c>
      <c r="F239" s="13" t="s">
        <v>820</v>
      </c>
      <c r="G239" s="13" t="s">
        <v>229</v>
      </c>
      <c r="H239" s="13" t="s">
        <v>227</v>
      </c>
      <c r="J239" s="13" t="s">
        <v>106</v>
      </c>
      <c r="W239" s="13">
        <v>324</v>
      </c>
      <c r="X239" s="13">
        <v>324</v>
      </c>
      <c r="Y239" s="13" t="s">
        <v>107</v>
      </c>
      <c r="Z239" s="13" t="s">
        <v>108</v>
      </c>
      <c r="AA239" s="13" t="s">
        <v>107</v>
      </c>
      <c r="AB239" s="13" t="s">
        <v>3739</v>
      </c>
      <c r="AC239" s="13" t="s">
        <v>3739</v>
      </c>
      <c r="AD239" s="13" t="s">
        <v>3739</v>
      </c>
      <c r="AE239" s="34" t="s">
        <v>112</v>
      </c>
      <c r="AF239" s="13" t="s">
        <v>3739</v>
      </c>
      <c r="AG239" s="13" t="s">
        <v>3739</v>
      </c>
      <c r="AH239" s="39" t="s">
        <v>3740</v>
      </c>
      <c r="AL239" s="13" t="s">
        <v>2421</v>
      </c>
      <c r="AN239" s="13">
        <v>329</v>
      </c>
      <c r="AO239" s="13" t="s">
        <v>3741</v>
      </c>
      <c r="AQ239" s="13" t="s">
        <v>3739</v>
      </c>
      <c r="AR239" s="13" t="s">
        <v>3739</v>
      </c>
      <c r="AS239" s="13" t="s">
        <v>116</v>
      </c>
      <c r="AT239" s="13" t="s">
        <v>2423</v>
      </c>
      <c r="AU239" s="13" t="s">
        <v>2377</v>
      </c>
      <c r="AV239" s="13" t="s">
        <v>827</v>
      </c>
      <c r="AW239" s="39" t="s">
        <v>828</v>
      </c>
      <c r="AX239" s="39" t="s">
        <v>829</v>
      </c>
      <c r="AY239" s="13" t="s">
        <v>2423</v>
      </c>
      <c r="AZ239" s="13" t="s">
        <v>3742</v>
      </c>
      <c r="BA239" s="13" t="s">
        <v>3742</v>
      </c>
      <c r="BB239" s="13" t="s">
        <v>3743</v>
      </c>
      <c r="BC239" s="13" t="s">
        <v>3744</v>
      </c>
      <c r="BD239" s="13">
        <f t="shared" si="8"/>
        <v>56</v>
      </c>
      <c r="BE239" s="17" t="s">
        <v>834</v>
      </c>
      <c r="BF239" s="17" t="s">
        <v>736</v>
      </c>
      <c r="BG239" s="17" t="s">
        <v>924</v>
      </c>
      <c r="BH239" s="17" t="s">
        <v>2382</v>
      </c>
      <c r="BJ239" s="31" t="s">
        <v>2427</v>
      </c>
      <c r="BO239" s="17" t="s">
        <v>2428</v>
      </c>
      <c r="BP239" s="17" t="s">
        <v>2384</v>
      </c>
      <c r="BS239" s="17" t="s">
        <v>127</v>
      </c>
      <c r="BU239" s="17" t="s">
        <v>129</v>
      </c>
      <c r="BX239" s="13" t="s">
        <v>3745</v>
      </c>
      <c r="DA239" s="13" t="s">
        <v>10348</v>
      </c>
      <c r="DB239" s="13" t="s">
        <v>10348</v>
      </c>
    </row>
    <row r="240" spans="1:106" s="13" customFormat="1" ht="12.75" customHeight="1" x14ac:dyDescent="0.2">
      <c r="A240" s="13" t="s">
        <v>102</v>
      </c>
      <c r="B240" s="13" t="s">
        <v>103</v>
      </c>
      <c r="D240" s="13" t="s">
        <v>820</v>
      </c>
      <c r="E240" s="13" t="s">
        <v>471</v>
      </c>
      <c r="F240" s="13" t="s">
        <v>820</v>
      </c>
      <c r="G240" s="13" t="s">
        <v>229</v>
      </c>
      <c r="H240" s="13" t="s">
        <v>227</v>
      </c>
      <c r="J240" s="13" t="s">
        <v>106</v>
      </c>
      <c r="W240" s="13">
        <v>325</v>
      </c>
      <c r="X240" s="13">
        <v>325</v>
      </c>
      <c r="Y240" s="13" t="s">
        <v>107</v>
      </c>
      <c r="Z240" s="13" t="s">
        <v>108</v>
      </c>
      <c r="AA240" s="13" t="s">
        <v>107</v>
      </c>
      <c r="AB240" s="13" t="s">
        <v>3746</v>
      </c>
      <c r="AC240" s="13" t="s">
        <v>3746</v>
      </c>
      <c r="AD240" s="13" t="s">
        <v>3746</v>
      </c>
      <c r="AE240" s="34" t="s">
        <v>112</v>
      </c>
      <c r="AF240" s="13" t="s">
        <v>3746</v>
      </c>
      <c r="AG240" s="13" t="s">
        <v>3746</v>
      </c>
      <c r="AH240" s="39" t="s">
        <v>3747</v>
      </c>
      <c r="AL240" s="13" t="s">
        <v>3748</v>
      </c>
      <c r="AN240" s="13">
        <v>329</v>
      </c>
      <c r="AO240" s="13" t="s">
        <v>3749</v>
      </c>
      <c r="AQ240" s="13" t="s">
        <v>3746</v>
      </c>
      <c r="AR240" s="13" t="s">
        <v>3746</v>
      </c>
      <c r="AS240" s="13" t="s">
        <v>116</v>
      </c>
      <c r="AT240" s="13" t="s">
        <v>3750</v>
      </c>
      <c r="AU240" s="13" t="s">
        <v>2377</v>
      </c>
      <c r="AV240" s="13" t="s">
        <v>827</v>
      </c>
      <c r="AW240" s="39" t="s">
        <v>828</v>
      </c>
      <c r="AX240" s="39" t="s">
        <v>829</v>
      </c>
      <c r="AY240" s="13" t="s">
        <v>3750</v>
      </c>
      <c r="AZ240" s="13" t="s">
        <v>3751</v>
      </c>
      <c r="BA240" s="13" t="s">
        <v>3751</v>
      </c>
      <c r="BB240" s="13" t="s">
        <v>3752</v>
      </c>
      <c r="BC240" s="13" t="s">
        <v>3753</v>
      </c>
      <c r="BD240" s="13">
        <f t="shared" si="8"/>
        <v>53</v>
      </c>
      <c r="BE240" s="17" t="s">
        <v>834</v>
      </c>
      <c r="BF240" s="17" t="s">
        <v>736</v>
      </c>
      <c r="BG240" s="17" t="s">
        <v>751</v>
      </c>
      <c r="BJ240" s="31" t="s">
        <v>3622</v>
      </c>
      <c r="BO240" s="17" t="s">
        <v>2428</v>
      </c>
      <c r="BP240" s="17" t="s">
        <v>2384</v>
      </c>
      <c r="BS240" s="17" t="s">
        <v>127</v>
      </c>
      <c r="BU240" s="17" t="s">
        <v>129</v>
      </c>
      <c r="BX240" s="13" t="s">
        <v>3754</v>
      </c>
      <c r="DA240" s="13" t="s">
        <v>10348</v>
      </c>
      <c r="DB240" s="13" t="s">
        <v>10348</v>
      </c>
    </row>
    <row r="241" spans="1:106" s="13" customFormat="1" ht="12.75" customHeight="1" x14ac:dyDescent="0.2">
      <c r="A241" s="13" t="s">
        <v>102</v>
      </c>
      <c r="B241" s="13" t="s">
        <v>103</v>
      </c>
      <c r="D241" s="13" t="s">
        <v>820</v>
      </c>
      <c r="E241" s="13" t="s">
        <v>471</v>
      </c>
      <c r="F241" s="13" t="s">
        <v>820</v>
      </c>
      <c r="G241" s="13" t="s">
        <v>229</v>
      </c>
      <c r="H241" s="13" t="s">
        <v>227</v>
      </c>
      <c r="J241" s="13" t="s">
        <v>106</v>
      </c>
      <c r="W241" s="13">
        <v>326</v>
      </c>
      <c r="X241" s="13">
        <v>326</v>
      </c>
      <c r="Y241" s="13" t="s">
        <v>107</v>
      </c>
      <c r="Z241" s="13" t="s">
        <v>108</v>
      </c>
      <c r="AA241" s="13" t="s">
        <v>107</v>
      </c>
      <c r="AB241" s="13" t="s">
        <v>3755</v>
      </c>
      <c r="AC241" s="13" t="s">
        <v>3755</v>
      </c>
      <c r="AD241" s="13" t="s">
        <v>3755</v>
      </c>
      <c r="AE241" s="34" t="s">
        <v>112</v>
      </c>
      <c r="AF241" s="13" t="s">
        <v>3755</v>
      </c>
      <c r="AG241" s="13" t="s">
        <v>3755</v>
      </c>
      <c r="AH241" s="39" t="s">
        <v>3756</v>
      </c>
      <c r="AL241" s="13" t="s">
        <v>3757</v>
      </c>
      <c r="AN241" s="13">
        <v>329</v>
      </c>
      <c r="AO241" s="13" t="s">
        <v>3758</v>
      </c>
      <c r="AQ241" s="13" t="s">
        <v>3755</v>
      </c>
      <c r="AR241" s="13" t="s">
        <v>3755</v>
      </c>
      <c r="AS241" s="13" t="s">
        <v>116</v>
      </c>
      <c r="AT241" s="13" t="s">
        <v>3759</v>
      </c>
      <c r="AU241" s="13" t="s">
        <v>2377</v>
      </c>
      <c r="AV241" s="13" t="s">
        <v>827</v>
      </c>
      <c r="AW241" s="39" t="s">
        <v>828</v>
      </c>
      <c r="AX241" s="39" t="s">
        <v>829</v>
      </c>
      <c r="AY241" s="13" t="s">
        <v>3759</v>
      </c>
      <c r="AZ241" s="13" t="s">
        <v>3760</v>
      </c>
      <c r="BA241" s="13" t="s">
        <v>3760</v>
      </c>
      <c r="BB241" s="13" t="s">
        <v>3761</v>
      </c>
      <c r="BC241" s="13" t="s">
        <v>3762</v>
      </c>
      <c r="BD241" s="13">
        <f t="shared" si="8"/>
        <v>58</v>
      </c>
      <c r="BE241" s="17" t="s">
        <v>834</v>
      </c>
      <c r="BF241" s="17" t="s">
        <v>736</v>
      </c>
      <c r="BG241" s="17" t="s">
        <v>924</v>
      </c>
      <c r="BH241" s="17" t="s">
        <v>3763</v>
      </c>
      <c r="BJ241" s="31" t="s">
        <v>849</v>
      </c>
      <c r="BO241" s="17" t="s">
        <v>2428</v>
      </c>
      <c r="BP241" s="17" t="s">
        <v>2384</v>
      </c>
      <c r="BS241" s="17" t="s">
        <v>127</v>
      </c>
      <c r="BU241" s="17" t="s">
        <v>129</v>
      </c>
      <c r="BX241" s="13" t="s">
        <v>3764</v>
      </c>
      <c r="DA241" s="13" t="s">
        <v>10348</v>
      </c>
      <c r="DB241" s="13" t="s">
        <v>10348</v>
      </c>
    </row>
    <row r="242" spans="1:106" s="13" customFormat="1" ht="12.75" customHeight="1" x14ac:dyDescent="0.2">
      <c r="A242" s="13" t="s">
        <v>102</v>
      </c>
      <c r="B242" s="13" t="s">
        <v>103</v>
      </c>
      <c r="D242" s="13" t="s">
        <v>820</v>
      </c>
      <c r="E242" s="13" t="s">
        <v>471</v>
      </c>
      <c r="F242" s="13" t="s">
        <v>820</v>
      </c>
      <c r="G242" s="13" t="s">
        <v>229</v>
      </c>
      <c r="H242" s="13" t="s">
        <v>227</v>
      </c>
      <c r="J242" s="13" t="s">
        <v>106</v>
      </c>
      <c r="W242" s="13">
        <v>327</v>
      </c>
      <c r="X242" s="13">
        <v>327</v>
      </c>
      <c r="Y242" s="13" t="s">
        <v>107</v>
      </c>
      <c r="Z242" s="13" t="s">
        <v>108</v>
      </c>
      <c r="AA242" s="13" t="s">
        <v>107</v>
      </c>
      <c r="AB242" s="13" t="s">
        <v>3765</v>
      </c>
      <c r="AC242" s="13" t="s">
        <v>3765</v>
      </c>
      <c r="AD242" s="13" t="s">
        <v>3765</v>
      </c>
      <c r="AE242" s="34" t="s">
        <v>112</v>
      </c>
      <c r="AF242" s="13" t="s">
        <v>3765</v>
      </c>
      <c r="AG242" s="13" t="s">
        <v>3765</v>
      </c>
      <c r="AH242" s="39" t="s">
        <v>3766</v>
      </c>
      <c r="AL242" s="13" t="s">
        <v>3767</v>
      </c>
      <c r="AN242" s="13">
        <v>329</v>
      </c>
      <c r="AO242" s="13" t="s">
        <v>3768</v>
      </c>
      <c r="AQ242" s="13" t="s">
        <v>3765</v>
      </c>
      <c r="AR242" s="13" t="s">
        <v>3765</v>
      </c>
      <c r="AS242" s="13" t="s">
        <v>116</v>
      </c>
      <c r="AT242" s="13" t="s">
        <v>3769</v>
      </c>
      <c r="AU242" s="13" t="s">
        <v>2377</v>
      </c>
      <c r="AV242" s="13" t="s">
        <v>827</v>
      </c>
      <c r="AW242" s="39" t="s">
        <v>828</v>
      </c>
      <c r="AX242" s="39" t="s">
        <v>829</v>
      </c>
      <c r="AY242" s="13" t="s">
        <v>3770</v>
      </c>
      <c r="AZ242" s="13" t="s">
        <v>3771</v>
      </c>
      <c r="BA242" s="13" t="s">
        <v>3771</v>
      </c>
      <c r="BB242" s="13" t="s">
        <v>3772</v>
      </c>
      <c r="BC242" s="13" t="s">
        <v>3773</v>
      </c>
      <c r="BD242" s="13">
        <f t="shared" ref="BD242:BD273" si="9">LEN(SUBSTITUTE(BC242, ", "," "))</f>
        <v>58</v>
      </c>
      <c r="BE242" s="17" t="s">
        <v>834</v>
      </c>
      <c r="BF242" s="17" t="s">
        <v>736</v>
      </c>
      <c r="BG242" s="17" t="s">
        <v>924</v>
      </c>
      <c r="BH242" s="17" t="s">
        <v>1082</v>
      </c>
      <c r="BJ242" s="31" t="s">
        <v>849</v>
      </c>
      <c r="BO242" s="17" t="s">
        <v>2428</v>
      </c>
      <c r="BP242" s="17" t="s">
        <v>2384</v>
      </c>
      <c r="BS242" s="17" t="s">
        <v>127</v>
      </c>
      <c r="BU242" s="17" t="s">
        <v>129</v>
      </c>
      <c r="BX242" s="13" t="s">
        <v>3774</v>
      </c>
      <c r="DA242" s="13" t="s">
        <v>10348</v>
      </c>
      <c r="DB242" s="13" t="s">
        <v>10348</v>
      </c>
    </row>
    <row r="243" spans="1:106" s="13" customFormat="1" ht="12.75" customHeight="1" x14ac:dyDescent="0.2">
      <c r="A243" s="13" t="s">
        <v>102</v>
      </c>
      <c r="B243" s="13" t="s">
        <v>103</v>
      </c>
      <c r="D243" s="13" t="s">
        <v>820</v>
      </c>
      <c r="E243" s="13" t="s">
        <v>471</v>
      </c>
      <c r="F243" s="13" t="s">
        <v>820</v>
      </c>
      <c r="G243" s="13" t="s">
        <v>229</v>
      </c>
      <c r="H243" s="13" t="s">
        <v>227</v>
      </c>
      <c r="J243" s="13" t="s">
        <v>106</v>
      </c>
      <c r="W243" s="13">
        <v>328</v>
      </c>
      <c r="X243" s="13">
        <v>328</v>
      </c>
      <c r="Y243" s="13" t="s">
        <v>107</v>
      </c>
      <c r="Z243" s="13" t="s">
        <v>108</v>
      </c>
      <c r="AA243" s="13" t="s">
        <v>107</v>
      </c>
      <c r="AB243" s="13" t="s">
        <v>3775</v>
      </c>
      <c r="AC243" s="13" t="s">
        <v>3775</v>
      </c>
      <c r="AD243" s="13" t="s">
        <v>3775</v>
      </c>
      <c r="AE243" s="34" t="s">
        <v>112</v>
      </c>
      <c r="AF243" s="13" t="s">
        <v>3775</v>
      </c>
      <c r="AG243" s="13" t="s">
        <v>3775</v>
      </c>
      <c r="AH243" s="39" t="s">
        <v>3776</v>
      </c>
      <c r="AL243" s="13" t="s">
        <v>3777</v>
      </c>
      <c r="AN243" s="13">
        <v>329</v>
      </c>
      <c r="AO243" s="13" t="s">
        <v>3778</v>
      </c>
      <c r="AQ243" s="13" t="s">
        <v>3775</v>
      </c>
      <c r="AR243" s="13" t="s">
        <v>3775</v>
      </c>
      <c r="AS243" s="13" t="s">
        <v>116</v>
      </c>
      <c r="AT243" s="13" t="s">
        <v>3779</v>
      </c>
      <c r="AU243" s="13" t="s">
        <v>2377</v>
      </c>
      <c r="AV243" s="13" t="s">
        <v>827</v>
      </c>
      <c r="AW243" s="39" t="s">
        <v>828</v>
      </c>
      <c r="AX243" s="39" t="s">
        <v>829</v>
      </c>
      <c r="AY243" s="13" t="s">
        <v>3780</v>
      </c>
      <c r="AZ243" s="13" t="s">
        <v>3781</v>
      </c>
      <c r="BA243" s="13" t="s">
        <v>3781</v>
      </c>
      <c r="BB243" s="13" t="s">
        <v>3782</v>
      </c>
      <c r="BC243" s="13" t="s">
        <v>3783</v>
      </c>
      <c r="BD243" s="13">
        <f t="shared" si="9"/>
        <v>56</v>
      </c>
      <c r="BE243" s="17" t="s">
        <v>834</v>
      </c>
      <c r="BF243" s="17" t="s">
        <v>736</v>
      </c>
      <c r="BG243" s="17" t="s">
        <v>924</v>
      </c>
      <c r="BH243" s="17" t="s">
        <v>2382</v>
      </c>
      <c r="BJ243" s="31" t="s">
        <v>871</v>
      </c>
      <c r="BO243" s="17" t="s">
        <v>2428</v>
      </c>
      <c r="BP243" s="17" t="s">
        <v>2384</v>
      </c>
      <c r="BS243" s="17" t="s">
        <v>127</v>
      </c>
      <c r="BU243" s="17" t="s">
        <v>129</v>
      </c>
      <c r="BX243" s="13" t="s">
        <v>3784</v>
      </c>
      <c r="DA243" s="13" t="s">
        <v>10348</v>
      </c>
      <c r="DB243" s="13" t="s">
        <v>10348</v>
      </c>
    </row>
    <row r="244" spans="1:106" s="13" customFormat="1" ht="12.75" customHeight="1" x14ac:dyDescent="0.2">
      <c r="A244" s="13" t="s">
        <v>102</v>
      </c>
      <c r="B244" s="13" t="s">
        <v>103</v>
      </c>
      <c r="D244" s="13" t="s">
        <v>820</v>
      </c>
      <c r="E244" s="13" t="s">
        <v>471</v>
      </c>
      <c r="F244" s="13" t="s">
        <v>820</v>
      </c>
      <c r="G244" s="13" t="s">
        <v>229</v>
      </c>
      <c r="H244" s="13" t="s">
        <v>227</v>
      </c>
      <c r="J244" s="13" t="s">
        <v>106</v>
      </c>
      <c r="W244" s="13">
        <v>329</v>
      </c>
      <c r="X244" s="13">
        <v>329</v>
      </c>
      <c r="Y244" s="13" t="s">
        <v>107</v>
      </c>
      <c r="Z244" s="13" t="s">
        <v>108</v>
      </c>
      <c r="AA244" s="13" t="s">
        <v>107</v>
      </c>
      <c r="AB244" s="13" t="s">
        <v>3785</v>
      </c>
      <c r="AC244" s="13" t="s">
        <v>3785</v>
      </c>
      <c r="AD244" s="13" t="s">
        <v>3785</v>
      </c>
      <c r="AE244" s="34" t="s">
        <v>112</v>
      </c>
      <c r="AF244" s="13" t="s">
        <v>3785</v>
      </c>
      <c r="AG244" s="13" t="s">
        <v>3785</v>
      </c>
      <c r="AH244" s="39" t="s">
        <v>3786</v>
      </c>
      <c r="AL244" s="13" t="s">
        <v>3787</v>
      </c>
      <c r="AN244" s="13">
        <v>329</v>
      </c>
      <c r="AO244" s="13" t="s">
        <v>3788</v>
      </c>
      <c r="AQ244" s="13" t="s">
        <v>3785</v>
      </c>
      <c r="AR244" s="13" t="s">
        <v>3785</v>
      </c>
      <c r="AS244" s="13" t="s">
        <v>116</v>
      </c>
      <c r="AT244" s="13" t="s">
        <v>3789</v>
      </c>
      <c r="AU244" s="13" t="s">
        <v>2377</v>
      </c>
      <c r="AV244" s="13" t="s">
        <v>827</v>
      </c>
      <c r="AW244" s="39" t="s">
        <v>828</v>
      </c>
      <c r="AX244" s="39" t="s">
        <v>829</v>
      </c>
      <c r="AY244" s="13" t="s">
        <v>3789</v>
      </c>
      <c r="AZ244" s="13" t="s">
        <v>3790</v>
      </c>
      <c r="BA244" s="13" t="s">
        <v>3790</v>
      </c>
      <c r="BB244" s="13" t="s">
        <v>3791</v>
      </c>
      <c r="BC244" s="13" t="s">
        <v>3792</v>
      </c>
      <c r="BD244" s="13">
        <f t="shared" si="9"/>
        <v>56</v>
      </c>
      <c r="BE244" s="17" t="s">
        <v>834</v>
      </c>
      <c r="BF244" s="17" t="s">
        <v>736</v>
      </c>
      <c r="BG244" s="17" t="s">
        <v>924</v>
      </c>
      <c r="BH244" s="17" t="s">
        <v>2382</v>
      </c>
      <c r="BJ244" s="31" t="s">
        <v>3793</v>
      </c>
      <c r="BO244" s="17" t="s">
        <v>2428</v>
      </c>
      <c r="BP244" s="17" t="s">
        <v>2384</v>
      </c>
      <c r="BS244" s="17" t="s">
        <v>127</v>
      </c>
      <c r="BU244" s="17" t="s">
        <v>129</v>
      </c>
      <c r="BX244" s="13" t="s">
        <v>3794</v>
      </c>
      <c r="DA244" s="13" t="s">
        <v>10348</v>
      </c>
      <c r="DB244" s="13" t="s">
        <v>10348</v>
      </c>
    </row>
    <row r="245" spans="1:106" s="13" customFormat="1" ht="12.75" customHeight="1" x14ac:dyDescent="0.2">
      <c r="A245" s="13" t="s">
        <v>102</v>
      </c>
      <c r="B245" s="13" t="s">
        <v>103</v>
      </c>
      <c r="D245" s="13" t="s">
        <v>820</v>
      </c>
      <c r="E245" s="13" t="s">
        <v>471</v>
      </c>
      <c r="F245" s="13" t="s">
        <v>820</v>
      </c>
      <c r="G245" s="13" t="s">
        <v>229</v>
      </c>
      <c r="H245" s="13" t="s">
        <v>227</v>
      </c>
      <c r="J245" s="13" t="s">
        <v>106</v>
      </c>
      <c r="W245" s="13">
        <v>330</v>
      </c>
      <c r="X245" s="13">
        <v>330</v>
      </c>
      <c r="Y245" s="13" t="s">
        <v>107</v>
      </c>
      <c r="Z245" s="13" t="s">
        <v>108</v>
      </c>
      <c r="AA245" s="13" t="s">
        <v>107</v>
      </c>
      <c r="AB245" s="13" t="s">
        <v>3795</v>
      </c>
      <c r="AC245" s="13" t="s">
        <v>3795</v>
      </c>
      <c r="AD245" s="13" t="s">
        <v>3795</v>
      </c>
      <c r="AE245" s="34" t="s">
        <v>112</v>
      </c>
      <c r="AF245" s="13" t="s">
        <v>3795</v>
      </c>
      <c r="AG245" s="13" t="s">
        <v>3795</v>
      </c>
      <c r="AH245" s="39" t="s">
        <v>3796</v>
      </c>
      <c r="AL245" s="13" t="s">
        <v>3797</v>
      </c>
      <c r="AN245" s="13">
        <v>329</v>
      </c>
      <c r="AO245" s="13" t="s">
        <v>3798</v>
      </c>
      <c r="AQ245" s="13" t="s">
        <v>3795</v>
      </c>
      <c r="AR245" s="13" t="s">
        <v>3795</v>
      </c>
      <c r="AS245" s="13" t="s">
        <v>116</v>
      </c>
      <c r="AT245" s="13" t="s">
        <v>3799</v>
      </c>
      <c r="AU245" s="13" t="s">
        <v>2377</v>
      </c>
      <c r="AV245" s="13" t="s">
        <v>827</v>
      </c>
      <c r="AW245" s="39" t="s">
        <v>828</v>
      </c>
      <c r="AX245" s="39" t="s">
        <v>829</v>
      </c>
      <c r="AY245" s="13" t="s">
        <v>3799</v>
      </c>
      <c r="AZ245" s="13" t="s">
        <v>3800</v>
      </c>
      <c r="BA245" s="13" t="s">
        <v>3800</v>
      </c>
      <c r="BB245" s="13" t="s">
        <v>3801</v>
      </c>
      <c r="BC245" s="13" t="s">
        <v>3802</v>
      </c>
      <c r="BD245" s="13">
        <f t="shared" si="9"/>
        <v>60</v>
      </c>
      <c r="BE245" s="17" t="s">
        <v>834</v>
      </c>
      <c r="BF245" s="17" t="s">
        <v>736</v>
      </c>
      <c r="BG245" s="17" t="s">
        <v>924</v>
      </c>
      <c r="BH245" s="17" t="s">
        <v>2382</v>
      </c>
      <c r="BJ245" s="31" t="s">
        <v>3803</v>
      </c>
      <c r="BO245" s="17" t="s">
        <v>2428</v>
      </c>
      <c r="BP245" s="17" t="s">
        <v>2384</v>
      </c>
      <c r="BS245" s="17" t="s">
        <v>127</v>
      </c>
      <c r="BU245" s="17" t="s">
        <v>129</v>
      </c>
      <c r="BX245" s="13" t="s">
        <v>3804</v>
      </c>
      <c r="DA245" s="13" t="s">
        <v>10348</v>
      </c>
      <c r="DB245" s="13" t="s">
        <v>10348</v>
      </c>
    </row>
    <row r="246" spans="1:106" s="13" customFormat="1" ht="12.75" customHeight="1" x14ac:dyDescent="0.2">
      <c r="A246" s="13" t="s">
        <v>102</v>
      </c>
      <c r="B246" s="13" t="s">
        <v>103</v>
      </c>
      <c r="D246" s="13" t="s">
        <v>820</v>
      </c>
      <c r="E246" s="13" t="s">
        <v>471</v>
      </c>
      <c r="F246" s="13" t="s">
        <v>820</v>
      </c>
      <c r="G246" s="13" t="s">
        <v>229</v>
      </c>
      <c r="H246" s="13" t="s">
        <v>227</v>
      </c>
      <c r="J246" s="13" t="s">
        <v>106</v>
      </c>
      <c r="W246" s="13">
        <v>331</v>
      </c>
      <c r="X246" s="13">
        <v>331</v>
      </c>
      <c r="Y246" s="13" t="s">
        <v>107</v>
      </c>
      <c r="Z246" s="13" t="s">
        <v>108</v>
      </c>
      <c r="AA246" s="13" t="s">
        <v>107</v>
      </c>
      <c r="AB246" s="13" t="s">
        <v>3805</v>
      </c>
      <c r="AC246" s="13" t="s">
        <v>3805</v>
      </c>
      <c r="AD246" s="13" t="s">
        <v>3805</v>
      </c>
      <c r="AE246" s="34" t="s">
        <v>112</v>
      </c>
      <c r="AF246" s="13" t="s">
        <v>3805</v>
      </c>
      <c r="AG246" s="13" t="s">
        <v>3805</v>
      </c>
      <c r="AH246" s="39" t="s">
        <v>3806</v>
      </c>
      <c r="AL246" s="13" t="s">
        <v>3807</v>
      </c>
      <c r="AN246" s="13">
        <v>329</v>
      </c>
      <c r="AO246" s="13" t="s">
        <v>3808</v>
      </c>
      <c r="AQ246" s="13" t="s">
        <v>3805</v>
      </c>
      <c r="AR246" s="13" t="s">
        <v>3805</v>
      </c>
      <c r="AS246" s="13" t="s">
        <v>116</v>
      </c>
      <c r="AT246" s="13" t="s">
        <v>3809</v>
      </c>
      <c r="AU246" s="13" t="s">
        <v>2377</v>
      </c>
      <c r="AV246" s="13" t="s">
        <v>827</v>
      </c>
      <c r="AW246" s="39" t="s">
        <v>828</v>
      </c>
      <c r="AX246" s="39" t="s">
        <v>829</v>
      </c>
      <c r="AY246" s="13" t="s">
        <v>3809</v>
      </c>
      <c r="AZ246" s="13" t="s">
        <v>3810</v>
      </c>
      <c r="BA246" s="13" t="s">
        <v>3810</v>
      </c>
      <c r="BB246" s="13" t="s">
        <v>3811</v>
      </c>
      <c r="BC246" s="13" t="s">
        <v>3812</v>
      </c>
      <c r="BD246" s="13">
        <f t="shared" si="9"/>
        <v>60</v>
      </c>
      <c r="BE246" s="17" t="s">
        <v>834</v>
      </c>
      <c r="BF246" s="17" t="s">
        <v>736</v>
      </c>
      <c r="BG246" s="17" t="s">
        <v>924</v>
      </c>
      <c r="BH246" s="17" t="s">
        <v>2382</v>
      </c>
      <c r="BJ246" s="31" t="s">
        <v>3813</v>
      </c>
      <c r="BO246" s="17" t="s">
        <v>2428</v>
      </c>
      <c r="BP246" s="17" t="s">
        <v>2384</v>
      </c>
      <c r="BS246" s="17" t="s">
        <v>127</v>
      </c>
      <c r="BU246" s="17" t="s">
        <v>129</v>
      </c>
      <c r="BX246" s="13" t="s">
        <v>3814</v>
      </c>
      <c r="DA246" s="13" t="s">
        <v>10348</v>
      </c>
      <c r="DB246" s="13" t="s">
        <v>10348</v>
      </c>
    </row>
    <row r="247" spans="1:106" s="13" customFormat="1" ht="12.75" customHeight="1" x14ac:dyDescent="0.2">
      <c r="A247" s="13" t="s">
        <v>102</v>
      </c>
      <c r="B247" s="13" t="s">
        <v>103</v>
      </c>
      <c r="D247" s="13" t="s">
        <v>820</v>
      </c>
      <c r="E247" s="13" t="s">
        <v>471</v>
      </c>
      <c r="F247" s="13" t="s">
        <v>820</v>
      </c>
      <c r="G247" s="13" t="s">
        <v>229</v>
      </c>
      <c r="H247" s="13" t="s">
        <v>227</v>
      </c>
      <c r="J247" s="13" t="s">
        <v>106</v>
      </c>
      <c r="W247" s="13">
        <v>332</v>
      </c>
      <c r="X247" s="13">
        <v>332</v>
      </c>
      <c r="Y247" s="13" t="s">
        <v>107</v>
      </c>
      <c r="Z247" s="13" t="s">
        <v>108</v>
      </c>
      <c r="AA247" s="13" t="s">
        <v>107</v>
      </c>
      <c r="AB247" s="13" t="s">
        <v>3815</v>
      </c>
      <c r="AC247" s="13" t="s">
        <v>3815</v>
      </c>
      <c r="AD247" s="13" t="s">
        <v>3815</v>
      </c>
      <c r="AE247" s="34" t="s">
        <v>112</v>
      </c>
      <c r="AF247" s="13" t="s">
        <v>3815</v>
      </c>
      <c r="AG247" s="13" t="s">
        <v>3815</v>
      </c>
      <c r="AH247" s="39" t="s">
        <v>3816</v>
      </c>
      <c r="AL247" s="13" t="s">
        <v>3817</v>
      </c>
      <c r="AN247" s="13">
        <v>329</v>
      </c>
      <c r="AO247" s="13" t="s">
        <v>3818</v>
      </c>
      <c r="AQ247" s="13" t="s">
        <v>3815</v>
      </c>
      <c r="AR247" s="13" t="s">
        <v>3815</v>
      </c>
      <c r="AS247" s="13" t="s">
        <v>116</v>
      </c>
      <c r="AT247" s="13" t="s">
        <v>3819</v>
      </c>
      <c r="AU247" s="13" t="s">
        <v>2377</v>
      </c>
      <c r="AV247" s="13" t="s">
        <v>827</v>
      </c>
      <c r="AW247" s="39" t="s">
        <v>828</v>
      </c>
      <c r="AX247" s="39" t="s">
        <v>829</v>
      </c>
      <c r="AY247" s="13" t="s">
        <v>3819</v>
      </c>
      <c r="AZ247" s="13" t="s">
        <v>3820</v>
      </c>
      <c r="BA247" s="13" t="s">
        <v>3820</v>
      </c>
      <c r="BB247" s="13" t="s">
        <v>3821</v>
      </c>
      <c r="BC247" s="13" t="s">
        <v>3822</v>
      </c>
      <c r="BD247" s="13">
        <f t="shared" si="9"/>
        <v>56</v>
      </c>
      <c r="BE247" s="17" t="s">
        <v>834</v>
      </c>
      <c r="BF247" s="17" t="s">
        <v>736</v>
      </c>
      <c r="BG247" s="17" t="s">
        <v>924</v>
      </c>
      <c r="BH247" s="17" t="s">
        <v>2382</v>
      </c>
      <c r="BJ247" s="31" t="s">
        <v>3306</v>
      </c>
      <c r="BO247" s="17" t="s">
        <v>2428</v>
      </c>
      <c r="BP247" s="17" t="s">
        <v>2384</v>
      </c>
      <c r="BS247" s="17" t="s">
        <v>127</v>
      </c>
      <c r="BU247" s="17" t="s">
        <v>129</v>
      </c>
      <c r="BX247" s="13" t="s">
        <v>3823</v>
      </c>
      <c r="DA247" s="13" t="s">
        <v>10348</v>
      </c>
      <c r="DB247" s="13" t="s">
        <v>10348</v>
      </c>
    </row>
    <row r="248" spans="1:106" s="13" customFormat="1" ht="12.75" customHeight="1" x14ac:dyDescent="0.2">
      <c r="A248" s="13" t="s">
        <v>102</v>
      </c>
      <c r="B248" s="13" t="s">
        <v>103</v>
      </c>
      <c r="D248" s="13" t="s">
        <v>820</v>
      </c>
      <c r="E248" s="13" t="s">
        <v>471</v>
      </c>
      <c r="F248" s="13" t="s">
        <v>820</v>
      </c>
      <c r="G248" s="13" t="s">
        <v>229</v>
      </c>
      <c r="H248" s="13" t="s">
        <v>227</v>
      </c>
      <c r="J248" s="13" t="s">
        <v>106</v>
      </c>
      <c r="W248" s="13">
        <v>333</v>
      </c>
      <c r="X248" s="13">
        <v>333</v>
      </c>
      <c r="Y248" s="13" t="s">
        <v>107</v>
      </c>
      <c r="Z248" s="13" t="s">
        <v>108</v>
      </c>
      <c r="AA248" s="13" t="s">
        <v>107</v>
      </c>
      <c r="AB248" s="13" t="s">
        <v>3824</v>
      </c>
      <c r="AC248" s="13" t="s">
        <v>3824</v>
      </c>
      <c r="AD248" s="13" t="s">
        <v>3824</v>
      </c>
      <c r="AE248" s="34" t="s">
        <v>112</v>
      </c>
      <c r="AF248" s="13" t="s">
        <v>3824</v>
      </c>
      <c r="AG248" s="13" t="s">
        <v>3824</v>
      </c>
      <c r="AH248" s="39" t="s">
        <v>3825</v>
      </c>
      <c r="AL248" s="13" t="s">
        <v>3826</v>
      </c>
      <c r="AN248" s="13">
        <v>329</v>
      </c>
      <c r="AO248" s="13" t="s">
        <v>3827</v>
      </c>
      <c r="AQ248" s="13" t="s">
        <v>3824</v>
      </c>
      <c r="AR248" s="13" t="s">
        <v>3824</v>
      </c>
      <c r="AS248" s="13" t="s">
        <v>116</v>
      </c>
      <c r="AT248" s="13" t="s">
        <v>3828</v>
      </c>
      <c r="AU248" s="13" t="s">
        <v>2377</v>
      </c>
      <c r="AV248" s="13" t="s">
        <v>827</v>
      </c>
      <c r="AW248" s="39" t="s">
        <v>828</v>
      </c>
      <c r="AX248" s="39" t="s">
        <v>829</v>
      </c>
      <c r="AY248" s="13" t="s">
        <v>3828</v>
      </c>
      <c r="AZ248" s="13" t="s">
        <v>3829</v>
      </c>
      <c r="BA248" s="13" t="s">
        <v>3829</v>
      </c>
      <c r="BB248" s="13" t="s">
        <v>3830</v>
      </c>
      <c r="BC248" s="13" t="s">
        <v>3831</v>
      </c>
      <c r="BD248" s="13">
        <f t="shared" si="9"/>
        <v>53</v>
      </c>
      <c r="BE248" s="17" t="s">
        <v>834</v>
      </c>
      <c r="BF248" s="17" t="s">
        <v>736</v>
      </c>
      <c r="BG248" s="17" t="s">
        <v>751</v>
      </c>
      <c r="BJ248" s="31" t="s">
        <v>3832</v>
      </c>
      <c r="BO248" s="17" t="s">
        <v>2428</v>
      </c>
      <c r="BP248" s="17" t="s">
        <v>2384</v>
      </c>
      <c r="BS248" s="17" t="s">
        <v>127</v>
      </c>
      <c r="BU248" s="17" t="s">
        <v>129</v>
      </c>
      <c r="BX248" s="13" t="s">
        <v>3833</v>
      </c>
      <c r="DA248" s="13" t="s">
        <v>10348</v>
      </c>
      <c r="DB248" s="13" t="s">
        <v>10348</v>
      </c>
    </row>
    <row r="249" spans="1:106" s="13" customFormat="1" ht="12.75" customHeight="1" x14ac:dyDescent="0.2">
      <c r="A249" s="13" t="s">
        <v>102</v>
      </c>
      <c r="B249" s="13" t="s">
        <v>103</v>
      </c>
      <c r="D249" s="13" t="s">
        <v>820</v>
      </c>
      <c r="E249" s="13" t="s">
        <v>471</v>
      </c>
      <c r="F249" s="13" t="s">
        <v>820</v>
      </c>
      <c r="G249" s="13" t="s">
        <v>229</v>
      </c>
      <c r="H249" s="13" t="s">
        <v>227</v>
      </c>
      <c r="J249" s="13" t="s">
        <v>106</v>
      </c>
      <c r="W249" s="13">
        <v>334</v>
      </c>
      <c r="X249" s="13">
        <v>334</v>
      </c>
      <c r="Y249" s="13" t="s">
        <v>107</v>
      </c>
      <c r="Z249" s="13" t="s">
        <v>108</v>
      </c>
      <c r="AA249" s="13" t="s">
        <v>107</v>
      </c>
      <c r="AB249" s="13" t="s">
        <v>3834</v>
      </c>
      <c r="AC249" s="13" t="s">
        <v>3834</v>
      </c>
      <c r="AD249" s="13" t="s">
        <v>3834</v>
      </c>
      <c r="AE249" s="34" t="s">
        <v>112</v>
      </c>
      <c r="AF249" s="13" t="s">
        <v>3834</v>
      </c>
      <c r="AG249" s="13" t="s">
        <v>3834</v>
      </c>
      <c r="AH249" s="39" t="s">
        <v>3835</v>
      </c>
      <c r="AL249" s="13" t="s">
        <v>3836</v>
      </c>
      <c r="AN249" s="13">
        <v>329</v>
      </c>
      <c r="AO249" s="13" t="s">
        <v>3837</v>
      </c>
      <c r="AQ249" s="13" t="s">
        <v>3834</v>
      </c>
      <c r="AR249" s="13" t="s">
        <v>3834</v>
      </c>
      <c r="AS249" s="13" t="s">
        <v>116</v>
      </c>
      <c r="AT249" s="13" t="s">
        <v>3838</v>
      </c>
      <c r="AU249" s="13" t="s">
        <v>2377</v>
      </c>
      <c r="AV249" s="13" t="s">
        <v>827</v>
      </c>
      <c r="AW249" s="39" t="s">
        <v>828</v>
      </c>
      <c r="AX249" s="39" t="s">
        <v>829</v>
      </c>
      <c r="AY249" s="13" t="s">
        <v>3838</v>
      </c>
      <c r="AZ249" s="13" t="s">
        <v>3839</v>
      </c>
      <c r="BA249" s="13" t="s">
        <v>3839</v>
      </c>
      <c r="BB249" s="13" t="s">
        <v>3840</v>
      </c>
      <c r="BC249" s="13" t="s">
        <v>3841</v>
      </c>
      <c r="BD249" s="13">
        <f t="shared" si="9"/>
        <v>59</v>
      </c>
      <c r="BE249" s="17" t="s">
        <v>834</v>
      </c>
      <c r="BF249" s="17" t="s">
        <v>736</v>
      </c>
      <c r="BG249" s="17" t="s">
        <v>2855</v>
      </c>
      <c r="BH249" s="17" t="s">
        <v>2382</v>
      </c>
      <c r="BJ249" s="31" t="s">
        <v>3803</v>
      </c>
      <c r="BO249" s="17" t="s">
        <v>2856</v>
      </c>
      <c r="BP249" s="17" t="s">
        <v>2384</v>
      </c>
      <c r="BS249" s="17" t="s">
        <v>127</v>
      </c>
      <c r="BU249" s="17" t="s">
        <v>129</v>
      </c>
      <c r="BX249" s="13" t="s">
        <v>3842</v>
      </c>
      <c r="DA249" s="13" t="s">
        <v>10348</v>
      </c>
      <c r="DB249" s="13" t="s">
        <v>10348</v>
      </c>
    </row>
    <row r="250" spans="1:106" s="13" customFormat="1" ht="12.75" customHeight="1" x14ac:dyDescent="0.2">
      <c r="A250" s="13" t="s">
        <v>102</v>
      </c>
      <c r="B250" s="13" t="s">
        <v>103</v>
      </c>
      <c r="D250" s="13" t="s">
        <v>820</v>
      </c>
      <c r="E250" s="13" t="s">
        <v>471</v>
      </c>
      <c r="F250" s="13" t="s">
        <v>820</v>
      </c>
      <c r="G250" s="13" t="s">
        <v>229</v>
      </c>
      <c r="H250" s="13" t="s">
        <v>227</v>
      </c>
      <c r="J250" s="13" t="s">
        <v>106</v>
      </c>
      <c r="W250" s="13">
        <v>335</v>
      </c>
      <c r="X250" s="13">
        <v>335</v>
      </c>
      <c r="Y250" s="13" t="s">
        <v>107</v>
      </c>
      <c r="Z250" s="13" t="s">
        <v>108</v>
      </c>
      <c r="AA250" s="13" t="s">
        <v>107</v>
      </c>
      <c r="AB250" s="13" t="s">
        <v>3843</v>
      </c>
      <c r="AC250" s="13" t="s">
        <v>3843</v>
      </c>
      <c r="AD250" s="13" t="s">
        <v>3843</v>
      </c>
      <c r="AE250" s="34" t="s">
        <v>112</v>
      </c>
      <c r="AF250" s="13" t="s">
        <v>3843</v>
      </c>
      <c r="AG250" s="13" t="s">
        <v>3843</v>
      </c>
      <c r="AH250" s="39" t="s">
        <v>3844</v>
      </c>
      <c r="AL250" s="13" t="s">
        <v>3845</v>
      </c>
      <c r="AN250" s="13">
        <v>329</v>
      </c>
      <c r="AO250" s="13" t="s">
        <v>3846</v>
      </c>
      <c r="AQ250" s="13" t="s">
        <v>3843</v>
      </c>
      <c r="AR250" s="13" t="s">
        <v>3843</v>
      </c>
      <c r="AS250" s="13" t="s">
        <v>116</v>
      </c>
      <c r="AT250" s="13" t="s">
        <v>3847</v>
      </c>
      <c r="AU250" s="13" t="s">
        <v>2377</v>
      </c>
      <c r="AV250" s="13" t="s">
        <v>827</v>
      </c>
      <c r="AW250" s="39" t="s">
        <v>828</v>
      </c>
      <c r="AX250" s="39" t="s">
        <v>829</v>
      </c>
      <c r="AY250" s="13" t="s">
        <v>3848</v>
      </c>
      <c r="AZ250" s="13" t="s">
        <v>3849</v>
      </c>
      <c r="BA250" s="13" t="s">
        <v>3849</v>
      </c>
      <c r="BB250" s="13" t="s">
        <v>3850</v>
      </c>
      <c r="BC250" s="13" t="s">
        <v>3851</v>
      </c>
      <c r="BD250" s="13">
        <f t="shared" si="9"/>
        <v>59</v>
      </c>
      <c r="BE250" s="17" t="s">
        <v>834</v>
      </c>
      <c r="BF250" s="17" t="s">
        <v>736</v>
      </c>
      <c r="BG250" s="17" t="s">
        <v>2855</v>
      </c>
      <c r="BH250" s="17" t="s">
        <v>2382</v>
      </c>
      <c r="BJ250" s="31" t="s">
        <v>883</v>
      </c>
      <c r="BO250" s="17" t="s">
        <v>2856</v>
      </c>
      <c r="BP250" s="17" t="s">
        <v>2384</v>
      </c>
      <c r="BS250" s="17" t="s">
        <v>127</v>
      </c>
      <c r="BU250" s="17" t="s">
        <v>129</v>
      </c>
      <c r="BX250" s="13" t="s">
        <v>3852</v>
      </c>
      <c r="DA250" s="13" t="s">
        <v>10348</v>
      </c>
      <c r="DB250" s="13" t="s">
        <v>10348</v>
      </c>
    </row>
    <row r="251" spans="1:106" s="13" customFormat="1" ht="12.75" customHeight="1" x14ac:dyDescent="0.2">
      <c r="A251" s="13" t="s">
        <v>102</v>
      </c>
      <c r="B251" s="13" t="s">
        <v>103</v>
      </c>
      <c r="D251" s="13" t="s">
        <v>820</v>
      </c>
      <c r="E251" s="13" t="s">
        <v>471</v>
      </c>
      <c r="F251" s="13" t="s">
        <v>820</v>
      </c>
      <c r="G251" s="13" t="s">
        <v>229</v>
      </c>
      <c r="H251" s="13" t="s">
        <v>227</v>
      </c>
      <c r="J251" s="13" t="s">
        <v>106</v>
      </c>
      <c r="W251" s="13">
        <v>336</v>
      </c>
      <c r="X251" s="13">
        <v>336</v>
      </c>
      <c r="Y251" s="13" t="s">
        <v>107</v>
      </c>
      <c r="Z251" s="13" t="s">
        <v>108</v>
      </c>
      <c r="AA251" s="13" t="s">
        <v>107</v>
      </c>
      <c r="AB251" s="13" t="s">
        <v>3853</v>
      </c>
      <c r="AC251" s="13" t="s">
        <v>3853</v>
      </c>
      <c r="AD251" s="13" t="s">
        <v>3853</v>
      </c>
      <c r="AE251" s="34" t="s">
        <v>112</v>
      </c>
      <c r="AF251" s="13" t="s">
        <v>3853</v>
      </c>
      <c r="AG251" s="13" t="s">
        <v>3853</v>
      </c>
      <c r="AH251" s="39" t="s">
        <v>3854</v>
      </c>
      <c r="AL251" s="13" t="s">
        <v>3855</v>
      </c>
      <c r="AN251" s="13">
        <v>329</v>
      </c>
      <c r="AO251" s="13" t="s">
        <v>3856</v>
      </c>
      <c r="AQ251" s="13" t="s">
        <v>3853</v>
      </c>
      <c r="AR251" s="13" t="s">
        <v>3853</v>
      </c>
      <c r="AS251" s="13" t="s">
        <v>116</v>
      </c>
      <c r="AT251" s="13" t="s">
        <v>3857</v>
      </c>
      <c r="AU251" s="13" t="s">
        <v>2377</v>
      </c>
      <c r="AV251" s="13" t="s">
        <v>827</v>
      </c>
      <c r="AW251" s="39" t="s">
        <v>828</v>
      </c>
      <c r="AX251" s="39" t="s">
        <v>829</v>
      </c>
      <c r="AY251" s="13" t="s">
        <v>3857</v>
      </c>
      <c r="AZ251" s="13" t="s">
        <v>3858</v>
      </c>
      <c r="BA251" s="13" t="s">
        <v>3858</v>
      </c>
      <c r="BB251" s="13" t="s">
        <v>3859</v>
      </c>
      <c r="BC251" s="13" t="s">
        <v>3860</v>
      </c>
      <c r="BD251" s="13">
        <f t="shared" si="9"/>
        <v>53</v>
      </c>
      <c r="BE251" s="17" t="s">
        <v>834</v>
      </c>
      <c r="BF251" s="17" t="s">
        <v>736</v>
      </c>
      <c r="BG251" s="17" t="s">
        <v>751</v>
      </c>
      <c r="BJ251" s="31" t="s">
        <v>3861</v>
      </c>
      <c r="BO251" s="17" t="s">
        <v>2428</v>
      </c>
      <c r="BP251" s="17" t="s">
        <v>2384</v>
      </c>
      <c r="BS251" s="17" t="s">
        <v>127</v>
      </c>
      <c r="BU251" s="17" t="s">
        <v>129</v>
      </c>
      <c r="BX251" s="13" t="s">
        <v>3862</v>
      </c>
      <c r="DA251" s="13" t="s">
        <v>10348</v>
      </c>
      <c r="DB251" s="13" t="s">
        <v>10348</v>
      </c>
    </row>
    <row r="252" spans="1:106" s="13" customFormat="1" ht="12.75" customHeight="1" x14ac:dyDescent="0.2">
      <c r="A252" s="13" t="s">
        <v>102</v>
      </c>
      <c r="B252" s="13" t="s">
        <v>103</v>
      </c>
      <c r="D252" s="13" t="s">
        <v>820</v>
      </c>
      <c r="E252" s="13" t="s">
        <v>471</v>
      </c>
      <c r="F252" s="13" t="s">
        <v>820</v>
      </c>
      <c r="G252" s="13" t="s">
        <v>229</v>
      </c>
      <c r="H252" s="13" t="s">
        <v>227</v>
      </c>
      <c r="J252" s="13" t="s">
        <v>106</v>
      </c>
      <c r="W252" s="13">
        <v>337</v>
      </c>
      <c r="X252" s="13">
        <v>337</v>
      </c>
      <c r="Y252" s="13" t="s">
        <v>107</v>
      </c>
      <c r="Z252" s="13" t="s">
        <v>108</v>
      </c>
      <c r="AA252" s="13" t="s">
        <v>107</v>
      </c>
      <c r="AB252" s="13" t="s">
        <v>3863</v>
      </c>
      <c r="AC252" s="13" t="s">
        <v>3863</v>
      </c>
      <c r="AD252" s="13" t="s">
        <v>3863</v>
      </c>
      <c r="AE252" s="34" t="s">
        <v>112</v>
      </c>
      <c r="AF252" s="13" t="s">
        <v>3863</v>
      </c>
      <c r="AG252" s="13" t="s">
        <v>3863</v>
      </c>
      <c r="AH252" s="39" t="s">
        <v>3864</v>
      </c>
      <c r="AL252" s="13" t="s">
        <v>3865</v>
      </c>
      <c r="AN252" s="13">
        <v>329</v>
      </c>
      <c r="AO252" s="13" t="s">
        <v>3866</v>
      </c>
      <c r="AQ252" s="13" t="s">
        <v>3863</v>
      </c>
      <c r="AR252" s="13" t="s">
        <v>3863</v>
      </c>
      <c r="AS252" s="13" t="s">
        <v>116</v>
      </c>
      <c r="AT252" s="13" t="s">
        <v>3867</v>
      </c>
      <c r="AU252" s="13" t="s">
        <v>2377</v>
      </c>
      <c r="AV252" s="13" t="s">
        <v>827</v>
      </c>
      <c r="AW252" s="39" t="s">
        <v>828</v>
      </c>
      <c r="AX252" s="39" t="s">
        <v>829</v>
      </c>
      <c r="AY252" s="13" t="s">
        <v>3867</v>
      </c>
      <c r="AZ252" s="13" t="s">
        <v>3868</v>
      </c>
      <c r="BA252" s="13" t="s">
        <v>3868</v>
      </c>
      <c r="BB252" s="13" t="s">
        <v>3869</v>
      </c>
      <c r="BC252" s="13" t="s">
        <v>3870</v>
      </c>
      <c r="BD252" s="13">
        <f t="shared" si="9"/>
        <v>53</v>
      </c>
      <c r="BE252" s="17" t="s">
        <v>834</v>
      </c>
      <c r="BF252" s="17" t="s">
        <v>736</v>
      </c>
      <c r="BG252" s="17" t="s">
        <v>751</v>
      </c>
      <c r="BJ252" s="31" t="s">
        <v>3871</v>
      </c>
      <c r="BO252" s="17" t="s">
        <v>2428</v>
      </c>
      <c r="BP252" s="17" t="s">
        <v>2384</v>
      </c>
      <c r="BS252" s="17" t="s">
        <v>127</v>
      </c>
      <c r="BU252" s="17" t="s">
        <v>129</v>
      </c>
      <c r="BX252" s="13" t="s">
        <v>3872</v>
      </c>
      <c r="DA252" s="13" t="s">
        <v>10348</v>
      </c>
      <c r="DB252" s="13" t="s">
        <v>10348</v>
      </c>
    </row>
    <row r="253" spans="1:106" s="13" customFormat="1" ht="12.75" customHeight="1" x14ac:dyDescent="0.2">
      <c r="A253" s="13" t="s">
        <v>102</v>
      </c>
      <c r="B253" s="13" t="s">
        <v>103</v>
      </c>
      <c r="D253" s="13" t="s">
        <v>820</v>
      </c>
      <c r="E253" s="13" t="s">
        <v>471</v>
      </c>
      <c r="F253" s="13" t="s">
        <v>820</v>
      </c>
      <c r="G253" s="13" t="s">
        <v>229</v>
      </c>
      <c r="H253" s="13" t="s">
        <v>227</v>
      </c>
      <c r="J253" s="13" t="s">
        <v>106</v>
      </c>
      <c r="W253" s="13">
        <v>338</v>
      </c>
      <c r="X253" s="13">
        <v>338</v>
      </c>
      <c r="Y253" s="13" t="s">
        <v>107</v>
      </c>
      <c r="Z253" s="13" t="s">
        <v>108</v>
      </c>
      <c r="AA253" s="13" t="s">
        <v>107</v>
      </c>
      <c r="AB253" s="13" t="s">
        <v>3873</v>
      </c>
      <c r="AC253" s="13" t="s">
        <v>3873</v>
      </c>
      <c r="AD253" s="13" t="s">
        <v>3873</v>
      </c>
      <c r="AE253" s="34" t="s">
        <v>112</v>
      </c>
      <c r="AF253" s="13" t="s">
        <v>3873</v>
      </c>
      <c r="AG253" s="13" t="s">
        <v>3873</v>
      </c>
      <c r="AH253" s="39" t="s">
        <v>3874</v>
      </c>
      <c r="AL253" s="13" t="s">
        <v>3875</v>
      </c>
      <c r="AN253" s="13">
        <v>329</v>
      </c>
      <c r="AO253" s="13" t="s">
        <v>3876</v>
      </c>
      <c r="AQ253" s="13" t="s">
        <v>3873</v>
      </c>
      <c r="AR253" s="13" t="s">
        <v>3873</v>
      </c>
      <c r="AS253" s="13" t="s">
        <v>116</v>
      </c>
      <c r="AT253" s="13" t="s">
        <v>3877</v>
      </c>
      <c r="AU253" s="13" t="s">
        <v>2377</v>
      </c>
      <c r="AV253" s="13" t="s">
        <v>827</v>
      </c>
      <c r="AW253" s="39" t="s">
        <v>828</v>
      </c>
      <c r="AX253" s="39" t="s">
        <v>829</v>
      </c>
      <c r="AY253" s="13" t="s">
        <v>3877</v>
      </c>
      <c r="AZ253" s="13" t="s">
        <v>3878</v>
      </c>
      <c r="BA253" s="13" t="s">
        <v>3878</v>
      </c>
      <c r="BB253" s="13" t="s">
        <v>3879</v>
      </c>
      <c r="BC253" s="13" t="s">
        <v>3880</v>
      </c>
      <c r="BD253" s="13">
        <f t="shared" si="9"/>
        <v>53</v>
      </c>
      <c r="BE253" s="17" t="s">
        <v>834</v>
      </c>
      <c r="BF253" s="17" t="s">
        <v>736</v>
      </c>
      <c r="BG253" s="17" t="s">
        <v>751</v>
      </c>
      <c r="BJ253" s="31" t="s">
        <v>3368</v>
      </c>
      <c r="BO253" s="17" t="s">
        <v>2428</v>
      </c>
      <c r="BP253" s="17" t="s">
        <v>2384</v>
      </c>
      <c r="BS253" s="17" t="s">
        <v>127</v>
      </c>
      <c r="BU253" s="17" t="s">
        <v>129</v>
      </c>
      <c r="BX253" s="13" t="s">
        <v>3881</v>
      </c>
      <c r="DA253" s="13" t="s">
        <v>10348</v>
      </c>
      <c r="DB253" s="13" t="s">
        <v>10348</v>
      </c>
    </row>
    <row r="254" spans="1:106" s="13" customFormat="1" ht="12.75" customHeight="1" x14ac:dyDescent="0.2">
      <c r="A254" s="13" t="s">
        <v>102</v>
      </c>
      <c r="B254" s="13" t="s">
        <v>103</v>
      </c>
      <c r="D254" s="13" t="s">
        <v>820</v>
      </c>
      <c r="E254" s="13" t="s">
        <v>471</v>
      </c>
      <c r="F254" s="13" t="s">
        <v>820</v>
      </c>
      <c r="G254" s="13" t="s">
        <v>229</v>
      </c>
      <c r="H254" s="13" t="s">
        <v>227</v>
      </c>
      <c r="J254" s="13" t="s">
        <v>106</v>
      </c>
      <c r="W254" s="13">
        <v>339</v>
      </c>
      <c r="X254" s="13">
        <v>339</v>
      </c>
      <c r="Y254" s="13" t="s">
        <v>107</v>
      </c>
      <c r="Z254" s="13" t="s">
        <v>108</v>
      </c>
      <c r="AA254" s="13" t="s">
        <v>107</v>
      </c>
      <c r="AB254" s="13" t="s">
        <v>3882</v>
      </c>
      <c r="AC254" s="13" t="s">
        <v>3882</v>
      </c>
      <c r="AD254" s="13" t="s">
        <v>3882</v>
      </c>
      <c r="AE254" s="34" t="s">
        <v>112</v>
      </c>
      <c r="AF254" s="13" t="s">
        <v>3882</v>
      </c>
      <c r="AG254" s="13" t="s">
        <v>3882</v>
      </c>
      <c r="AH254" s="39" t="s">
        <v>3883</v>
      </c>
      <c r="AL254" s="13" t="s">
        <v>3884</v>
      </c>
      <c r="AN254" s="13">
        <v>329</v>
      </c>
      <c r="AO254" s="13" t="s">
        <v>3885</v>
      </c>
      <c r="AQ254" s="13" t="s">
        <v>3882</v>
      </c>
      <c r="AR254" s="13" t="s">
        <v>3882</v>
      </c>
      <c r="AS254" s="13" t="s">
        <v>116</v>
      </c>
      <c r="AT254" s="13" t="s">
        <v>3886</v>
      </c>
      <c r="AU254" s="13" t="s">
        <v>2377</v>
      </c>
      <c r="AV254" s="13" t="s">
        <v>827</v>
      </c>
      <c r="AW254" s="39" t="s">
        <v>828</v>
      </c>
      <c r="AX254" s="39" t="s">
        <v>829</v>
      </c>
      <c r="AY254" s="13" t="s">
        <v>3886</v>
      </c>
      <c r="AZ254" s="13" t="s">
        <v>3887</v>
      </c>
      <c r="BA254" s="13" t="s">
        <v>3887</v>
      </c>
      <c r="BB254" s="13" t="s">
        <v>3888</v>
      </c>
      <c r="BC254" s="13" t="s">
        <v>3889</v>
      </c>
      <c r="BD254" s="13">
        <f t="shared" si="9"/>
        <v>54</v>
      </c>
      <c r="BE254" s="17" t="s">
        <v>834</v>
      </c>
      <c r="BF254" s="17" t="s">
        <v>736</v>
      </c>
      <c r="BG254" s="17" t="s">
        <v>751</v>
      </c>
      <c r="BJ254" s="31" t="s">
        <v>3890</v>
      </c>
      <c r="BO254" s="17" t="s">
        <v>2428</v>
      </c>
      <c r="BP254" s="17" t="s">
        <v>2384</v>
      </c>
      <c r="BS254" s="17" t="s">
        <v>127</v>
      </c>
      <c r="BU254" s="17" t="s">
        <v>129</v>
      </c>
      <c r="BX254" s="13" t="s">
        <v>3891</v>
      </c>
      <c r="DA254" s="13" t="s">
        <v>10348</v>
      </c>
      <c r="DB254" s="13" t="s">
        <v>10348</v>
      </c>
    </row>
    <row r="255" spans="1:106" s="13" customFormat="1" ht="12.75" customHeight="1" x14ac:dyDescent="0.2">
      <c r="A255" s="13" t="s">
        <v>102</v>
      </c>
      <c r="B255" s="13" t="s">
        <v>103</v>
      </c>
      <c r="D255" s="13" t="s">
        <v>820</v>
      </c>
      <c r="E255" s="13" t="s">
        <v>471</v>
      </c>
      <c r="F255" s="13" t="s">
        <v>820</v>
      </c>
      <c r="G255" s="13" t="s">
        <v>229</v>
      </c>
      <c r="H255" s="13" t="s">
        <v>227</v>
      </c>
      <c r="J255" s="13" t="s">
        <v>106</v>
      </c>
      <c r="W255" s="13">
        <v>340</v>
      </c>
      <c r="X255" s="13">
        <v>340</v>
      </c>
      <c r="Y255" s="13" t="s">
        <v>107</v>
      </c>
      <c r="Z255" s="13" t="s">
        <v>108</v>
      </c>
      <c r="AA255" s="13" t="s">
        <v>107</v>
      </c>
      <c r="AB255" s="13" t="s">
        <v>3892</v>
      </c>
      <c r="AC255" s="13" t="s">
        <v>3892</v>
      </c>
      <c r="AD255" s="13" t="s">
        <v>3892</v>
      </c>
      <c r="AE255" s="34" t="s">
        <v>112</v>
      </c>
      <c r="AF255" s="13" t="s">
        <v>3892</v>
      </c>
      <c r="AG255" s="13" t="s">
        <v>3892</v>
      </c>
      <c r="AH255" s="39" t="s">
        <v>3893</v>
      </c>
      <c r="AL255" s="13" t="s">
        <v>3894</v>
      </c>
      <c r="AN255" s="13">
        <v>329</v>
      </c>
      <c r="AO255" s="13" t="s">
        <v>3895</v>
      </c>
      <c r="AQ255" s="13" t="s">
        <v>3892</v>
      </c>
      <c r="AR255" s="13" t="s">
        <v>3892</v>
      </c>
      <c r="AS255" s="13" t="s">
        <v>116</v>
      </c>
      <c r="AT255" s="13" t="s">
        <v>3896</v>
      </c>
      <c r="AU255" s="13" t="s">
        <v>2377</v>
      </c>
      <c r="AV255" s="13" t="s">
        <v>827</v>
      </c>
      <c r="AW255" s="39" t="s">
        <v>828</v>
      </c>
      <c r="AX255" s="39" t="s">
        <v>829</v>
      </c>
      <c r="AY255" s="13" t="s">
        <v>3897</v>
      </c>
      <c r="AZ255" s="13" t="s">
        <v>3898</v>
      </c>
      <c r="BA255" s="13" t="s">
        <v>3898</v>
      </c>
      <c r="BB255" s="13" t="s">
        <v>3899</v>
      </c>
      <c r="BC255" s="13" t="s">
        <v>3900</v>
      </c>
      <c r="BD255" s="13">
        <f t="shared" si="9"/>
        <v>59</v>
      </c>
      <c r="BE255" s="17" t="s">
        <v>834</v>
      </c>
      <c r="BF255" s="17" t="s">
        <v>736</v>
      </c>
      <c r="BG255" s="17" t="s">
        <v>2855</v>
      </c>
      <c r="BH255" s="17" t="s">
        <v>2382</v>
      </c>
      <c r="BJ255" s="31" t="s">
        <v>3665</v>
      </c>
      <c r="BO255" s="17" t="s">
        <v>2856</v>
      </c>
      <c r="BP255" s="17" t="s">
        <v>2384</v>
      </c>
      <c r="BS255" s="17" t="s">
        <v>127</v>
      </c>
      <c r="BU255" s="17" t="s">
        <v>129</v>
      </c>
      <c r="BX255" s="13" t="s">
        <v>3901</v>
      </c>
      <c r="DA255" s="13" t="s">
        <v>10348</v>
      </c>
      <c r="DB255" s="13" t="s">
        <v>10348</v>
      </c>
    </row>
    <row r="256" spans="1:106" s="13" customFormat="1" ht="12.75" customHeight="1" x14ac:dyDescent="0.2">
      <c r="A256" s="13" t="s">
        <v>102</v>
      </c>
      <c r="B256" s="13" t="s">
        <v>103</v>
      </c>
      <c r="D256" s="13" t="s">
        <v>820</v>
      </c>
      <c r="E256" s="13" t="s">
        <v>471</v>
      </c>
      <c r="F256" s="13" t="s">
        <v>820</v>
      </c>
      <c r="G256" s="13" t="s">
        <v>229</v>
      </c>
      <c r="H256" s="13" t="s">
        <v>227</v>
      </c>
      <c r="J256" s="13" t="s">
        <v>106</v>
      </c>
      <c r="W256" s="13">
        <v>341</v>
      </c>
      <c r="X256" s="13">
        <v>341</v>
      </c>
      <c r="Y256" s="13" t="s">
        <v>107</v>
      </c>
      <c r="Z256" s="13" t="s">
        <v>108</v>
      </c>
      <c r="AA256" s="13" t="s">
        <v>107</v>
      </c>
      <c r="AB256" s="13" t="s">
        <v>3902</v>
      </c>
      <c r="AC256" s="13" t="s">
        <v>3902</v>
      </c>
      <c r="AD256" s="13" t="s">
        <v>3902</v>
      </c>
      <c r="AE256" s="34" t="s">
        <v>112</v>
      </c>
      <c r="AF256" s="13" t="s">
        <v>3902</v>
      </c>
      <c r="AG256" s="13" t="s">
        <v>3902</v>
      </c>
      <c r="AH256" s="39" t="s">
        <v>3903</v>
      </c>
      <c r="AL256" s="13" t="s">
        <v>3904</v>
      </c>
      <c r="AN256" s="13">
        <v>329</v>
      </c>
      <c r="AO256" s="13" t="s">
        <v>3905</v>
      </c>
      <c r="AQ256" s="13" t="s">
        <v>3902</v>
      </c>
      <c r="AR256" s="13" t="s">
        <v>3902</v>
      </c>
      <c r="AS256" s="13" t="s">
        <v>116</v>
      </c>
      <c r="AT256" s="13" t="s">
        <v>3906</v>
      </c>
      <c r="AU256" s="13" t="s">
        <v>2377</v>
      </c>
      <c r="AV256" s="13" t="s">
        <v>827</v>
      </c>
      <c r="AW256" s="39" t="s">
        <v>828</v>
      </c>
      <c r="AX256" s="39" t="s">
        <v>829</v>
      </c>
      <c r="AY256" s="13" t="s">
        <v>3906</v>
      </c>
      <c r="AZ256" s="13" t="s">
        <v>3907</v>
      </c>
      <c r="BA256" s="13" t="s">
        <v>3907</v>
      </c>
      <c r="BB256" s="13" t="s">
        <v>3908</v>
      </c>
      <c r="BC256" s="13" t="s">
        <v>3909</v>
      </c>
      <c r="BD256" s="13">
        <f t="shared" si="9"/>
        <v>59</v>
      </c>
      <c r="BE256" s="17" t="s">
        <v>834</v>
      </c>
      <c r="BF256" s="17" t="s">
        <v>736</v>
      </c>
      <c r="BG256" s="17" t="s">
        <v>924</v>
      </c>
      <c r="BH256" s="17" t="s">
        <v>1082</v>
      </c>
      <c r="BJ256" s="31" t="s">
        <v>3910</v>
      </c>
      <c r="BO256" s="17" t="s">
        <v>2428</v>
      </c>
      <c r="BP256" s="17" t="s">
        <v>2384</v>
      </c>
      <c r="BS256" s="17" t="s">
        <v>127</v>
      </c>
      <c r="BU256" s="17" t="s">
        <v>129</v>
      </c>
      <c r="BX256" s="13" t="s">
        <v>3911</v>
      </c>
      <c r="DA256" s="13" t="s">
        <v>10348</v>
      </c>
      <c r="DB256" s="13" t="s">
        <v>10348</v>
      </c>
    </row>
    <row r="257" spans="1:106" s="13" customFormat="1" ht="12.75" customHeight="1" x14ac:dyDescent="0.2">
      <c r="A257" s="13" t="s">
        <v>102</v>
      </c>
      <c r="B257" s="13" t="s">
        <v>103</v>
      </c>
      <c r="D257" s="13" t="s">
        <v>820</v>
      </c>
      <c r="E257" s="13" t="s">
        <v>471</v>
      </c>
      <c r="F257" s="13" t="s">
        <v>820</v>
      </c>
      <c r="G257" s="13" t="s">
        <v>229</v>
      </c>
      <c r="H257" s="13" t="s">
        <v>227</v>
      </c>
      <c r="J257" s="13" t="s">
        <v>106</v>
      </c>
      <c r="W257" s="13">
        <v>342</v>
      </c>
      <c r="X257" s="13">
        <v>342</v>
      </c>
      <c r="Y257" s="13" t="s">
        <v>107</v>
      </c>
      <c r="Z257" s="13" t="s">
        <v>108</v>
      </c>
      <c r="AA257" s="13" t="s">
        <v>107</v>
      </c>
      <c r="AB257" s="13" t="s">
        <v>3912</v>
      </c>
      <c r="AC257" s="13" t="s">
        <v>3912</v>
      </c>
      <c r="AD257" s="13" t="s">
        <v>3912</v>
      </c>
      <c r="AE257" s="34" t="s">
        <v>112</v>
      </c>
      <c r="AF257" s="13" t="s">
        <v>3912</v>
      </c>
      <c r="AG257" s="13" t="s">
        <v>3912</v>
      </c>
      <c r="AH257" s="39" t="s">
        <v>3913</v>
      </c>
      <c r="AL257" s="13" t="s">
        <v>3914</v>
      </c>
      <c r="AN257" s="13">
        <v>329</v>
      </c>
      <c r="AO257" s="13" t="s">
        <v>3915</v>
      </c>
      <c r="AQ257" s="13" t="s">
        <v>3912</v>
      </c>
      <c r="AR257" s="13" t="s">
        <v>3912</v>
      </c>
      <c r="AS257" s="13" t="s">
        <v>116</v>
      </c>
      <c r="AT257" s="13" t="s">
        <v>3916</v>
      </c>
      <c r="AU257" s="13" t="s">
        <v>2377</v>
      </c>
      <c r="AV257" s="13" t="s">
        <v>827</v>
      </c>
      <c r="AW257" s="39" t="s">
        <v>828</v>
      </c>
      <c r="AX257" s="39" t="s">
        <v>829</v>
      </c>
      <c r="AY257" s="13" t="s">
        <v>3916</v>
      </c>
      <c r="AZ257" s="13" t="s">
        <v>3917</v>
      </c>
      <c r="BA257" s="13" t="s">
        <v>3917</v>
      </c>
      <c r="BB257" s="13" t="s">
        <v>3918</v>
      </c>
      <c r="BC257" s="13" t="s">
        <v>3919</v>
      </c>
      <c r="BD257" s="13">
        <f t="shared" si="9"/>
        <v>56</v>
      </c>
      <c r="BE257" s="17" t="s">
        <v>834</v>
      </c>
      <c r="BF257" s="17" t="s">
        <v>736</v>
      </c>
      <c r="BG257" s="17" t="s">
        <v>924</v>
      </c>
      <c r="BH257" s="17" t="s">
        <v>2382</v>
      </c>
      <c r="BJ257" s="31" t="s">
        <v>3920</v>
      </c>
      <c r="BO257" s="17" t="s">
        <v>2428</v>
      </c>
      <c r="BP257" s="17" t="s">
        <v>2384</v>
      </c>
      <c r="BS257" s="17" t="s">
        <v>127</v>
      </c>
      <c r="BU257" s="17" t="s">
        <v>129</v>
      </c>
      <c r="BX257" s="13" t="s">
        <v>3921</v>
      </c>
      <c r="DA257" s="13" t="s">
        <v>10348</v>
      </c>
      <c r="DB257" s="13" t="s">
        <v>10348</v>
      </c>
    </row>
    <row r="258" spans="1:106" s="13" customFormat="1" ht="12.75" customHeight="1" x14ac:dyDescent="0.2">
      <c r="A258" s="13" t="s">
        <v>102</v>
      </c>
      <c r="B258" s="13" t="s">
        <v>103</v>
      </c>
      <c r="D258" s="13" t="s">
        <v>820</v>
      </c>
      <c r="E258" s="13" t="s">
        <v>471</v>
      </c>
      <c r="F258" s="13" t="s">
        <v>820</v>
      </c>
      <c r="G258" s="13" t="s">
        <v>229</v>
      </c>
      <c r="H258" s="13" t="s">
        <v>227</v>
      </c>
      <c r="J258" s="13" t="s">
        <v>106</v>
      </c>
      <c r="W258" s="13">
        <v>344</v>
      </c>
      <c r="X258" s="13">
        <v>344</v>
      </c>
      <c r="Y258" s="13" t="s">
        <v>107</v>
      </c>
      <c r="Z258" s="13" t="s">
        <v>108</v>
      </c>
      <c r="AA258" s="13" t="s">
        <v>107</v>
      </c>
      <c r="AB258" s="13" t="s">
        <v>3934</v>
      </c>
      <c r="AC258" s="13" t="s">
        <v>3934</v>
      </c>
      <c r="AD258" s="13" t="s">
        <v>3934</v>
      </c>
      <c r="AE258" s="34" t="s">
        <v>112</v>
      </c>
      <c r="AF258" s="13" t="s">
        <v>3934</v>
      </c>
      <c r="AG258" s="13" t="s">
        <v>3934</v>
      </c>
      <c r="AH258" s="39" t="s">
        <v>3935</v>
      </c>
      <c r="AL258" s="13" t="s">
        <v>3936</v>
      </c>
      <c r="AN258" s="13">
        <v>329</v>
      </c>
      <c r="AO258" s="13" t="s">
        <v>3937</v>
      </c>
      <c r="AQ258" s="13" t="s">
        <v>3934</v>
      </c>
      <c r="AR258" s="13" t="s">
        <v>3934</v>
      </c>
      <c r="AS258" s="13" t="s">
        <v>116</v>
      </c>
      <c r="AT258" s="13" t="s">
        <v>3938</v>
      </c>
      <c r="AU258" s="13" t="s">
        <v>2377</v>
      </c>
      <c r="AV258" s="13" t="s">
        <v>827</v>
      </c>
      <c r="AW258" s="39" t="s">
        <v>828</v>
      </c>
      <c r="AX258" s="39" t="s">
        <v>829</v>
      </c>
      <c r="AY258" s="13" t="s">
        <v>3938</v>
      </c>
      <c r="AZ258" s="13" t="s">
        <v>3939</v>
      </c>
      <c r="BA258" s="13" t="s">
        <v>3939</v>
      </c>
      <c r="BB258" s="13" t="s">
        <v>3940</v>
      </c>
      <c r="BC258" s="13" t="s">
        <v>3941</v>
      </c>
      <c r="BD258" s="13">
        <f t="shared" si="9"/>
        <v>56</v>
      </c>
      <c r="BE258" s="17" t="s">
        <v>834</v>
      </c>
      <c r="BF258" s="17" t="s">
        <v>736</v>
      </c>
      <c r="BG258" s="17" t="s">
        <v>3931</v>
      </c>
      <c r="BJ258" s="31" t="s">
        <v>3910</v>
      </c>
      <c r="BO258" s="17" t="s">
        <v>2428</v>
      </c>
      <c r="BP258" s="17" t="s">
        <v>2384</v>
      </c>
      <c r="BS258" s="17" t="s">
        <v>127</v>
      </c>
      <c r="BU258" s="17" t="s">
        <v>129</v>
      </c>
      <c r="BX258" s="13" t="s">
        <v>3942</v>
      </c>
      <c r="DA258" s="13" t="s">
        <v>10348</v>
      </c>
      <c r="DB258" s="13" t="s">
        <v>10348</v>
      </c>
    </row>
    <row r="259" spans="1:106" s="13" customFormat="1" ht="12.75" customHeight="1" x14ac:dyDescent="0.2">
      <c r="A259" s="13" t="s">
        <v>102</v>
      </c>
      <c r="B259" s="13" t="s">
        <v>103</v>
      </c>
      <c r="D259" s="13" t="s">
        <v>820</v>
      </c>
      <c r="E259" s="13" t="s">
        <v>471</v>
      </c>
      <c r="F259" s="13" t="s">
        <v>820</v>
      </c>
      <c r="G259" s="13" t="s">
        <v>229</v>
      </c>
      <c r="H259" s="13" t="s">
        <v>227</v>
      </c>
      <c r="J259" s="13" t="s">
        <v>106</v>
      </c>
      <c r="W259" s="13">
        <v>346</v>
      </c>
      <c r="X259" s="13">
        <v>346</v>
      </c>
      <c r="Y259" s="13" t="s">
        <v>107</v>
      </c>
      <c r="Z259" s="13" t="s">
        <v>108</v>
      </c>
      <c r="AA259" s="13" t="s">
        <v>107</v>
      </c>
      <c r="AB259" s="13" t="s">
        <v>3954</v>
      </c>
      <c r="AC259" s="13" t="s">
        <v>3954</v>
      </c>
      <c r="AD259" s="13" t="s">
        <v>3954</v>
      </c>
      <c r="AE259" s="34" t="s">
        <v>112</v>
      </c>
      <c r="AF259" s="13" t="s">
        <v>3954</v>
      </c>
      <c r="AG259" s="13" t="s">
        <v>3954</v>
      </c>
      <c r="AH259" s="39" t="s">
        <v>3955</v>
      </c>
      <c r="AL259" s="13" t="s">
        <v>3956</v>
      </c>
      <c r="AN259" s="13">
        <v>329</v>
      </c>
      <c r="AO259" s="13" t="s">
        <v>3957</v>
      </c>
      <c r="AQ259" s="13" t="s">
        <v>3954</v>
      </c>
      <c r="AR259" s="13" t="s">
        <v>3954</v>
      </c>
      <c r="AS259" s="13" t="s">
        <v>116</v>
      </c>
      <c r="AT259" s="13" t="s">
        <v>3958</v>
      </c>
      <c r="AU259" s="13" t="s">
        <v>2377</v>
      </c>
      <c r="AV259" s="13" t="s">
        <v>827</v>
      </c>
      <c r="AW259" s="39" t="s">
        <v>828</v>
      </c>
      <c r="AX259" s="39" t="s">
        <v>829</v>
      </c>
      <c r="AY259" s="13" t="s">
        <v>3959</v>
      </c>
      <c r="AZ259" s="13" t="s">
        <v>3960</v>
      </c>
      <c r="BA259" s="13" t="s">
        <v>3960</v>
      </c>
      <c r="BB259" s="13" t="s">
        <v>3961</v>
      </c>
      <c r="BC259" s="13" t="s">
        <v>3962</v>
      </c>
      <c r="BD259" s="13">
        <f t="shared" si="9"/>
        <v>59</v>
      </c>
      <c r="BE259" s="17" t="s">
        <v>834</v>
      </c>
      <c r="BF259" s="17" t="s">
        <v>736</v>
      </c>
      <c r="BG259" s="17" t="s">
        <v>3963</v>
      </c>
      <c r="BH259" s="17" t="s">
        <v>3964</v>
      </c>
      <c r="BJ259" s="31" t="s">
        <v>3965</v>
      </c>
      <c r="BO259" s="17" t="s">
        <v>3966</v>
      </c>
      <c r="BP259" s="17" t="s">
        <v>2384</v>
      </c>
      <c r="BS259" s="17" t="s">
        <v>127</v>
      </c>
      <c r="BU259" s="17" t="s">
        <v>129</v>
      </c>
      <c r="BX259" s="13" t="s">
        <v>3967</v>
      </c>
      <c r="DA259" s="13" t="s">
        <v>10348</v>
      </c>
      <c r="DB259" s="13" t="s">
        <v>10348</v>
      </c>
    </row>
    <row r="260" spans="1:106" s="13" customFormat="1" ht="12.75" customHeight="1" x14ac:dyDescent="0.2">
      <c r="A260" s="13" t="s">
        <v>102</v>
      </c>
      <c r="B260" s="13" t="s">
        <v>103</v>
      </c>
      <c r="D260" s="13" t="s">
        <v>820</v>
      </c>
      <c r="E260" s="13" t="s">
        <v>471</v>
      </c>
      <c r="F260" s="13" t="s">
        <v>820</v>
      </c>
      <c r="G260" s="13" t="s">
        <v>229</v>
      </c>
      <c r="H260" s="13" t="s">
        <v>227</v>
      </c>
      <c r="J260" s="13" t="s">
        <v>106</v>
      </c>
      <c r="W260" s="13">
        <v>347</v>
      </c>
      <c r="X260" s="13">
        <v>347</v>
      </c>
      <c r="Y260" s="13" t="s">
        <v>107</v>
      </c>
      <c r="Z260" s="13" t="s">
        <v>108</v>
      </c>
      <c r="AA260" s="13" t="s">
        <v>107</v>
      </c>
      <c r="AB260" s="13" t="s">
        <v>3968</v>
      </c>
      <c r="AC260" s="13" t="s">
        <v>3968</v>
      </c>
      <c r="AD260" s="13" t="s">
        <v>3968</v>
      </c>
      <c r="AE260" s="34" t="s">
        <v>112</v>
      </c>
      <c r="AF260" s="13" t="s">
        <v>3968</v>
      </c>
      <c r="AG260" s="13" t="s">
        <v>3968</v>
      </c>
      <c r="AH260" s="39" t="s">
        <v>3969</v>
      </c>
      <c r="AL260" s="13" t="s">
        <v>3970</v>
      </c>
      <c r="AN260" s="13">
        <v>329</v>
      </c>
      <c r="AO260" s="13" t="s">
        <v>3971</v>
      </c>
      <c r="AQ260" s="13" t="s">
        <v>3968</v>
      </c>
      <c r="AR260" s="13" t="s">
        <v>3968</v>
      </c>
      <c r="AS260" s="13" t="s">
        <v>116</v>
      </c>
      <c r="AT260" s="13" t="s">
        <v>3972</v>
      </c>
      <c r="AU260" s="13" t="s">
        <v>2377</v>
      </c>
      <c r="AV260" s="13" t="s">
        <v>827</v>
      </c>
      <c r="AW260" s="39" t="s">
        <v>828</v>
      </c>
      <c r="AX260" s="39" t="s">
        <v>829</v>
      </c>
      <c r="AY260" s="13" t="s">
        <v>3972</v>
      </c>
      <c r="AZ260" s="13" t="s">
        <v>3973</v>
      </c>
      <c r="BA260" s="13" t="s">
        <v>3973</v>
      </c>
      <c r="BB260" s="13" t="s">
        <v>3974</v>
      </c>
      <c r="BC260" s="13" t="s">
        <v>3975</v>
      </c>
      <c r="BD260" s="13">
        <f t="shared" si="9"/>
        <v>58</v>
      </c>
      <c r="BE260" s="17" t="s">
        <v>834</v>
      </c>
      <c r="BF260" s="17" t="s">
        <v>736</v>
      </c>
      <c r="BG260" s="17" t="s">
        <v>3963</v>
      </c>
      <c r="BH260" s="17" t="s">
        <v>3964</v>
      </c>
      <c r="BJ260" s="31" t="s">
        <v>3976</v>
      </c>
      <c r="BO260" s="17" t="s">
        <v>3966</v>
      </c>
      <c r="BP260" s="17" t="s">
        <v>2384</v>
      </c>
      <c r="BS260" s="17" t="s">
        <v>127</v>
      </c>
      <c r="BU260" s="17" t="s">
        <v>129</v>
      </c>
      <c r="BX260" s="13" t="s">
        <v>3977</v>
      </c>
      <c r="DA260" s="13" t="s">
        <v>10348</v>
      </c>
      <c r="DB260" s="13" t="s">
        <v>10348</v>
      </c>
    </row>
    <row r="261" spans="1:106" s="13" customFormat="1" ht="12.75" customHeight="1" x14ac:dyDescent="0.2">
      <c r="A261" s="13" t="s">
        <v>102</v>
      </c>
      <c r="B261" s="13" t="s">
        <v>103</v>
      </c>
      <c r="D261" s="13" t="s">
        <v>820</v>
      </c>
      <c r="E261" s="13" t="s">
        <v>471</v>
      </c>
      <c r="F261" s="13" t="s">
        <v>820</v>
      </c>
      <c r="G261" s="13" t="s">
        <v>229</v>
      </c>
      <c r="H261" s="13" t="s">
        <v>227</v>
      </c>
      <c r="J261" s="13" t="s">
        <v>106</v>
      </c>
      <c r="W261" s="13">
        <v>348</v>
      </c>
      <c r="X261" s="13">
        <v>348</v>
      </c>
      <c r="Y261" s="13" t="s">
        <v>107</v>
      </c>
      <c r="Z261" s="13" t="s">
        <v>108</v>
      </c>
      <c r="AA261" s="13" t="s">
        <v>107</v>
      </c>
      <c r="AB261" s="13" t="s">
        <v>3978</v>
      </c>
      <c r="AC261" s="13" t="s">
        <v>3978</v>
      </c>
      <c r="AD261" s="13" t="s">
        <v>3978</v>
      </c>
      <c r="AE261" s="34" t="s">
        <v>112</v>
      </c>
      <c r="AF261" s="13" t="s">
        <v>3978</v>
      </c>
      <c r="AG261" s="13" t="s">
        <v>3978</v>
      </c>
      <c r="AH261" s="39" t="s">
        <v>3979</v>
      </c>
      <c r="AL261" s="13" t="s">
        <v>3980</v>
      </c>
      <c r="AN261" s="13">
        <v>329</v>
      </c>
      <c r="AO261" s="13" t="s">
        <v>3981</v>
      </c>
      <c r="AQ261" s="13" t="s">
        <v>3978</v>
      </c>
      <c r="AR261" s="13" t="s">
        <v>3978</v>
      </c>
      <c r="AS261" s="13" t="s">
        <v>116</v>
      </c>
      <c r="AT261" s="13" t="s">
        <v>3982</v>
      </c>
      <c r="AU261" s="13" t="s">
        <v>2377</v>
      </c>
      <c r="AV261" s="13" t="s">
        <v>827</v>
      </c>
      <c r="AW261" s="39" t="s">
        <v>828</v>
      </c>
      <c r="AX261" s="39" t="s">
        <v>829</v>
      </c>
      <c r="AY261" s="13" t="s">
        <v>3983</v>
      </c>
      <c r="AZ261" s="13" t="s">
        <v>3984</v>
      </c>
      <c r="BA261" s="13" t="s">
        <v>3984</v>
      </c>
      <c r="BB261" s="13" t="s">
        <v>3985</v>
      </c>
      <c r="BC261" s="13" t="s">
        <v>3986</v>
      </c>
      <c r="BD261" s="13">
        <f t="shared" si="9"/>
        <v>59</v>
      </c>
      <c r="BE261" s="17" t="s">
        <v>834</v>
      </c>
      <c r="BF261" s="17" t="s">
        <v>736</v>
      </c>
      <c r="BG261" s="17" t="s">
        <v>3963</v>
      </c>
      <c r="BH261" s="17" t="s">
        <v>3964</v>
      </c>
      <c r="BJ261" s="31" t="s">
        <v>3987</v>
      </c>
      <c r="BO261" s="17" t="s">
        <v>3966</v>
      </c>
      <c r="BP261" s="17" t="s">
        <v>2384</v>
      </c>
      <c r="BS261" s="17" t="s">
        <v>127</v>
      </c>
      <c r="BU261" s="17" t="s">
        <v>129</v>
      </c>
      <c r="BX261" s="13" t="s">
        <v>3988</v>
      </c>
      <c r="DA261" s="13" t="s">
        <v>10348</v>
      </c>
      <c r="DB261" s="13" t="s">
        <v>10348</v>
      </c>
    </row>
    <row r="262" spans="1:106" s="13" customFormat="1" ht="12.75" customHeight="1" x14ac:dyDescent="0.2">
      <c r="A262" s="13" t="s">
        <v>102</v>
      </c>
      <c r="B262" s="13" t="s">
        <v>103</v>
      </c>
      <c r="D262" s="13" t="s">
        <v>820</v>
      </c>
      <c r="E262" s="13" t="s">
        <v>471</v>
      </c>
      <c r="F262" s="13" t="s">
        <v>820</v>
      </c>
      <c r="G262" s="13" t="s">
        <v>229</v>
      </c>
      <c r="H262" s="13" t="s">
        <v>227</v>
      </c>
      <c r="J262" s="13" t="s">
        <v>106</v>
      </c>
      <c r="W262" s="13">
        <v>349</v>
      </c>
      <c r="X262" s="13">
        <v>349</v>
      </c>
      <c r="Y262" s="13" t="s">
        <v>107</v>
      </c>
      <c r="Z262" s="13" t="s">
        <v>108</v>
      </c>
      <c r="AA262" s="13" t="s">
        <v>107</v>
      </c>
      <c r="AB262" s="13" t="s">
        <v>3989</v>
      </c>
      <c r="AC262" s="13" t="s">
        <v>3989</v>
      </c>
      <c r="AD262" s="13" t="s">
        <v>3989</v>
      </c>
      <c r="AE262" s="34" t="s">
        <v>112</v>
      </c>
      <c r="AF262" s="13" t="s">
        <v>3989</v>
      </c>
      <c r="AG262" s="13" t="s">
        <v>3989</v>
      </c>
      <c r="AH262" s="39" t="s">
        <v>3990</v>
      </c>
      <c r="AL262" s="13" t="s">
        <v>3991</v>
      </c>
      <c r="AN262" s="13">
        <v>329</v>
      </c>
      <c r="AO262" s="13" t="s">
        <v>3992</v>
      </c>
      <c r="AQ262" s="13" t="s">
        <v>3989</v>
      </c>
      <c r="AR262" s="13" t="s">
        <v>3989</v>
      </c>
      <c r="AS262" s="13" t="s">
        <v>116</v>
      </c>
      <c r="AT262" s="13" t="s">
        <v>3993</v>
      </c>
      <c r="AU262" s="13" t="s">
        <v>2377</v>
      </c>
      <c r="AV262" s="13" t="s">
        <v>827</v>
      </c>
      <c r="AW262" s="39" t="s">
        <v>828</v>
      </c>
      <c r="AX262" s="39" t="s">
        <v>829</v>
      </c>
      <c r="AY262" s="13" t="s">
        <v>3993</v>
      </c>
      <c r="AZ262" s="13" t="s">
        <v>3994</v>
      </c>
      <c r="BA262" s="13" t="s">
        <v>3994</v>
      </c>
      <c r="BB262" s="13" t="s">
        <v>3995</v>
      </c>
      <c r="BC262" s="13" t="s">
        <v>3996</v>
      </c>
      <c r="BD262" s="13">
        <f t="shared" si="9"/>
        <v>57</v>
      </c>
      <c r="BE262" s="17" t="s">
        <v>834</v>
      </c>
      <c r="BF262" s="17" t="s">
        <v>736</v>
      </c>
      <c r="BG262" s="17" t="s">
        <v>924</v>
      </c>
      <c r="BH262" s="17" t="s">
        <v>2382</v>
      </c>
      <c r="BJ262" s="31" t="s">
        <v>3997</v>
      </c>
      <c r="BO262" s="17" t="s">
        <v>2428</v>
      </c>
      <c r="BP262" s="17" t="s">
        <v>2384</v>
      </c>
      <c r="BS262" s="17" t="s">
        <v>127</v>
      </c>
      <c r="BU262" s="17" t="s">
        <v>129</v>
      </c>
      <c r="BX262" s="13" t="s">
        <v>3998</v>
      </c>
      <c r="DA262" s="13" t="s">
        <v>10348</v>
      </c>
      <c r="DB262" s="13" t="s">
        <v>10348</v>
      </c>
    </row>
    <row r="263" spans="1:106" s="13" customFormat="1" ht="12.75" customHeight="1" x14ac:dyDescent="0.2">
      <c r="A263" s="13" t="s">
        <v>102</v>
      </c>
      <c r="B263" s="13" t="s">
        <v>103</v>
      </c>
      <c r="D263" s="13" t="s">
        <v>820</v>
      </c>
      <c r="E263" s="13" t="s">
        <v>471</v>
      </c>
      <c r="F263" s="13" t="s">
        <v>820</v>
      </c>
      <c r="G263" s="13" t="s">
        <v>229</v>
      </c>
      <c r="H263" s="13" t="s">
        <v>227</v>
      </c>
      <c r="J263" s="13" t="s">
        <v>106</v>
      </c>
      <c r="W263" s="13">
        <v>350</v>
      </c>
      <c r="X263" s="13">
        <v>350</v>
      </c>
      <c r="Y263" s="13" t="s">
        <v>107</v>
      </c>
      <c r="Z263" s="13" t="s">
        <v>108</v>
      </c>
      <c r="AA263" s="13" t="s">
        <v>107</v>
      </c>
      <c r="AB263" s="13" t="s">
        <v>3999</v>
      </c>
      <c r="AC263" s="13" t="s">
        <v>3999</v>
      </c>
      <c r="AD263" s="13" t="s">
        <v>3999</v>
      </c>
      <c r="AE263" s="34" t="s">
        <v>112</v>
      </c>
      <c r="AF263" s="13" t="s">
        <v>3999</v>
      </c>
      <c r="AG263" s="13" t="s">
        <v>3999</v>
      </c>
      <c r="AH263" s="39" t="s">
        <v>4000</v>
      </c>
      <c r="AL263" s="13" t="s">
        <v>4001</v>
      </c>
      <c r="AN263" s="13">
        <v>329</v>
      </c>
      <c r="AO263" s="13" t="s">
        <v>4002</v>
      </c>
      <c r="AQ263" s="13" t="s">
        <v>3999</v>
      </c>
      <c r="AR263" s="13" t="s">
        <v>3999</v>
      </c>
      <c r="AS263" s="13" t="s">
        <v>116</v>
      </c>
      <c r="AT263" s="13" t="s">
        <v>4003</v>
      </c>
      <c r="AU263" s="13" t="s">
        <v>2377</v>
      </c>
      <c r="AV263" s="13" t="s">
        <v>827</v>
      </c>
      <c r="AW263" s="39" t="s">
        <v>828</v>
      </c>
      <c r="AX263" s="39" t="s">
        <v>829</v>
      </c>
      <c r="AY263" s="13" t="s">
        <v>4003</v>
      </c>
      <c r="AZ263" s="13" t="s">
        <v>4004</v>
      </c>
      <c r="BA263" s="13" t="s">
        <v>4004</v>
      </c>
      <c r="BB263" s="13" t="s">
        <v>4005</v>
      </c>
      <c r="BC263" s="13" t="s">
        <v>4006</v>
      </c>
      <c r="BD263" s="13">
        <f t="shared" si="9"/>
        <v>54</v>
      </c>
      <c r="BE263" s="17" t="s">
        <v>834</v>
      </c>
      <c r="BF263" s="17" t="s">
        <v>736</v>
      </c>
      <c r="BG263" s="17" t="s">
        <v>751</v>
      </c>
      <c r="BJ263" s="31" t="s">
        <v>4007</v>
      </c>
      <c r="BO263" s="17" t="s">
        <v>2428</v>
      </c>
      <c r="BP263" s="17" t="s">
        <v>2384</v>
      </c>
      <c r="BS263" s="17" t="s">
        <v>127</v>
      </c>
      <c r="BU263" s="17" t="s">
        <v>129</v>
      </c>
      <c r="BX263" s="13" t="s">
        <v>4008</v>
      </c>
      <c r="DA263" s="13" t="s">
        <v>10348</v>
      </c>
      <c r="DB263" s="13" t="s">
        <v>10348</v>
      </c>
    </row>
    <row r="264" spans="1:106" s="13" customFormat="1" ht="12.75" customHeight="1" x14ac:dyDescent="0.2">
      <c r="A264" s="13" t="s">
        <v>102</v>
      </c>
      <c r="B264" s="13" t="s">
        <v>103</v>
      </c>
      <c r="D264" s="13" t="s">
        <v>820</v>
      </c>
      <c r="E264" s="13" t="s">
        <v>471</v>
      </c>
      <c r="F264" s="13" t="s">
        <v>820</v>
      </c>
      <c r="G264" s="13" t="s">
        <v>229</v>
      </c>
      <c r="H264" s="13" t="s">
        <v>227</v>
      </c>
      <c r="J264" s="13" t="s">
        <v>106</v>
      </c>
      <c r="W264" s="13">
        <v>351</v>
      </c>
      <c r="X264" s="13">
        <v>351</v>
      </c>
      <c r="Y264" s="13" t="s">
        <v>107</v>
      </c>
      <c r="Z264" s="13" t="s">
        <v>108</v>
      </c>
      <c r="AA264" s="13" t="s">
        <v>107</v>
      </c>
      <c r="AB264" s="13" t="s">
        <v>4009</v>
      </c>
      <c r="AC264" s="13" t="s">
        <v>4009</v>
      </c>
      <c r="AD264" s="13" t="s">
        <v>4009</v>
      </c>
      <c r="AE264" s="34" t="s">
        <v>112</v>
      </c>
      <c r="AF264" s="13" t="s">
        <v>4009</v>
      </c>
      <c r="AG264" s="13" t="s">
        <v>4009</v>
      </c>
      <c r="AH264" s="39" t="s">
        <v>4010</v>
      </c>
      <c r="AL264" s="13" t="s">
        <v>4011</v>
      </c>
      <c r="AN264" s="13">
        <v>329</v>
      </c>
      <c r="AO264" s="13" t="s">
        <v>4012</v>
      </c>
      <c r="AQ264" s="13" t="s">
        <v>4009</v>
      </c>
      <c r="AR264" s="13" t="s">
        <v>4009</v>
      </c>
      <c r="AS264" s="13" t="s">
        <v>116</v>
      </c>
      <c r="AT264" s="13" t="s">
        <v>4013</v>
      </c>
      <c r="AU264" s="13" t="s">
        <v>2377</v>
      </c>
      <c r="AV264" s="13" t="s">
        <v>827</v>
      </c>
      <c r="AW264" s="39" t="s">
        <v>828</v>
      </c>
      <c r="AX264" s="39" t="s">
        <v>829</v>
      </c>
      <c r="AY264" s="13" t="s">
        <v>4013</v>
      </c>
      <c r="AZ264" s="13" t="s">
        <v>4014</v>
      </c>
      <c r="BA264" s="13" t="s">
        <v>4014</v>
      </c>
      <c r="BB264" s="13" t="s">
        <v>4015</v>
      </c>
      <c r="BC264" s="13" t="s">
        <v>4016</v>
      </c>
      <c r="BD264" s="13">
        <f t="shared" si="9"/>
        <v>60</v>
      </c>
      <c r="BE264" s="17" t="s">
        <v>834</v>
      </c>
      <c r="BF264" s="17" t="s">
        <v>736</v>
      </c>
      <c r="BG264" s="17" t="s">
        <v>2855</v>
      </c>
      <c r="BH264" s="17" t="s">
        <v>2382</v>
      </c>
      <c r="BJ264" s="31" t="s">
        <v>4017</v>
      </c>
      <c r="BO264" s="17" t="s">
        <v>2856</v>
      </c>
      <c r="BP264" s="17" t="s">
        <v>2384</v>
      </c>
      <c r="BS264" s="17" t="s">
        <v>127</v>
      </c>
      <c r="BU264" s="17" t="s">
        <v>129</v>
      </c>
      <c r="BX264" s="13" t="s">
        <v>4018</v>
      </c>
      <c r="DA264" s="13" t="s">
        <v>10348</v>
      </c>
      <c r="DB264" s="13" t="s">
        <v>10348</v>
      </c>
    </row>
    <row r="265" spans="1:106" s="13" customFormat="1" ht="12.75" customHeight="1" x14ac:dyDescent="0.2">
      <c r="A265" s="13" t="s">
        <v>102</v>
      </c>
      <c r="B265" s="13" t="s">
        <v>103</v>
      </c>
      <c r="D265" s="13" t="s">
        <v>820</v>
      </c>
      <c r="E265" s="13" t="s">
        <v>471</v>
      </c>
      <c r="F265" s="13" t="s">
        <v>820</v>
      </c>
      <c r="G265" s="13" t="s">
        <v>229</v>
      </c>
      <c r="H265" s="13" t="s">
        <v>227</v>
      </c>
      <c r="J265" s="13" t="s">
        <v>106</v>
      </c>
      <c r="W265" s="13">
        <v>352</v>
      </c>
      <c r="X265" s="13">
        <v>352</v>
      </c>
      <c r="Y265" s="13" t="s">
        <v>107</v>
      </c>
      <c r="Z265" s="13" t="s">
        <v>108</v>
      </c>
      <c r="AA265" s="13" t="s">
        <v>107</v>
      </c>
      <c r="AB265" s="13" t="s">
        <v>4019</v>
      </c>
      <c r="AC265" s="13" t="s">
        <v>4019</v>
      </c>
      <c r="AD265" s="13" t="s">
        <v>4019</v>
      </c>
      <c r="AE265" s="34" t="s">
        <v>112</v>
      </c>
      <c r="AF265" s="13" t="s">
        <v>4019</v>
      </c>
      <c r="AG265" s="13" t="s">
        <v>4019</v>
      </c>
      <c r="AH265" s="39" t="s">
        <v>4020</v>
      </c>
      <c r="AL265" s="13" t="s">
        <v>4021</v>
      </c>
      <c r="AN265" s="13">
        <v>329</v>
      </c>
      <c r="AO265" s="13" t="s">
        <v>4022</v>
      </c>
      <c r="AQ265" s="13" t="s">
        <v>4019</v>
      </c>
      <c r="AR265" s="13" t="s">
        <v>4019</v>
      </c>
      <c r="AS265" s="13" t="s">
        <v>116</v>
      </c>
      <c r="AT265" s="13" t="s">
        <v>4023</v>
      </c>
      <c r="AU265" s="13" t="s">
        <v>2377</v>
      </c>
      <c r="AV265" s="13" t="s">
        <v>827</v>
      </c>
      <c r="AW265" s="39" t="s">
        <v>828</v>
      </c>
      <c r="AX265" s="39" t="s">
        <v>829</v>
      </c>
      <c r="AY265" s="13" t="s">
        <v>4023</v>
      </c>
      <c r="AZ265" s="13" t="s">
        <v>4024</v>
      </c>
      <c r="BA265" s="13" t="s">
        <v>4024</v>
      </c>
      <c r="BB265" s="13" t="s">
        <v>4025</v>
      </c>
      <c r="BC265" s="13" t="s">
        <v>4026</v>
      </c>
      <c r="BD265" s="13">
        <f t="shared" si="9"/>
        <v>60</v>
      </c>
      <c r="BE265" s="17" t="s">
        <v>834</v>
      </c>
      <c r="BF265" s="17" t="s">
        <v>736</v>
      </c>
      <c r="BG265" s="17" t="s">
        <v>924</v>
      </c>
      <c r="BH265" s="17" t="s">
        <v>2382</v>
      </c>
      <c r="BJ265" s="31" t="s">
        <v>3932</v>
      </c>
      <c r="BO265" s="17" t="s">
        <v>3141</v>
      </c>
      <c r="BP265" s="17" t="s">
        <v>2384</v>
      </c>
      <c r="BS265" s="17" t="s">
        <v>127</v>
      </c>
      <c r="BU265" s="17" t="s">
        <v>129</v>
      </c>
      <c r="BX265" s="13" t="s">
        <v>4027</v>
      </c>
      <c r="DA265" s="13" t="s">
        <v>10348</v>
      </c>
      <c r="DB265" s="13" t="s">
        <v>10348</v>
      </c>
    </row>
    <row r="266" spans="1:106" s="13" customFormat="1" ht="12.75" customHeight="1" x14ac:dyDescent="0.2">
      <c r="A266" s="13" t="s">
        <v>102</v>
      </c>
      <c r="B266" s="13" t="s">
        <v>103</v>
      </c>
      <c r="D266" s="13" t="s">
        <v>820</v>
      </c>
      <c r="E266" s="13" t="s">
        <v>228</v>
      </c>
      <c r="F266" s="13" t="s">
        <v>820</v>
      </c>
      <c r="G266" s="13" t="s">
        <v>229</v>
      </c>
      <c r="H266" s="13" t="s">
        <v>227</v>
      </c>
      <c r="J266" s="13" t="s">
        <v>106</v>
      </c>
      <c r="W266" s="13">
        <v>353</v>
      </c>
      <c r="X266" s="13">
        <v>353</v>
      </c>
      <c r="Y266" s="13" t="s">
        <v>107</v>
      </c>
      <c r="Z266" s="13" t="s">
        <v>108</v>
      </c>
      <c r="AA266" s="13" t="s">
        <v>107</v>
      </c>
      <c r="AB266" s="13" t="s">
        <v>4028</v>
      </c>
      <c r="AC266" s="13" t="s">
        <v>4028</v>
      </c>
      <c r="AD266" s="13" t="s">
        <v>4028</v>
      </c>
      <c r="AE266" s="34" t="s">
        <v>112</v>
      </c>
      <c r="AF266" s="13" t="s">
        <v>4028</v>
      </c>
      <c r="AG266" s="13" t="s">
        <v>4028</v>
      </c>
      <c r="AH266" s="39" t="s">
        <v>4029</v>
      </c>
      <c r="AL266" s="13" t="s">
        <v>4030</v>
      </c>
      <c r="AN266" s="13">
        <v>329</v>
      </c>
      <c r="AO266" s="13" t="s">
        <v>4031</v>
      </c>
      <c r="AQ266" s="13" t="s">
        <v>4028</v>
      </c>
      <c r="AR266" s="13" t="s">
        <v>4028</v>
      </c>
      <c r="AS266" s="13" t="s">
        <v>116</v>
      </c>
      <c r="AT266" s="13" t="s">
        <v>4032</v>
      </c>
      <c r="AU266" s="13" t="s">
        <v>2377</v>
      </c>
      <c r="AV266" s="13" t="s">
        <v>827</v>
      </c>
      <c r="AW266" s="39" t="s">
        <v>828</v>
      </c>
      <c r="AX266" s="39" t="s">
        <v>829</v>
      </c>
      <c r="AY266" s="13" t="s">
        <v>4033</v>
      </c>
      <c r="AZ266" s="13" t="s">
        <v>4034</v>
      </c>
      <c r="BA266" s="13" t="s">
        <v>4034</v>
      </c>
      <c r="BB266" s="13" t="s">
        <v>4035</v>
      </c>
      <c r="BC266" s="13" t="s">
        <v>4036</v>
      </c>
      <c r="BD266" s="13">
        <f t="shared" si="9"/>
        <v>60</v>
      </c>
      <c r="BE266" s="17" t="s">
        <v>834</v>
      </c>
      <c r="BF266" s="17" t="s">
        <v>736</v>
      </c>
      <c r="BG266" s="17" t="s">
        <v>2855</v>
      </c>
      <c r="BH266" s="17" t="s">
        <v>2382</v>
      </c>
      <c r="BJ266" s="31" t="s">
        <v>4037</v>
      </c>
      <c r="BO266" s="17" t="s">
        <v>2856</v>
      </c>
      <c r="BP266" s="17" t="s">
        <v>2384</v>
      </c>
      <c r="BS266" s="17" t="s">
        <v>127</v>
      </c>
      <c r="BU266" s="17" t="s">
        <v>129</v>
      </c>
      <c r="BX266" s="13" t="s">
        <v>4038</v>
      </c>
      <c r="DA266" s="13" t="s">
        <v>10348</v>
      </c>
      <c r="DB266" s="13" t="s">
        <v>10348</v>
      </c>
    </row>
    <row r="267" spans="1:106" s="13" customFormat="1" ht="12.75" customHeight="1" x14ac:dyDescent="0.2">
      <c r="A267" s="13" t="s">
        <v>102</v>
      </c>
      <c r="B267" s="13" t="s">
        <v>103</v>
      </c>
      <c r="D267" s="13" t="s">
        <v>820</v>
      </c>
      <c r="E267" s="13" t="s">
        <v>228</v>
      </c>
      <c r="F267" s="13" t="s">
        <v>820</v>
      </c>
      <c r="G267" s="13" t="s">
        <v>229</v>
      </c>
      <c r="H267" s="13" t="s">
        <v>227</v>
      </c>
      <c r="J267" s="13" t="s">
        <v>106</v>
      </c>
      <c r="W267" s="13">
        <v>354</v>
      </c>
      <c r="X267" s="13">
        <v>354</v>
      </c>
      <c r="Y267" s="13" t="s">
        <v>107</v>
      </c>
      <c r="Z267" s="13" t="s">
        <v>108</v>
      </c>
      <c r="AA267" s="13" t="s">
        <v>107</v>
      </c>
      <c r="AB267" s="13" t="s">
        <v>4039</v>
      </c>
      <c r="AC267" s="13" t="s">
        <v>4039</v>
      </c>
      <c r="AD267" s="13" t="s">
        <v>4039</v>
      </c>
      <c r="AE267" s="34" t="s">
        <v>112</v>
      </c>
      <c r="AF267" s="13" t="s">
        <v>4039</v>
      </c>
      <c r="AG267" s="13" t="s">
        <v>4039</v>
      </c>
      <c r="AH267" s="39" t="s">
        <v>4040</v>
      </c>
      <c r="AL267" s="13" t="s">
        <v>4041</v>
      </c>
      <c r="AN267" s="13">
        <v>329</v>
      </c>
      <c r="AO267" s="13" t="s">
        <v>4042</v>
      </c>
      <c r="AQ267" s="13" t="s">
        <v>4039</v>
      </c>
      <c r="AR267" s="13" t="s">
        <v>4039</v>
      </c>
      <c r="AS267" s="13" t="s">
        <v>116</v>
      </c>
      <c r="AT267" s="13" t="s">
        <v>4043</v>
      </c>
      <c r="AU267" s="13" t="s">
        <v>4044</v>
      </c>
      <c r="AV267" s="13" t="s">
        <v>4045</v>
      </c>
      <c r="AW267" s="39"/>
      <c r="AX267" s="39"/>
      <c r="AY267" s="13" t="s">
        <v>4046</v>
      </c>
      <c r="AZ267" s="13" t="s">
        <v>4047</v>
      </c>
      <c r="BA267" s="13" t="s">
        <v>4047</v>
      </c>
      <c r="BB267" s="13" t="s">
        <v>4048</v>
      </c>
      <c r="BC267" s="13" t="s">
        <v>4048</v>
      </c>
      <c r="BD267" s="13">
        <f t="shared" si="9"/>
        <v>58</v>
      </c>
      <c r="BE267" s="17" t="s">
        <v>817</v>
      </c>
      <c r="BF267" s="17" t="s">
        <v>4049</v>
      </c>
      <c r="BG267" s="17" t="s">
        <v>4050</v>
      </c>
      <c r="BJ267" s="17" t="s">
        <v>4051</v>
      </c>
      <c r="BO267" s="17" t="s">
        <v>4052</v>
      </c>
      <c r="BS267" s="17" t="s">
        <v>127</v>
      </c>
      <c r="BU267" s="17" t="s">
        <v>129</v>
      </c>
      <c r="BW267" s="17" t="s">
        <v>4053</v>
      </c>
      <c r="BX267" s="13" t="s">
        <v>4054</v>
      </c>
      <c r="DA267" s="13" t="s">
        <v>10348</v>
      </c>
      <c r="DB267" s="13" t="s">
        <v>10348</v>
      </c>
    </row>
    <row r="268" spans="1:106" s="13" customFormat="1" ht="12.75" customHeight="1" x14ac:dyDescent="0.2">
      <c r="A268" s="13" t="s">
        <v>102</v>
      </c>
      <c r="B268" s="13" t="s">
        <v>103</v>
      </c>
      <c r="D268" s="13" t="s">
        <v>820</v>
      </c>
      <c r="E268" s="13" t="s">
        <v>471</v>
      </c>
      <c r="F268" s="13" t="s">
        <v>820</v>
      </c>
      <c r="G268" s="13" t="s">
        <v>229</v>
      </c>
      <c r="H268" s="13" t="s">
        <v>227</v>
      </c>
      <c r="J268" s="13" t="s">
        <v>106</v>
      </c>
      <c r="W268" s="13">
        <v>355</v>
      </c>
      <c r="X268" s="13">
        <v>355</v>
      </c>
      <c r="Y268" s="13" t="s">
        <v>107</v>
      </c>
      <c r="Z268" s="13" t="s">
        <v>108</v>
      </c>
      <c r="AA268" s="13" t="s">
        <v>107</v>
      </c>
      <c r="AB268" s="13" t="s">
        <v>4055</v>
      </c>
      <c r="AC268" s="13" t="s">
        <v>4055</v>
      </c>
      <c r="AD268" s="13" t="s">
        <v>4055</v>
      </c>
      <c r="AE268" s="34" t="s">
        <v>112</v>
      </c>
      <c r="AF268" s="13" t="s">
        <v>4055</v>
      </c>
      <c r="AG268" s="13" t="s">
        <v>4055</v>
      </c>
      <c r="AH268" s="39" t="s">
        <v>4056</v>
      </c>
      <c r="AL268" s="13" t="s">
        <v>4057</v>
      </c>
      <c r="AN268" s="13">
        <v>329</v>
      </c>
      <c r="AO268" s="13" t="s">
        <v>4058</v>
      </c>
      <c r="AQ268" s="13" t="s">
        <v>4055</v>
      </c>
      <c r="AR268" s="13" t="s">
        <v>4055</v>
      </c>
      <c r="AS268" s="13" t="s">
        <v>116</v>
      </c>
      <c r="AT268" s="13" t="s">
        <v>4059</v>
      </c>
      <c r="AU268" s="13" t="s">
        <v>4044</v>
      </c>
      <c r="AV268" s="13" t="s">
        <v>4045</v>
      </c>
      <c r="AW268" s="39"/>
      <c r="AX268" s="39"/>
      <c r="AY268" s="13" t="s">
        <v>4060</v>
      </c>
      <c r="AZ268" s="13" t="s">
        <v>4061</v>
      </c>
      <c r="BA268" s="13" t="s">
        <v>4061</v>
      </c>
      <c r="BB268" s="13" t="s">
        <v>4062</v>
      </c>
      <c r="BC268" s="13" t="s">
        <v>4062</v>
      </c>
      <c r="BD268" s="13">
        <f t="shared" si="9"/>
        <v>58</v>
      </c>
      <c r="BE268" s="17" t="s">
        <v>817</v>
      </c>
      <c r="BF268" s="17" t="s">
        <v>4049</v>
      </c>
      <c r="BG268" s="17" t="s">
        <v>4050</v>
      </c>
      <c r="BJ268" s="17" t="s">
        <v>4063</v>
      </c>
      <c r="BO268" s="17" t="s">
        <v>4052</v>
      </c>
      <c r="BS268" s="17" t="s">
        <v>127</v>
      </c>
      <c r="BU268" s="17" t="s">
        <v>129</v>
      </c>
      <c r="BW268" s="17" t="s">
        <v>4064</v>
      </c>
      <c r="BX268" s="13" t="s">
        <v>4065</v>
      </c>
      <c r="DA268" s="13" t="s">
        <v>10348</v>
      </c>
      <c r="DB268" s="13" t="s">
        <v>10348</v>
      </c>
    </row>
    <row r="269" spans="1:106" s="13" customFormat="1" ht="12.75" customHeight="1" x14ac:dyDescent="0.2">
      <c r="A269" s="13" t="s">
        <v>102</v>
      </c>
      <c r="B269" s="13" t="s">
        <v>103</v>
      </c>
      <c r="D269" s="13" t="s">
        <v>820</v>
      </c>
      <c r="E269" s="13" t="s">
        <v>228</v>
      </c>
      <c r="F269" s="13" t="s">
        <v>820</v>
      </c>
      <c r="G269" s="13" t="s">
        <v>229</v>
      </c>
      <c r="H269" s="13" t="s">
        <v>227</v>
      </c>
      <c r="J269" s="13" t="s">
        <v>106</v>
      </c>
      <c r="W269" s="13">
        <v>356</v>
      </c>
      <c r="X269" s="13">
        <v>356</v>
      </c>
      <c r="Y269" s="13" t="s">
        <v>107</v>
      </c>
      <c r="Z269" s="13" t="s">
        <v>108</v>
      </c>
      <c r="AA269" s="13" t="s">
        <v>107</v>
      </c>
      <c r="AB269" s="13" t="s">
        <v>4066</v>
      </c>
      <c r="AC269" s="13" t="s">
        <v>4066</v>
      </c>
      <c r="AD269" s="13" t="s">
        <v>4066</v>
      </c>
      <c r="AE269" s="34" t="s">
        <v>112</v>
      </c>
      <c r="AF269" s="13" t="s">
        <v>4066</v>
      </c>
      <c r="AG269" s="13" t="s">
        <v>4066</v>
      </c>
      <c r="AH269" s="39" t="s">
        <v>4067</v>
      </c>
      <c r="AL269" s="13" t="s">
        <v>4068</v>
      </c>
      <c r="AN269" s="13">
        <v>329</v>
      </c>
      <c r="AO269" s="13" t="s">
        <v>4069</v>
      </c>
      <c r="AQ269" s="13" t="s">
        <v>4066</v>
      </c>
      <c r="AR269" s="13" t="s">
        <v>4066</v>
      </c>
      <c r="AS269" s="13" t="s">
        <v>116</v>
      </c>
      <c r="AT269" s="13" t="s">
        <v>4070</v>
      </c>
      <c r="AU269" s="13" t="s">
        <v>4044</v>
      </c>
      <c r="AV269" s="13" t="s">
        <v>4045</v>
      </c>
      <c r="AW269" s="39"/>
      <c r="AX269" s="39"/>
      <c r="AY269" s="13" t="s">
        <v>4071</v>
      </c>
      <c r="AZ269" s="13" t="s">
        <v>4072</v>
      </c>
      <c r="BA269" s="13" t="s">
        <v>4072</v>
      </c>
      <c r="BB269" s="13" t="s">
        <v>4073</v>
      </c>
      <c r="BC269" s="13" t="s">
        <v>4073</v>
      </c>
      <c r="BD269" s="13">
        <f t="shared" si="9"/>
        <v>58</v>
      </c>
      <c r="BE269" s="17" t="s">
        <v>817</v>
      </c>
      <c r="BF269" s="17" t="s">
        <v>4049</v>
      </c>
      <c r="BG269" s="17" t="s">
        <v>4050</v>
      </c>
      <c r="BJ269" s="17" t="s">
        <v>4074</v>
      </c>
      <c r="BO269" s="17" t="s">
        <v>4052</v>
      </c>
      <c r="BS269" s="17" t="s">
        <v>127</v>
      </c>
      <c r="BU269" s="17" t="s">
        <v>129</v>
      </c>
      <c r="BW269" s="17" t="s">
        <v>4075</v>
      </c>
      <c r="BX269" s="13" t="s">
        <v>4076</v>
      </c>
      <c r="DA269" s="13" t="s">
        <v>10348</v>
      </c>
      <c r="DB269" s="13" t="s">
        <v>10348</v>
      </c>
    </row>
    <row r="270" spans="1:106" s="13" customFormat="1" ht="12.75" customHeight="1" x14ac:dyDescent="0.2">
      <c r="A270" s="13" t="s">
        <v>102</v>
      </c>
      <c r="B270" s="13" t="s">
        <v>103</v>
      </c>
      <c r="D270" s="13" t="s">
        <v>820</v>
      </c>
      <c r="E270" s="13" t="s">
        <v>471</v>
      </c>
      <c r="F270" s="13" t="s">
        <v>820</v>
      </c>
      <c r="G270" s="13" t="s">
        <v>229</v>
      </c>
      <c r="H270" s="13" t="s">
        <v>227</v>
      </c>
      <c r="J270" s="13" t="s">
        <v>106</v>
      </c>
      <c r="W270" s="13">
        <v>357</v>
      </c>
      <c r="X270" s="13">
        <v>357</v>
      </c>
      <c r="Y270" s="13" t="s">
        <v>107</v>
      </c>
      <c r="Z270" s="13" t="s">
        <v>108</v>
      </c>
      <c r="AA270" s="13" t="s">
        <v>107</v>
      </c>
      <c r="AB270" s="13" t="s">
        <v>4077</v>
      </c>
      <c r="AC270" s="13" t="s">
        <v>4077</v>
      </c>
      <c r="AD270" s="13" t="s">
        <v>4077</v>
      </c>
      <c r="AE270" s="35" t="s">
        <v>112</v>
      </c>
      <c r="AF270" s="13" t="s">
        <v>4077</v>
      </c>
      <c r="AG270" s="13" t="s">
        <v>4077</v>
      </c>
      <c r="AH270" s="35" t="s">
        <v>4078</v>
      </c>
      <c r="AL270" s="13" t="s">
        <v>4079</v>
      </c>
      <c r="AN270" s="13">
        <v>329</v>
      </c>
      <c r="AO270" s="13" t="s">
        <v>4080</v>
      </c>
      <c r="AQ270" s="13" t="s">
        <v>4077</v>
      </c>
      <c r="AR270" s="13" t="s">
        <v>4077</v>
      </c>
      <c r="AS270" s="13" t="s">
        <v>116</v>
      </c>
      <c r="AT270" s="13" t="s">
        <v>4081</v>
      </c>
      <c r="AU270" s="13" t="s">
        <v>4082</v>
      </c>
      <c r="AV270" s="13" t="s">
        <v>4045</v>
      </c>
      <c r="AW270" s="26"/>
      <c r="AX270" s="26"/>
      <c r="AY270" s="13" t="s">
        <v>4083</v>
      </c>
      <c r="AZ270" s="13" t="s">
        <v>4084</v>
      </c>
      <c r="BA270" s="13" t="s">
        <v>4084</v>
      </c>
      <c r="BB270" s="13" t="s">
        <v>4085</v>
      </c>
      <c r="BC270" s="13" t="s">
        <v>4085</v>
      </c>
      <c r="BD270" s="13">
        <f t="shared" si="9"/>
        <v>35</v>
      </c>
      <c r="BE270" s="17" t="s">
        <v>817</v>
      </c>
      <c r="BF270" s="17" t="s">
        <v>4049</v>
      </c>
      <c r="BG270" s="17" t="s">
        <v>4086</v>
      </c>
      <c r="BJ270" s="17" t="s">
        <v>4087</v>
      </c>
      <c r="BS270" s="17" t="s">
        <v>127</v>
      </c>
      <c r="BU270" s="17" t="s">
        <v>129</v>
      </c>
      <c r="BW270" s="17" t="s">
        <v>4088</v>
      </c>
      <c r="BX270" s="13" t="s">
        <v>4089</v>
      </c>
      <c r="DA270" s="13" t="s">
        <v>10348</v>
      </c>
      <c r="DB270" s="13" t="s">
        <v>10348</v>
      </c>
    </row>
    <row r="271" spans="1:106" s="13" customFormat="1" ht="12.75" customHeight="1" x14ac:dyDescent="0.2">
      <c r="A271" s="13" t="s">
        <v>102</v>
      </c>
      <c r="B271" s="13" t="s">
        <v>103</v>
      </c>
      <c r="D271" s="13" t="s">
        <v>104</v>
      </c>
      <c r="E271" s="13" t="s">
        <v>105</v>
      </c>
      <c r="F271" s="13" t="s">
        <v>104</v>
      </c>
      <c r="G271" s="13" t="s">
        <v>105</v>
      </c>
      <c r="H271" s="13" t="s">
        <v>227</v>
      </c>
      <c r="J271" s="13" t="s">
        <v>106</v>
      </c>
      <c r="W271" s="13">
        <v>358</v>
      </c>
      <c r="X271" s="13">
        <v>358</v>
      </c>
      <c r="Y271" s="13" t="s">
        <v>107</v>
      </c>
      <c r="Z271" s="13" t="s">
        <v>108</v>
      </c>
      <c r="AA271" s="13" t="s">
        <v>107</v>
      </c>
      <c r="AB271" s="13" t="s">
        <v>4090</v>
      </c>
      <c r="AC271" s="13" t="s">
        <v>4090</v>
      </c>
      <c r="AD271" s="13" t="s">
        <v>4090</v>
      </c>
      <c r="AE271" s="22" t="s">
        <v>112</v>
      </c>
      <c r="AF271" s="13" t="s">
        <v>4090</v>
      </c>
      <c r="AG271" s="13" t="s">
        <v>4090</v>
      </c>
      <c r="AH271" s="35" t="s">
        <v>4091</v>
      </c>
      <c r="AL271" s="13" t="s">
        <v>4092</v>
      </c>
      <c r="AN271" s="13">
        <v>329</v>
      </c>
      <c r="AO271" s="13" t="s">
        <v>4093</v>
      </c>
      <c r="AQ271" s="13" t="s">
        <v>4090</v>
      </c>
      <c r="AR271" s="13" t="s">
        <v>4090</v>
      </c>
      <c r="AS271" s="13" t="s">
        <v>116</v>
      </c>
      <c r="AT271" s="13" t="s">
        <v>4094</v>
      </c>
      <c r="AU271" s="13" t="s">
        <v>4095</v>
      </c>
      <c r="AV271" s="13" t="s">
        <v>813</v>
      </c>
      <c r="AW271" s="26"/>
      <c r="AX271" s="26"/>
      <c r="AY271" s="21" t="s">
        <v>4096</v>
      </c>
      <c r="AZ271" s="17" t="s">
        <v>4097</v>
      </c>
      <c r="BA271" s="17" t="s">
        <v>4097</v>
      </c>
      <c r="BB271" s="17" t="s">
        <v>4098</v>
      </c>
      <c r="BC271" s="17" t="s">
        <v>4099</v>
      </c>
      <c r="BD271" s="27">
        <f t="shared" ref="BD271:BD286" si="10">LEN(SUBSTITUTE(BC271,", ",","))</f>
        <v>56</v>
      </c>
      <c r="BE271" s="17" t="s">
        <v>817</v>
      </c>
      <c r="BF271" s="17" t="s">
        <v>4100</v>
      </c>
      <c r="BG271" s="17"/>
      <c r="BH271" s="17"/>
      <c r="BI271" s="17" t="s">
        <v>4101</v>
      </c>
      <c r="BJ271" s="17" t="s">
        <v>4102</v>
      </c>
      <c r="BK271" s="17"/>
      <c r="BL271" s="17"/>
      <c r="BM271" s="17"/>
      <c r="BN271" s="17" t="s">
        <v>4103</v>
      </c>
      <c r="BO271" s="17" t="s">
        <v>4104</v>
      </c>
      <c r="BP271" s="17" t="s">
        <v>4105</v>
      </c>
      <c r="BQ271" s="17"/>
      <c r="BR271" s="17"/>
      <c r="BS271" s="17" t="s">
        <v>127</v>
      </c>
      <c r="BT271" s="17" t="s">
        <v>4106</v>
      </c>
      <c r="BU271" s="17" t="s">
        <v>129</v>
      </c>
      <c r="BV271" s="17"/>
      <c r="BW271" s="17"/>
      <c r="BX271" s="13" t="s">
        <v>212</v>
      </c>
      <c r="BY271" s="13" t="s">
        <v>4107</v>
      </c>
      <c r="DA271" s="13" t="s">
        <v>10348</v>
      </c>
      <c r="DB271" s="13" t="s">
        <v>10348</v>
      </c>
    </row>
    <row r="272" spans="1:106" s="13" customFormat="1" ht="12.75" customHeight="1" x14ac:dyDescent="0.2">
      <c r="A272" s="13" t="s">
        <v>102</v>
      </c>
      <c r="B272" s="13" t="s">
        <v>103</v>
      </c>
      <c r="D272" s="13" t="s">
        <v>104</v>
      </c>
      <c r="E272" s="13" t="s">
        <v>105</v>
      </c>
      <c r="F272" s="13" t="s">
        <v>104</v>
      </c>
      <c r="G272" s="13" t="s">
        <v>105</v>
      </c>
      <c r="H272" s="13" t="s">
        <v>227</v>
      </c>
      <c r="J272" s="13" t="s">
        <v>106</v>
      </c>
      <c r="W272" s="13">
        <v>359</v>
      </c>
      <c r="X272" s="13">
        <v>359</v>
      </c>
      <c r="Y272" s="13" t="s">
        <v>107</v>
      </c>
      <c r="Z272" s="13" t="s">
        <v>108</v>
      </c>
      <c r="AA272" s="13" t="s">
        <v>107</v>
      </c>
      <c r="AB272" s="13" t="s">
        <v>4108</v>
      </c>
      <c r="AC272" s="13" t="s">
        <v>4108</v>
      </c>
      <c r="AD272" s="13" t="s">
        <v>4108</v>
      </c>
      <c r="AE272" s="22" t="s">
        <v>112</v>
      </c>
      <c r="AF272" s="13" t="s">
        <v>4108</v>
      </c>
      <c r="AG272" s="13" t="s">
        <v>4108</v>
      </c>
      <c r="AH272" s="35" t="s">
        <v>4109</v>
      </c>
      <c r="AL272" s="13" t="s">
        <v>4110</v>
      </c>
      <c r="AN272" s="13">
        <v>329</v>
      </c>
      <c r="AO272" s="13" t="s">
        <v>4111</v>
      </c>
      <c r="AQ272" s="13" t="s">
        <v>4108</v>
      </c>
      <c r="AR272" s="13" t="s">
        <v>4108</v>
      </c>
      <c r="AS272" s="13" t="s">
        <v>116</v>
      </c>
      <c r="AT272" s="13" t="s">
        <v>4112</v>
      </c>
      <c r="AU272" s="13" t="s">
        <v>4113</v>
      </c>
      <c r="AV272" s="13" t="s">
        <v>813</v>
      </c>
      <c r="AW272" s="26"/>
      <c r="AX272" s="26"/>
      <c r="AY272" s="21" t="s">
        <v>4114</v>
      </c>
      <c r="AZ272" s="17" t="s">
        <v>4115</v>
      </c>
      <c r="BA272" s="17" t="s">
        <v>4115</v>
      </c>
      <c r="BB272" s="17" t="s">
        <v>4116</v>
      </c>
      <c r="BC272" s="17" t="s">
        <v>4099</v>
      </c>
      <c r="BD272" s="27">
        <f t="shared" si="10"/>
        <v>56</v>
      </c>
      <c r="BE272" s="17" t="s">
        <v>817</v>
      </c>
      <c r="BF272" s="17" t="s">
        <v>4100</v>
      </c>
      <c r="BG272" s="17"/>
      <c r="BH272" s="17"/>
      <c r="BI272" s="17" t="s">
        <v>4117</v>
      </c>
      <c r="BJ272" s="17" t="s">
        <v>4102</v>
      </c>
      <c r="BK272" s="17"/>
      <c r="BL272" s="17"/>
      <c r="BM272" s="17"/>
      <c r="BN272" s="17" t="s">
        <v>4103</v>
      </c>
      <c r="BO272" s="17" t="s">
        <v>4104</v>
      </c>
      <c r="BP272" s="17" t="s">
        <v>4105</v>
      </c>
      <c r="BQ272" s="17"/>
      <c r="BR272" s="17"/>
      <c r="BS272" s="17" t="s">
        <v>127</v>
      </c>
      <c r="BT272" s="17" t="s">
        <v>4106</v>
      </c>
      <c r="BU272" s="17" t="s">
        <v>129</v>
      </c>
      <c r="BV272" s="17"/>
      <c r="BW272" s="17"/>
      <c r="BX272" s="13" t="s">
        <v>212</v>
      </c>
      <c r="BY272" s="13" t="s">
        <v>1715</v>
      </c>
      <c r="DA272" s="13" t="s">
        <v>10348</v>
      </c>
      <c r="DB272" s="13" t="s">
        <v>10348</v>
      </c>
    </row>
    <row r="273" spans="1:106" s="13" customFormat="1" ht="12.75" customHeight="1" x14ac:dyDescent="0.2">
      <c r="A273" s="13" t="s">
        <v>102</v>
      </c>
      <c r="B273" s="13" t="s">
        <v>103</v>
      </c>
      <c r="D273" s="13" t="s">
        <v>104</v>
      </c>
      <c r="E273" s="13" t="s">
        <v>105</v>
      </c>
      <c r="F273" s="13" t="s">
        <v>104</v>
      </c>
      <c r="G273" s="13" t="s">
        <v>105</v>
      </c>
      <c r="H273" s="13" t="s">
        <v>227</v>
      </c>
      <c r="J273" s="13" t="s">
        <v>106</v>
      </c>
      <c r="W273" s="13">
        <v>360</v>
      </c>
      <c r="X273" s="13">
        <v>360</v>
      </c>
      <c r="Y273" s="13" t="s">
        <v>107</v>
      </c>
      <c r="Z273" s="13" t="s">
        <v>108</v>
      </c>
      <c r="AA273" s="13" t="s">
        <v>107</v>
      </c>
      <c r="AB273" s="13" t="s">
        <v>4118</v>
      </c>
      <c r="AC273" s="13" t="s">
        <v>4118</v>
      </c>
      <c r="AD273" s="13" t="s">
        <v>4118</v>
      </c>
      <c r="AE273" s="22" t="s">
        <v>112</v>
      </c>
      <c r="AF273" s="13" t="s">
        <v>4118</v>
      </c>
      <c r="AG273" s="13" t="s">
        <v>4118</v>
      </c>
      <c r="AH273" s="35" t="s">
        <v>4119</v>
      </c>
      <c r="AL273" s="13" t="s">
        <v>4120</v>
      </c>
      <c r="AN273" s="13">
        <v>329</v>
      </c>
      <c r="AO273" s="13" t="s">
        <v>4121</v>
      </c>
      <c r="AQ273" s="13" t="s">
        <v>4118</v>
      </c>
      <c r="AR273" s="13" t="s">
        <v>4118</v>
      </c>
      <c r="AS273" s="13" t="s">
        <v>116</v>
      </c>
      <c r="AT273" s="13" t="s">
        <v>4122</v>
      </c>
      <c r="AU273" s="13" t="s">
        <v>4123</v>
      </c>
      <c r="AV273" s="13" t="s">
        <v>813</v>
      </c>
      <c r="AW273" s="26"/>
      <c r="AX273" s="26"/>
      <c r="AY273" s="21" t="s">
        <v>4124</v>
      </c>
      <c r="AZ273" s="17" t="s">
        <v>4125</v>
      </c>
      <c r="BA273" s="17" t="s">
        <v>4125</v>
      </c>
      <c r="BB273" s="17" t="s">
        <v>4126</v>
      </c>
      <c r="BC273" s="17" t="s">
        <v>4099</v>
      </c>
      <c r="BD273" s="27">
        <f t="shared" si="10"/>
        <v>56</v>
      </c>
      <c r="BE273" s="17" t="s">
        <v>817</v>
      </c>
      <c r="BF273" s="17" t="s">
        <v>4100</v>
      </c>
      <c r="BG273" s="17" t="s">
        <v>4127</v>
      </c>
      <c r="BH273" s="17"/>
      <c r="BI273" s="17" t="s">
        <v>4128</v>
      </c>
      <c r="BJ273" s="17" t="s">
        <v>4102</v>
      </c>
      <c r="BK273" s="17"/>
      <c r="BL273" s="17"/>
      <c r="BM273" s="17"/>
      <c r="BN273" s="17" t="s">
        <v>4103</v>
      </c>
      <c r="BO273" s="17" t="s">
        <v>4104</v>
      </c>
      <c r="BP273" s="17" t="s">
        <v>4105</v>
      </c>
      <c r="BQ273" s="17"/>
      <c r="BR273" s="17"/>
      <c r="BS273" s="17" t="s">
        <v>127</v>
      </c>
      <c r="BT273" s="17" t="s">
        <v>4106</v>
      </c>
      <c r="BU273" s="17" t="s">
        <v>129</v>
      </c>
      <c r="BV273" s="17"/>
      <c r="BW273" s="17"/>
      <c r="BX273" s="13" t="s">
        <v>212</v>
      </c>
      <c r="BY273" s="13" t="s">
        <v>1715</v>
      </c>
      <c r="DA273" s="13" t="s">
        <v>10348</v>
      </c>
      <c r="DB273" s="13" t="s">
        <v>10348</v>
      </c>
    </row>
    <row r="274" spans="1:106" s="13" customFormat="1" ht="12.75" customHeight="1" x14ac:dyDescent="0.2">
      <c r="A274" s="13" t="s">
        <v>102</v>
      </c>
      <c r="B274" s="13" t="s">
        <v>103</v>
      </c>
      <c r="D274" s="13" t="s">
        <v>104</v>
      </c>
      <c r="E274" s="13" t="s">
        <v>105</v>
      </c>
      <c r="F274" s="13" t="s">
        <v>104</v>
      </c>
      <c r="G274" s="13" t="s">
        <v>105</v>
      </c>
      <c r="H274" s="13" t="s">
        <v>227</v>
      </c>
      <c r="J274" s="13" t="s">
        <v>106</v>
      </c>
      <c r="W274" s="13">
        <v>361</v>
      </c>
      <c r="X274" s="13">
        <v>361</v>
      </c>
      <c r="Y274" s="13" t="s">
        <v>107</v>
      </c>
      <c r="Z274" s="13" t="s">
        <v>108</v>
      </c>
      <c r="AA274" s="13" t="s">
        <v>107</v>
      </c>
      <c r="AB274" s="13" t="s">
        <v>4129</v>
      </c>
      <c r="AC274" s="13" t="s">
        <v>4129</v>
      </c>
      <c r="AD274" s="13" t="s">
        <v>4129</v>
      </c>
      <c r="AE274" s="22" t="s">
        <v>112</v>
      </c>
      <c r="AF274" s="13" t="s">
        <v>4129</v>
      </c>
      <c r="AG274" s="13" t="s">
        <v>4129</v>
      </c>
      <c r="AH274" s="35" t="s">
        <v>4130</v>
      </c>
      <c r="AL274" s="13" t="s">
        <v>4120</v>
      </c>
      <c r="AN274" s="13">
        <v>329</v>
      </c>
      <c r="AO274" s="13" t="s">
        <v>4131</v>
      </c>
      <c r="AQ274" s="13" t="s">
        <v>4129</v>
      </c>
      <c r="AR274" s="13" t="s">
        <v>4129</v>
      </c>
      <c r="AS274" s="13" t="s">
        <v>116</v>
      </c>
      <c r="AT274" s="13" t="s">
        <v>4122</v>
      </c>
      <c r="AU274" s="13" t="s">
        <v>4123</v>
      </c>
      <c r="AV274" s="13" t="s">
        <v>813</v>
      </c>
      <c r="AW274" s="26"/>
      <c r="AX274" s="26"/>
      <c r="AY274" s="21" t="s">
        <v>4124</v>
      </c>
      <c r="AZ274" s="17" t="s">
        <v>4132</v>
      </c>
      <c r="BA274" s="17" t="s">
        <v>4132</v>
      </c>
      <c r="BB274" s="17" t="s">
        <v>4133</v>
      </c>
      <c r="BC274" s="17" t="s">
        <v>4134</v>
      </c>
      <c r="BD274" s="27">
        <f t="shared" si="10"/>
        <v>51</v>
      </c>
      <c r="BE274" s="17" t="s">
        <v>817</v>
      </c>
      <c r="BF274" s="17" t="s">
        <v>4100</v>
      </c>
      <c r="BG274" s="17" t="s">
        <v>4127</v>
      </c>
      <c r="BH274" s="17"/>
      <c r="BI274" s="17" t="s">
        <v>4128</v>
      </c>
      <c r="BJ274" s="17" t="s">
        <v>4102</v>
      </c>
      <c r="BK274" s="17"/>
      <c r="BL274" s="17"/>
      <c r="BM274" s="17"/>
      <c r="BN274" s="17" t="s">
        <v>4103</v>
      </c>
      <c r="BO274" s="17" t="s">
        <v>4104</v>
      </c>
      <c r="BP274" s="17"/>
      <c r="BQ274" s="17"/>
      <c r="BR274" s="17"/>
      <c r="BS274" s="17" t="s">
        <v>127</v>
      </c>
      <c r="BT274" s="17" t="s">
        <v>4106</v>
      </c>
      <c r="BU274" s="17" t="s">
        <v>129</v>
      </c>
      <c r="BV274" s="17"/>
      <c r="BW274" s="17"/>
      <c r="BX274" s="13" t="s">
        <v>4135</v>
      </c>
      <c r="BY274" s="13" t="s">
        <v>1715</v>
      </c>
      <c r="DA274" s="13" t="s">
        <v>10348</v>
      </c>
      <c r="DB274" s="13" t="s">
        <v>10348</v>
      </c>
    </row>
    <row r="275" spans="1:106" s="13" customFormat="1" ht="12.75" customHeight="1" x14ac:dyDescent="0.2">
      <c r="A275" s="13" t="s">
        <v>102</v>
      </c>
      <c r="B275" s="13" t="s">
        <v>103</v>
      </c>
      <c r="D275" s="13" t="s">
        <v>104</v>
      </c>
      <c r="E275" s="13" t="s">
        <v>105</v>
      </c>
      <c r="F275" s="13" t="s">
        <v>104</v>
      </c>
      <c r="G275" s="13" t="s">
        <v>105</v>
      </c>
      <c r="H275" s="13" t="s">
        <v>227</v>
      </c>
      <c r="J275" s="13" t="s">
        <v>106</v>
      </c>
      <c r="W275" s="13">
        <v>362</v>
      </c>
      <c r="X275" s="13">
        <v>362</v>
      </c>
      <c r="Y275" s="13" t="s">
        <v>107</v>
      </c>
      <c r="Z275" s="13" t="s">
        <v>108</v>
      </c>
      <c r="AA275" s="13" t="s">
        <v>107</v>
      </c>
      <c r="AB275" s="13" t="s">
        <v>4136</v>
      </c>
      <c r="AC275" s="13" t="s">
        <v>4136</v>
      </c>
      <c r="AD275" s="13" t="s">
        <v>4136</v>
      </c>
      <c r="AE275" s="22" t="s">
        <v>112</v>
      </c>
      <c r="AF275" s="13" t="s">
        <v>4136</v>
      </c>
      <c r="AG275" s="13" t="s">
        <v>4136</v>
      </c>
      <c r="AH275" s="35" t="s">
        <v>4137</v>
      </c>
      <c r="AL275" s="13" t="s">
        <v>4120</v>
      </c>
      <c r="AN275" s="13">
        <v>329</v>
      </c>
      <c r="AO275" s="13" t="s">
        <v>4138</v>
      </c>
      <c r="AQ275" s="13" t="s">
        <v>4136</v>
      </c>
      <c r="AR275" s="13" t="s">
        <v>4136</v>
      </c>
      <c r="AS275" s="13" t="s">
        <v>116</v>
      </c>
      <c r="AT275" s="13" t="s">
        <v>4122</v>
      </c>
      <c r="AU275" s="13" t="s">
        <v>4123</v>
      </c>
      <c r="AV275" s="13" t="s">
        <v>813</v>
      </c>
      <c r="AW275" s="26"/>
      <c r="AX275" s="26"/>
      <c r="AY275" s="21" t="s">
        <v>4124</v>
      </c>
      <c r="AZ275" s="17" t="s">
        <v>4132</v>
      </c>
      <c r="BA275" s="17" t="s">
        <v>4132</v>
      </c>
      <c r="BB275" s="17" t="s">
        <v>4133</v>
      </c>
      <c r="BC275" s="17" t="s">
        <v>4139</v>
      </c>
      <c r="BD275" s="27">
        <f t="shared" si="10"/>
        <v>56</v>
      </c>
      <c r="BE275" s="17" t="s">
        <v>817</v>
      </c>
      <c r="BF275" s="17" t="s">
        <v>4100</v>
      </c>
      <c r="BG275" s="17" t="s">
        <v>4127</v>
      </c>
      <c r="BH275" s="17"/>
      <c r="BI275" s="17" t="s">
        <v>4128</v>
      </c>
      <c r="BJ275" s="17" t="s">
        <v>4102</v>
      </c>
      <c r="BK275" s="17"/>
      <c r="BL275" s="17"/>
      <c r="BM275" s="17"/>
      <c r="BN275" s="17" t="s">
        <v>4103</v>
      </c>
      <c r="BO275" s="17" t="s">
        <v>4104</v>
      </c>
      <c r="BP275" s="17"/>
      <c r="BQ275" s="17"/>
      <c r="BR275" s="17"/>
      <c r="BS275" s="17" t="s">
        <v>127</v>
      </c>
      <c r="BT275" s="17" t="s">
        <v>4106</v>
      </c>
      <c r="BU275" s="17" t="s">
        <v>129</v>
      </c>
      <c r="BV275" s="17"/>
      <c r="BW275" s="17"/>
      <c r="BX275" s="13" t="s">
        <v>4140</v>
      </c>
      <c r="BY275" s="13" t="s">
        <v>1715</v>
      </c>
      <c r="DA275" s="13" t="s">
        <v>10348</v>
      </c>
      <c r="DB275" s="13" t="s">
        <v>10348</v>
      </c>
    </row>
    <row r="276" spans="1:106" s="13" customFormat="1" ht="12.75" customHeight="1" x14ac:dyDescent="0.2">
      <c r="A276" s="13" t="s">
        <v>102</v>
      </c>
      <c r="B276" s="13" t="s">
        <v>103</v>
      </c>
      <c r="D276" s="13" t="s">
        <v>104</v>
      </c>
      <c r="E276" s="13" t="s">
        <v>105</v>
      </c>
      <c r="F276" s="13" t="s">
        <v>104</v>
      </c>
      <c r="G276" s="13" t="s">
        <v>105</v>
      </c>
      <c r="H276" s="13" t="s">
        <v>227</v>
      </c>
      <c r="J276" s="13" t="s">
        <v>106</v>
      </c>
      <c r="W276" s="13">
        <v>363</v>
      </c>
      <c r="X276" s="13">
        <v>363</v>
      </c>
      <c r="Y276" s="13" t="s">
        <v>107</v>
      </c>
      <c r="Z276" s="13" t="s">
        <v>108</v>
      </c>
      <c r="AA276" s="13" t="s">
        <v>107</v>
      </c>
      <c r="AB276" s="13" t="s">
        <v>4141</v>
      </c>
      <c r="AC276" s="13" t="s">
        <v>4141</v>
      </c>
      <c r="AD276" s="13" t="s">
        <v>4141</v>
      </c>
      <c r="AE276" s="22" t="s">
        <v>112</v>
      </c>
      <c r="AF276" s="13" t="s">
        <v>4141</v>
      </c>
      <c r="AG276" s="13" t="s">
        <v>4141</v>
      </c>
      <c r="AH276" s="35" t="s">
        <v>4142</v>
      </c>
      <c r="AL276" s="13" t="s">
        <v>4143</v>
      </c>
      <c r="AN276" s="13">
        <v>329</v>
      </c>
      <c r="AO276" s="13" t="s">
        <v>4144</v>
      </c>
      <c r="AQ276" s="13" t="s">
        <v>4141</v>
      </c>
      <c r="AR276" s="13" t="s">
        <v>4141</v>
      </c>
      <c r="AS276" s="13" t="s">
        <v>116</v>
      </c>
      <c r="AT276" s="13" t="s">
        <v>4145</v>
      </c>
      <c r="AU276" s="13" t="s">
        <v>4146</v>
      </c>
      <c r="AV276" s="13" t="s">
        <v>813</v>
      </c>
      <c r="AW276" s="26"/>
      <c r="AX276" s="26"/>
      <c r="AY276" s="21" t="s">
        <v>4147</v>
      </c>
      <c r="AZ276" s="17" t="s">
        <v>4148</v>
      </c>
      <c r="BA276" s="17" t="s">
        <v>4148</v>
      </c>
      <c r="BB276" s="17" t="s">
        <v>4149</v>
      </c>
      <c r="BC276" s="17" t="s">
        <v>4150</v>
      </c>
      <c r="BD276" s="27">
        <f t="shared" si="10"/>
        <v>51</v>
      </c>
      <c r="BE276" s="17" t="s">
        <v>817</v>
      </c>
      <c r="BF276" s="17" t="s">
        <v>4100</v>
      </c>
      <c r="BG276" s="17" t="s">
        <v>4127</v>
      </c>
      <c r="BH276" s="17"/>
      <c r="BI276" s="17" t="s">
        <v>4128</v>
      </c>
      <c r="BJ276" s="17" t="s">
        <v>4151</v>
      </c>
      <c r="BK276" s="17"/>
      <c r="BL276" s="17"/>
      <c r="BM276" s="17"/>
      <c r="BN276" s="17" t="s">
        <v>4103</v>
      </c>
      <c r="BO276" s="17" t="s">
        <v>4104</v>
      </c>
      <c r="BP276" s="17"/>
      <c r="BQ276" s="17"/>
      <c r="BR276" s="17"/>
      <c r="BS276" s="17" t="s">
        <v>127</v>
      </c>
      <c r="BT276" s="17" t="s">
        <v>4152</v>
      </c>
      <c r="BU276" s="17" t="s">
        <v>129</v>
      </c>
      <c r="BV276" s="17"/>
      <c r="BW276" s="17"/>
      <c r="BX276" s="13" t="s">
        <v>4153</v>
      </c>
      <c r="BY276" s="13" t="s">
        <v>1715</v>
      </c>
      <c r="DA276" s="13" t="s">
        <v>10348</v>
      </c>
      <c r="DB276" s="13" t="s">
        <v>10348</v>
      </c>
    </row>
    <row r="277" spans="1:106" s="13" customFormat="1" ht="12.75" customHeight="1" x14ac:dyDescent="0.2">
      <c r="A277" s="13" t="s">
        <v>102</v>
      </c>
      <c r="B277" s="13" t="s">
        <v>103</v>
      </c>
      <c r="D277" s="13" t="s">
        <v>104</v>
      </c>
      <c r="E277" s="13" t="s">
        <v>105</v>
      </c>
      <c r="F277" s="13" t="s">
        <v>104</v>
      </c>
      <c r="G277" s="13" t="s">
        <v>105</v>
      </c>
      <c r="H277" s="13" t="s">
        <v>227</v>
      </c>
      <c r="J277" s="13" t="s">
        <v>106</v>
      </c>
      <c r="W277" s="13">
        <v>364</v>
      </c>
      <c r="X277" s="13">
        <v>364</v>
      </c>
      <c r="Y277" s="13" t="s">
        <v>107</v>
      </c>
      <c r="Z277" s="13" t="s">
        <v>108</v>
      </c>
      <c r="AA277" s="13" t="s">
        <v>107</v>
      </c>
      <c r="AB277" s="13" t="s">
        <v>4154</v>
      </c>
      <c r="AC277" s="13" t="s">
        <v>4154</v>
      </c>
      <c r="AD277" s="13" t="s">
        <v>4154</v>
      </c>
      <c r="AE277" s="22" t="s">
        <v>112</v>
      </c>
      <c r="AF277" s="13" t="s">
        <v>4154</v>
      </c>
      <c r="AG277" s="13" t="s">
        <v>4154</v>
      </c>
      <c r="AH277" s="35" t="s">
        <v>4155</v>
      </c>
      <c r="AL277" s="13" t="s">
        <v>4156</v>
      </c>
      <c r="AN277" s="13">
        <v>329</v>
      </c>
      <c r="AO277" s="13" t="s">
        <v>4157</v>
      </c>
      <c r="AQ277" s="13" t="s">
        <v>4154</v>
      </c>
      <c r="AR277" s="13" t="s">
        <v>4154</v>
      </c>
      <c r="AS277" s="13" t="s">
        <v>116</v>
      </c>
      <c r="AT277" s="13" t="s">
        <v>4158</v>
      </c>
      <c r="AU277" s="13" t="s">
        <v>4159</v>
      </c>
      <c r="AV277" s="13" t="s">
        <v>813</v>
      </c>
      <c r="AW277" s="26"/>
      <c r="AX277" s="26"/>
      <c r="AY277" s="21" t="s">
        <v>4160</v>
      </c>
      <c r="AZ277" s="17" t="s">
        <v>4161</v>
      </c>
      <c r="BA277" s="17" t="s">
        <v>4161</v>
      </c>
      <c r="BB277" s="17" t="s">
        <v>4162</v>
      </c>
      <c r="BC277" s="17" t="s">
        <v>4163</v>
      </c>
      <c r="BD277" s="27">
        <f t="shared" si="10"/>
        <v>49</v>
      </c>
      <c r="BE277" s="17" t="s">
        <v>817</v>
      </c>
      <c r="BF277" s="17" t="s">
        <v>4100</v>
      </c>
      <c r="BG277" s="17"/>
      <c r="BH277" s="17"/>
      <c r="BI277" s="17" t="s">
        <v>4128</v>
      </c>
      <c r="BJ277" s="17" t="s">
        <v>4151</v>
      </c>
      <c r="BK277" s="17"/>
      <c r="BL277" s="17"/>
      <c r="BM277" s="17"/>
      <c r="BN277" s="17" t="s">
        <v>4103</v>
      </c>
      <c r="BO277" s="17" t="s">
        <v>4104</v>
      </c>
      <c r="BP277" s="17"/>
      <c r="BQ277" s="17"/>
      <c r="BR277" s="17"/>
      <c r="BS277" s="17" t="s">
        <v>127</v>
      </c>
      <c r="BT277" s="17" t="s">
        <v>4152</v>
      </c>
      <c r="BU277" s="17" t="s">
        <v>129</v>
      </c>
      <c r="BV277" s="17"/>
      <c r="BW277" s="17"/>
      <c r="BX277" s="13" t="s">
        <v>4164</v>
      </c>
      <c r="BY277" s="13" t="s">
        <v>1715</v>
      </c>
      <c r="DA277" s="13" t="s">
        <v>10348</v>
      </c>
      <c r="DB277" s="13" t="s">
        <v>10348</v>
      </c>
    </row>
    <row r="278" spans="1:106" s="13" customFormat="1" ht="12.75" customHeight="1" x14ac:dyDescent="0.2">
      <c r="A278" s="13" t="s">
        <v>102</v>
      </c>
      <c r="B278" s="13" t="s">
        <v>103</v>
      </c>
      <c r="D278" s="13" t="s">
        <v>104</v>
      </c>
      <c r="E278" s="13" t="s">
        <v>105</v>
      </c>
      <c r="F278" s="13" t="s">
        <v>104</v>
      </c>
      <c r="G278" s="13" t="s">
        <v>105</v>
      </c>
      <c r="H278" s="13" t="s">
        <v>227</v>
      </c>
      <c r="J278" s="13" t="s">
        <v>106</v>
      </c>
      <c r="W278" s="13">
        <v>365</v>
      </c>
      <c r="X278" s="13">
        <v>365</v>
      </c>
      <c r="Y278" s="13" t="s">
        <v>107</v>
      </c>
      <c r="Z278" s="13" t="s">
        <v>108</v>
      </c>
      <c r="AA278" s="13" t="s">
        <v>107</v>
      </c>
      <c r="AB278" s="13" t="s">
        <v>4165</v>
      </c>
      <c r="AC278" s="13" t="s">
        <v>4165</v>
      </c>
      <c r="AD278" s="13" t="s">
        <v>4165</v>
      </c>
      <c r="AE278" s="22" t="s">
        <v>112</v>
      </c>
      <c r="AF278" s="13" t="s">
        <v>4165</v>
      </c>
      <c r="AG278" s="13" t="s">
        <v>4165</v>
      </c>
      <c r="AH278" s="35" t="s">
        <v>4166</v>
      </c>
      <c r="AL278" s="13" t="s">
        <v>4167</v>
      </c>
      <c r="AN278" s="13">
        <v>329</v>
      </c>
      <c r="AO278" s="13" t="s">
        <v>4168</v>
      </c>
      <c r="AQ278" s="13" t="s">
        <v>4165</v>
      </c>
      <c r="AR278" s="13" t="s">
        <v>4165</v>
      </c>
      <c r="AS278" s="13" t="s">
        <v>116</v>
      </c>
      <c r="AT278" s="13" t="s">
        <v>4169</v>
      </c>
      <c r="AU278" s="13" t="s">
        <v>4170</v>
      </c>
      <c r="AV278" s="13" t="s">
        <v>813</v>
      </c>
      <c r="AW278" s="26"/>
      <c r="AX278" s="26"/>
      <c r="AY278" s="21" t="s">
        <v>4171</v>
      </c>
      <c r="AZ278" s="17" t="s">
        <v>4172</v>
      </c>
      <c r="BA278" s="17" t="s">
        <v>4172</v>
      </c>
      <c r="BB278" s="17" t="s">
        <v>4173</v>
      </c>
      <c r="BC278" s="17" t="s">
        <v>4173</v>
      </c>
      <c r="BD278" s="27">
        <f t="shared" si="10"/>
        <v>54</v>
      </c>
      <c r="BE278" s="17" t="s">
        <v>817</v>
      </c>
      <c r="BF278" s="17" t="s">
        <v>4100</v>
      </c>
      <c r="BG278" s="17"/>
      <c r="BH278" s="17"/>
      <c r="BI278" s="17"/>
      <c r="BJ278" s="17" t="s">
        <v>4174</v>
      </c>
      <c r="BK278" s="17"/>
      <c r="BL278" s="17"/>
      <c r="BM278" s="17"/>
      <c r="BN278" s="17" t="s">
        <v>4175</v>
      </c>
      <c r="BO278" s="17" t="s">
        <v>4176</v>
      </c>
      <c r="BP278" s="17"/>
      <c r="BQ278" s="17"/>
      <c r="BR278" s="17"/>
      <c r="BS278" s="17" t="s">
        <v>127</v>
      </c>
      <c r="BT278" s="17" t="s">
        <v>4106</v>
      </c>
      <c r="BU278" s="17" t="s">
        <v>129</v>
      </c>
      <c r="BV278" s="17"/>
      <c r="BW278" s="17"/>
      <c r="BX278" s="13" t="s">
        <v>4177</v>
      </c>
      <c r="BY278" s="13" t="s">
        <v>4178</v>
      </c>
      <c r="DA278" s="13" t="s">
        <v>10348</v>
      </c>
      <c r="DB278" s="13" t="s">
        <v>10348</v>
      </c>
    </row>
    <row r="279" spans="1:106" s="13" customFormat="1" ht="12.75" customHeight="1" x14ac:dyDescent="0.2">
      <c r="A279" s="13" t="s">
        <v>102</v>
      </c>
      <c r="B279" s="13" t="s">
        <v>103</v>
      </c>
      <c r="D279" s="13" t="s">
        <v>104</v>
      </c>
      <c r="E279" s="13" t="s">
        <v>105</v>
      </c>
      <c r="F279" s="13" t="s">
        <v>104</v>
      </c>
      <c r="G279" s="13" t="s">
        <v>105</v>
      </c>
      <c r="H279" s="13" t="s">
        <v>227</v>
      </c>
      <c r="J279" s="13" t="s">
        <v>106</v>
      </c>
      <c r="W279" s="13">
        <v>366</v>
      </c>
      <c r="X279" s="13">
        <v>366</v>
      </c>
      <c r="Y279" s="13" t="s">
        <v>107</v>
      </c>
      <c r="Z279" s="13" t="s">
        <v>108</v>
      </c>
      <c r="AA279" s="13" t="s">
        <v>107</v>
      </c>
      <c r="AB279" s="13" t="s">
        <v>4179</v>
      </c>
      <c r="AC279" s="13" t="s">
        <v>4179</v>
      </c>
      <c r="AD279" s="13" t="s">
        <v>4179</v>
      </c>
      <c r="AE279" s="22" t="s">
        <v>112</v>
      </c>
      <c r="AF279" s="13" t="s">
        <v>4179</v>
      </c>
      <c r="AG279" s="13" t="s">
        <v>4179</v>
      </c>
      <c r="AH279" s="35" t="s">
        <v>4180</v>
      </c>
      <c r="AL279" s="13" t="s">
        <v>4181</v>
      </c>
      <c r="AN279" s="13">
        <v>329</v>
      </c>
      <c r="AO279" s="13" t="s">
        <v>4182</v>
      </c>
      <c r="AQ279" s="13" t="s">
        <v>4179</v>
      </c>
      <c r="AR279" s="13" t="s">
        <v>4179</v>
      </c>
      <c r="AS279" s="13" t="s">
        <v>116</v>
      </c>
      <c r="AT279" s="13" t="s">
        <v>4183</v>
      </c>
      <c r="AU279" s="13" t="s">
        <v>4184</v>
      </c>
      <c r="AV279" s="13" t="s">
        <v>813</v>
      </c>
      <c r="AW279" s="26"/>
      <c r="AX279" s="26"/>
      <c r="AY279" s="21" t="s">
        <v>4185</v>
      </c>
      <c r="AZ279" s="17" t="s">
        <v>4186</v>
      </c>
      <c r="BA279" s="17" t="s">
        <v>4186</v>
      </c>
      <c r="BB279" s="17" t="s">
        <v>4187</v>
      </c>
      <c r="BC279" s="17" t="s">
        <v>4187</v>
      </c>
      <c r="BD279" s="27">
        <f t="shared" si="10"/>
        <v>43</v>
      </c>
      <c r="BE279" s="17" t="s">
        <v>817</v>
      </c>
      <c r="BF279" s="17" t="s">
        <v>4100</v>
      </c>
      <c r="BG279" s="17"/>
      <c r="BH279" s="17"/>
      <c r="BI279" s="17" t="s">
        <v>4117</v>
      </c>
      <c r="BJ279" s="17" t="s">
        <v>4188</v>
      </c>
      <c r="BK279" s="17"/>
      <c r="BL279" s="17"/>
      <c r="BM279" s="17"/>
      <c r="BN279" s="17" t="s">
        <v>4103</v>
      </c>
      <c r="BO279" s="17"/>
      <c r="BP279" s="17"/>
      <c r="BQ279" s="17"/>
      <c r="BR279" s="17"/>
      <c r="BS279" s="17" t="s">
        <v>127</v>
      </c>
      <c r="BT279" s="17"/>
      <c r="BU279" s="17" t="s">
        <v>129</v>
      </c>
      <c r="BV279" s="17"/>
      <c r="BW279" s="17"/>
      <c r="BX279" s="13" t="s">
        <v>4189</v>
      </c>
      <c r="BY279" s="13" t="s">
        <v>1715</v>
      </c>
      <c r="DA279" s="13" t="s">
        <v>10348</v>
      </c>
      <c r="DB279" s="13" t="s">
        <v>10348</v>
      </c>
    </row>
    <row r="280" spans="1:106" s="13" customFormat="1" ht="12.75" customHeight="1" x14ac:dyDescent="0.2">
      <c r="A280" s="13" t="s">
        <v>102</v>
      </c>
      <c r="B280" s="13" t="s">
        <v>103</v>
      </c>
      <c r="D280" s="13" t="s">
        <v>104</v>
      </c>
      <c r="E280" s="13" t="s">
        <v>105</v>
      </c>
      <c r="F280" s="13" t="s">
        <v>104</v>
      </c>
      <c r="G280" s="13" t="s">
        <v>105</v>
      </c>
      <c r="H280" s="13" t="s">
        <v>227</v>
      </c>
      <c r="J280" s="13" t="s">
        <v>106</v>
      </c>
      <c r="W280" s="13">
        <v>367</v>
      </c>
      <c r="X280" s="13">
        <v>367</v>
      </c>
      <c r="Y280" s="13" t="s">
        <v>107</v>
      </c>
      <c r="Z280" s="13" t="s">
        <v>108</v>
      </c>
      <c r="AA280" s="13" t="s">
        <v>107</v>
      </c>
      <c r="AB280" s="13" t="s">
        <v>4190</v>
      </c>
      <c r="AC280" s="13" t="s">
        <v>4190</v>
      </c>
      <c r="AD280" s="13" t="s">
        <v>4190</v>
      </c>
      <c r="AE280" s="22" t="s">
        <v>112</v>
      </c>
      <c r="AF280" s="13" t="s">
        <v>4190</v>
      </c>
      <c r="AG280" s="13" t="s">
        <v>4190</v>
      </c>
      <c r="AH280" s="35" t="s">
        <v>4191</v>
      </c>
      <c r="AL280" s="13" t="s">
        <v>4192</v>
      </c>
      <c r="AN280" s="13">
        <v>329</v>
      </c>
      <c r="AO280" s="13" t="s">
        <v>4193</v>
      </c>
      <c r="AQ280" s="13" t="s">
        <v>4190</v>
      </c>
      <c r="AR280" s="13" t="s">
        <v>4190</v>
      </c>
      <c r="AS280" s="13" t="s">
        <v>116</v>
      </c>
      <c r="AT280" s="13" t="s">
        <v>4194</v>
      </c>
      <c r="AU280" s="13" t="s">
        <v>4195</v>
      </c>
      <c r="AV280" s="13" t="s">
        <v>813</v>
      </c>
      <c r="AW280" s="26"/>
      <c r="AX280" s="26"/>
      <c r="AY280" s="21" t="s">
        <v>4196</v>
      </c>
      <c r="AZ280" s="17" t="s">
        <v>4197</v>
      </c>
      <c r="BA280" s="17" t="s">
        <v>4197</v>
      </c>
      <c r="BB280" s="17" t="s">
        <v>4198</v>
      </c>
      <c r="BC280" s="17" t="s">
        <v>4199</v>
      </c>
      <c r="BD280" s="27">
        <f t="shared" si="10"/>
        <v>57</v>
      </c>
      <c r="BE280" s="17" t="s">
        <v>817</v>
      </c>
      <c r="BF280" s="17" t="s">
        <v>4100</v>
      </c>
      <c r="BG280" s="17"/>
      <c r="BH280" s="17"/>
      <c r="BI280" s="17"/>
      <c r="BJ280" s="17" t="s">
        <v>4200</v>
      </c>
      <c r="BK280" s="17"/>
      <c r="BL280" s="17"/>
      <c r="BM280" s="17"/>
      <c r="BN280" s="17" t="s">
        <v>4103</v>
      </c>
      <c r="BO280" s="17" t="s">
        <v>4201</v>
      </c>
      <c r="BP280" s="17"/>
      <c r="BQ280" s="17"/>
      <c r="BR280" s="17"/>
      <c r="BS280" s="17" t="s">
        <v>127</v>
      </c>
      <c r="BT280" s="17"/>
      <c r="BU280" s="17" t="s">
        <v>129</v>
      </c>
      <c r="BV280" s="17"/>
      <c r="BW280" s="17"/>
      <c r="BX280" s="13" t="s">
        <v>4202</v>
      </c>
      <c r="BY280" s="13" t="s">
        <v>1715</v>
      </c>
      <c r="DA280" s="13" t="s">
        <v>10348</v>
      </c>
      <c r="DB280" s="13" t="s">
        <v>10348</v>
      </c>
    </row>
    <row r="281" spans="1:106" s="13" customFormat="1" ht="12.75" customHeight="1" x14ac:dyDescent="0.2">
      <c r="A281" s="13" t="s">
        <v>102</v>
      </c>
      <c r="B281" s="13" t="s">
        <v>103</v>
      </c>
      <c r="D281" s="13" t="s">
        <v>104</v>
      </c>
      <c r="E281" s="13" t="s">
        <v>105</v>
      </c>
      <c r="F281" s="13" t="s">
        <v>104</v>
      </c>
      <c r="G281" s="13" t="s">
        <v>105</v>
      </c>
      <c r="H281" s="13" t="s">
        <v>227</v>
      </c>
      <c r="J281" s="13" t="s">
        <v>106</v>
      </c>
      <c r="W281" s="13">
        <v>368</v>
      </c>
      <c r="X281" s="13">
        <v>368</v>
      </c>
      <c r="Y281" s="13" t="s">
        <v>107</v>
      </c>
      <c r="Z281" s="13" t="s">
        <v>108</v>
      </c>
      <c r="AA281" s="13" t="s">
        <v>107</v>
      </c>
      <c r="AB281" s="13" t="s">
        <v>4203</v>
      </c>
      <c r="AC281" s="13" t="s">
        <v>4203</v>
      </c>
      <c r="AD281" s="13" t="s">
        <v>4203</v>
      </c>
      <c r="AE281" s="22" t="s">
        <v>112</v>
      </c>
      <c r="AF281" s="13" t="s">
        <v>4203</v>
      </c>
      <c r="AG281" s="13" t="s">
        <v>4203</v>
      </c>
      <c r="AH281" s="35" t="s">
        <v>4204</v>
      </c>
      <c r="AL281" s="13" t="s">
        <v>4205</v>
      </c>
      <c r="AN281" s="13">
        <v>329</v>
      </c>
      <c r="AO281" s="13" t="s">
        <v>4206</v>
      </c>
      <c r="AQ281" s="13" t="s">
        <v>4203</v>
      </c>
      <c r="AR281" s="13" t="s">
        <v>4203</v>
      </c>
      <c r="AS281" s="13" t="s">
        <v>116</v>
      </c>
      <c r="AT281" s="13" t="s">
        <v>4207</v>
      </c>
      <c r="AU281" s="13" t="s">
        <v>4208</v>
      </c>
      <c r="AV281" s="14" t="s">
        <v>4045</v>
      </c>
      <c r="AW281" s="26"/>
      <c r="AX281" s="26"/>
      <c r="AY281" s="21" t="s">
        <v>4209</v>
      </c>
      <c r="AZ281" s="17" t="s">
        <v>4210</v>
      </c>
      <c r="BA281" s="17" t="s">
        <v>4210</v>
      </c>
      <c r="BB281" s="17" t="s">
        <v>4211</v>
      </c>
      <c r="BC281" s="17" t="s">
        <v>4211</v>
      </c>
      <c r="BD281" s="27">
        <f t="shared" si="10"/>
        <v>36</v>
      </c>
      <c r="BE281" s="17" t="s">
        <v>4212</v>
      </c>
      <c r="BF281" s="17" t="s">
        <v>4049</v>
      </c>
      <c r="BG281" s="17" t="s">
        <v>4050</v>
      </c>
      <c r="BH281" s="17"/>
      <c r="BI281" s="17"/>
      <c r="BJ281" s="17" t="s">
        <v>4213</v>
      </c>
      <c r="BK281" s="17"/>
      <c r="BL281" s="17"/>
      <c r="BM281" s="17"/>
      <c r="BN281" s="17"/>
      <c r="BO281" s="17"/>
      <c r="BP281" s="17"/>
      <c r="BQ281" s="17"/>
      <c r="BR281" s="17"/>
      <c r="BS281" s="17" t="s">
        <v>127</v>
      </c>
      <c r="BT281" s="17"/>
      <c r="BU281" s="17" t="s">
        <v>129</v>
      </c>
      <c r="BV281" s="17"/>
      <c r="BW281" s="17"/>
      <c r="BX281" s="13" t="s">
        <v>4214</v>
      </c>
      <c r="BY281" s="13" t="s">
        <v>4215</v>
      </c>
      <c r="DA281" s="13" t="s">
        <v>10348</v>
      </c>
      <c r="DB281" s="13" t="s">
        <v>10348</v>
      </c>
    </row>
    <row r="282" spans="1:106" s="13" customFormat="1" ht="12.75" customHeight="1" x14ac:dyDescent="0.2">
      <c r="A282" s="13" t="s">
        <v>102</v>
      </c>
      <c r="B282" s="13" t="s">
        <v>103</v>
      </c>
      <c r="D282" s="13" t="s">
        <v>104</v>
      </c>
      <c r="E282" s="13" t="s">
        <v>105</v>
      </c>
      <c r="F282" s="13" t="s">
        <v>104</v>
      </c>
      <c r="G282" s="13" t="s">
        <v>105</v>
      </c>
      <c r="H282" s="13" t="s">
        <v>227</v>
      </c>
      <c r="J282" s="13" t="s">
        <v>106</v>
      </c>
      <c r="W282" s="13">
        <v>369</v>
      </c>
      <c r="X282" s="13">
        <v>369</v>
      </c>
      <c r="Y282" s="13" t="s">
        <v>107</v>
      </c>
      <c r="Z282" s="13" t="s">
        <v>108</v>
      </c>
      <c r="AA282" s="13" t="s">
        <v>107</v>
      </c>
      <c r="AB282" s="13" t="s">
        <v>4216</v>
      </c>
      <c r="AC282" s="13" t="s">
        <v>4216</v>
      </c>
      <c r="AD282" s="13" t="s">
        <v>4216</v>
      </c>
      <c r="AE282" s="22" t="s">
        <v>112</v>
      </c>
      <c r="AF282" s="13" t="s">
        <v>4216</v>
      </c>
      <c r="AG282" s="13" t="s">
        <v>4216</v>
      </c>
      <c r="AH282" s="35" t="s">
        <v>4217</v>
      </c>
      <c r="AL282" s="13" t="s">
        <v>4218</v>
      </c>
      <c r="AN282" s="13">
        <v>329</v>
      </c>
      <c r="AO282" s="13" t="s">
        <v>4219</v>
      </c>
      <c r="AQ282" s="13" t="s">
        <v>4216</v>
      </c>
      <c r="AR282" s="13" t="s">
        <v>4216</v>
      </c>
      <c r="AS282" s="13" t="s">
        <v>116</v>
      </c>
      <c r="AT282" s="13" t="s">
        <v>4220</v>
      </c>
      <c r="AU282" s="13" t="s">
        <v>4195</v>
      </c>
      <c r="AV282" s="13" t="s">
        <v>813</v>
      </c>
      <c r="AW282" s="26"/>
      <c r="AX282" s="26"/>
      <c r="AY282" s="21" t="s">
        <v>4221</v>
      </c>
      <c r="AZ282" s="17" t="s">
        <v>4222</v>
      </c>
      <c r="BA282" s="17" t="s">
        <v>4222</v>
      </c>
      <c r="BB282" s="17" t="s">
        <v>4223</v>
      </c>
      <c r="BC282" s="17" t="s">
        <v>4224</v>
      </c>
      <c r="BD282" s="27">
        <f t="shared" si="10"/>
        <v>57</v>
      </c>
      <c r="BE282" s="17" t="s">
        <v>817</v>
      </c>
      <c r="BF282" s="17" t="s">
        <v>4100</v>
      </c>
      <c r="BG282" s="17"/>
      <c r="BH282" s="17"/>
      <c r="BI282" s="17"/>
      <c r="BJ282" s="17" t="s">
        <v>4225</v>
      </c>
      <c r="BK282" s="17"/>
      <c r="BL282" s="17"/>
      <c r="BM282" s="17"/>
      <c r="BN282" s="17" t="s">
        <v>4103</v>
      </c>
      <c r="BO282" s="17" t="s">
        <v>4201</v>
      </c>
      <c r="BP282" s="17"/>
      <c r="BQ282" s="17"/>
      <c r="BR282" s="17"/>
      <c r="BS282" s="17" t="s">
        <v>127</v>
      </c>
      <c r="BT282" s="17"/>
      <c r="BU282" s="17" t="s">
        <v>129</v>
      </c>
      <c r="BV282" s="17"/>
      <c r="BW282" s="17"/>
      <c r="BX282" s="13" t="s">
        <v>4226</v>
      </c>
      <c r="BY282" s="13" t="s">
        <v>1715</v>
      </c>
      <c r="DA282" s="13" t="s">
        <v>10348</v>
      </c>
      <c r="DB282" s="13" t="s">
        <v>10348</v>
      </c>
    </row>
    <row r="283" spans="1:106" s="13" customFormat="1" ht="12.75" customHeight="1" x14ac:dyDescent="0.2">
      <c r="A283" s="13" t="s">
        <v>102</v>
      </c>
      <c r="B283" s="13" t="s">
        <v>103</v>
      </c>
      <c r="D283" s="13" t="s">
        <v>104</v>
      </c>
      <c r="E283" s="13" t="s">
        <v>105</v>
      </c>
      <c r="F283" s="13" t="s">
        <v>104</v>
      </c>
      <c r="G283" s="13" t="s">
        <v>105</v>
      </c>
      <c r="H283" s="13" t="s">
        <v>227</v>
      </c>
      <c r="J283" s="13" t="s">
        <v>106</v>
      </c>
      <c r="W283" s="13">
        <v>370</v>
      </c>
      <c r="X283" s="13">
        <v>370</v>
      </c>
      <c r="Y283" s="13" t="s">
        <v>107</v>
      </c>
      <c r="Z283" s="13" t="s">
        <v>108</v>
      </c>
      <c r="AA283" s="13" t="s">
        <v>107</v>
      </c>
      <c r="AB283" s="13" t="s">
        <v>4227</v>
      </c>
      <c r="AC283" s="13" t="s">
        <v>4227</v>
      </c>
      <c r="AD283" s="13" t="s">
        <v>4227</v>
      </c>
      <c r="AE283" s="22" t="s">
        <v>112</v>
      </c>
      <c r="AF283" s="13" t="s">
        <v>4227</v>
      </c>
      <c r="AG283" s="13" t="s">
        <v>4227</v>
      </c>
      <c r="AH283" s="35" t="s">
        <v>4228</v>
      </c>
      <c r="AL283" s="13" t="s">
        <v>4229</v>
      </c>
      <c r="AN283" s="13">
        <v>329</v>
      </c>
      <c r="AO283" s="13" t="s">
        <v>4230</v>
      </c>
      <c r="AQ283" s="13" t="s">
        <v>4227</v>
      </c>
      <c r="AR283" s="13" t="s">
        <v>4227</v>
      </c>
      <c r="AS283" s="13" t="s">
        <v>116</v>
      </c>
      <c r="AT283" s="13" t="s">
        <v>4231</v>
      </c>
      <c r="AU283" s="13" t="s">
        <v>4044</v>
      </c>
      <c r="AV283" s="14" t="s">
        <v>4045</v>
      </c>
      <c r="AW283" s="26"/>
      <c r="AX283" s="26"/>
      <c r="AY283" s="21" t="s">
        <v>4232</v>
      </c>
      <c r="AZ283" s="17" t="s">
        <v>4233</v>
      </c>
      <c r="BA283" s="17" t="s">
        <v>4233</v>
      </c>
      <c r="BB283" s="17" t="s">
        <v>4234</v>
      </c>
      <c r="BC283" s="17" t="s">
        <v>4234</v>
      </c>
      <c r="BD283" s="27">
        <f t="shared" si="10"/>
        <v>36</v>
      </c>
      <c r="BE283" s="17" t="s">
        <v>4212</v>
      </c>
      <c r="BF283" s="17" t="s">
        <v>4049</v>
      </c>
      <c r="BG283" s="17" t="s">
        <v>4050</v>
      </c>
      <c r="BH283" s="17"/>
      <c r="BI283" s="17"/>
      <c r="BJ283" s="17" t="s">
        <v>4235</v>
      </c>
      <c r="BK283" s="17"/>
      <c r="BL283" s="17"/>
      <c r="BM283" s="17"/>
      <c r="BN283" s="17"/>
      <c r="BO283" s="17"/>
      <c r="BP283" s="17"/>
      <c r="BQ283" s="17"/>
      <c r="BR283" s="17"/>
      <c r="BS283" s="17" t="s">
        <v>127</v>
      </c>
      <c r="BT283" s="17"/>
      <c r="BU283" s="17" t="s">
        <v>129</v>
      </c>
      <c r="BV283" s="17"/>
      <c r="BW283" s="17"/>
      <c r="BX283" s="13" t="s">
        <v>4236</v>
      </c>
      <c r="BY283" s="13" t="s">
        <v>1715</v>
      </c>
      <c r="DA283" s="13" t="s">
        <v>10348</v>
      </c>
      <c r="DB283" s="13" t="s">
        <v>10348</v>
      </c>
    </row>
    <row r="284" spans="1:106" s="13" customFormat="1" ht="12.75" customHeight="1" x14ac:dyDescent="0.2">
      <c r="A284" s="13" t="s">
        <v>102</v>
      </c>
      <c r="B284" s="13" t="s">
        <v>103</v>
      </c>
      <c r="D284" s="13" t="s">
        <v>104</v>
      </c>
      <c r="E284" s="13" t="s">
        <v>105</v>
      </c>
      <c r="F284" s="13" t="s">
        <v>104</v>
      </c>
      <c r="G284" s="13" t="s">
        <v>105</v>
      </c>
      <c r="H284" s="13" t="s">
        <v>227</v>
      </c>
      <c r="J284" s="13" t="s">
        <v>106</v>
      </c>
      <c r="W284" s="13">
        <v>371</v>
      </c>
      <c r="X284" s="13">
        <v>371</v>
      </c>
      <c r="Y284" s="13" t="s">
        <v>107</v>
      </c>
      <c r="Z284" s="13" t="s">
        <v>108</v>
      </c>
      <c r="AA284" s="13" t="s">
        <v>107</v>
      </c>
      <c r="AB284" s="13" t="s">
        <v>4237</v>
      </c>
      <c r="AC284" s="13" t="s">
        <v>4237</v>
      </c>
      <c r="AD284" s="13" t="s">
        <v>4237</v>
      </c>
      <c r="AE284" s="22" t="s">
        <v>112</v>
      </c>
      <c r="AF284" s="13" t="s">
        <v>4237</v>
      </c>
      <c r="AG284" s="13" t="s">
        <v>4237</v>
      </c>
      <c r="AH284" s="35" t="s">
        <v>4238</v>
      </c>
      <c r="AL284" s="13" t="s">
        <v>4239</v>
      </c>
      <c r="AN284" s="13">
        <v>329</v>
      </c>
      <c r="AO284" s="13" t="s">
        <v>4240</v>
      </c>
      <c r="AQ284" s="13" t="s">
        <v>4237</v>
      </c>
      <c r="AR284" s="13" t="s">
        <v>4237</v>
      </c>
      <c r="AS284" s="13" t="s">
        <v>116</v>
      </c>
      <c r="AT284" s="13" t="s">
        <v>4241</v>
      </c>
      <c r="AU284" s="13" t="s">
        <v>4208</v>
      </c>
      <c r="AV284" s="14" t="s">
        <v>4045</v>
      </c>
      <c r="AW284" s="26"/>
      <c r="AX284" s="26"/>
      <c r="AY284" s="21" t="s">
        <v>4242</v>
      </c>
      <c r="AZ284" s="17" t="s">
        <v>4243</v>
      </c>
      <c r="BA284" s="17" t="s">
        <v>4243</v>
      </c>
      <c r="BB284" s="17" t="s">
        <v>4244</v>
      </c>
      <c r="BC284" s="17" t="s">
        <v>4244</v>
      </c>
      <c r="BD284" s="27">
        <f t="shared" si="10"/>
        <v>48</v>
      </c>
      <c r="BE284" s="17" t="s">
        <v>4212</v>
      </c>
      <c r="BF284" s="17" t="s">
        <v>4049</v>
      </c>
      <c r="BG284" s="17" t="s">
        <v>4050</v>
      </c>
      <c r="BH284" s="17"/>
      <c r="BI284" s="17"/>
      <c r="BJ284" s="17" t="s">
        <v>4245</v>
      </c>
      <c r="BK284" s="17"/>
      <c r="BL284" s="17"/>
      <c r="BM284" s="17"/>
      <c r="BN284" s="17"/>
      <c r="BO284" s="17" t="s">
        <v>4246</v>
      </c>
      <c r="BP284" s="17"/>
      <c r="BQ284" s="17"/>
      <c r="BR284" s="17"/>
      <c r="BS284" s="17" t="s">
        <v>127</v>
      </c>
      <c r="BT284" s="17"/>
      <c r="BU284" s="17" t="s">
        <v>129</v>
      </c>
      <c r="BV284" s="17"/>
      <c r="BW284" s="17"/>
      <c r="BX284" s="13" t="s">
        <v>212</v>
      </c>
      <c r="BY284" s="13" t="s">
        <v>1715</v>
      </c>
      <c r="DA284" s="13" t="s">
        <v>10348</v>
      </c>
      <c r="DB284" s="13" t="s">
        <v>10348</v>
      </c>
    </row>
    <row r="285" spans="1:106" s="13" customFormat="1" ht="12.75" customHeight="1" x14ac:dyDescent="0.2">
      <c r="A285" s="13" t="s">
        <v>102</v>
      </c>
      <c r="B285" s="13" t="s">
        <v>103</v>
      </c>
      <c r="D285" s="13" t="s">
        <v>104</v>
      </c>
      <c r="E285" s="13" t="s">
        <v>105</v>
      </c>
      <c r="F285" s="13" t="s">
        <v>104</v>
      </c>
      <c r="G285" s="13" t="s">
        <v>105</v>
      </c>
      <c r="H285" s="13" t="s">
        <v>227</v>
      </c>
      <c r="J285" s="13" t="s">
        <v>106</v>
      </c>
      <c r="W285" s="13">
        <v>372</v>
      </c>
      <c r="X285" s="13">
        <v>372</v>
      </c>
      <c r="Y285" s="13" t="s">
        <v>107</v>
      </c>
      <c r="Z285" s="13" t="s">
        <v>108</v>
      </c>
      <c r="AA285" s="13" t="s">
        <v>107</v>
      </c>
      <c r="AB285" s="13" t="s">
        <v>4247</v>
      </c>
      <c r="AC285" s="13" t="s">
        <v>4247</v>
      </c>
      <c r="AD285" s="13" t="s">
        <v>4247</v>
      </c>
      <c r="AE285" s="22" t="s">
        <v>112</v>
      </c>
      <c r="AF285" s="13" t="s">
        <v>4247</v>
      </c>
      <c r="AG285" s="13" t="s">
        <v>4247</v>
      </c>
      <c r="AH285" s="35" t="s">
        <v>4248</v>
      </c>
      <c r="AL285" s="13" t="s">
        <v>4249</v>
      </c>
      <c r="AN285" s="13">
        <v>329</v>
      </c>
      <c r="AO285" s="13" t="s">
        <v>4250</v>
      </c>
      <c r="AQ285" s="13" t="s">
        <v>4247</v>
      </c>
      <c r="AR285" s="13" t="s">
        <v>4247</v>
      </c>
      <c r="AS285" s="13" t="s">
        <v>116</v>
      </c>
      <c r="AT285" s="13" t="s">
        <v>4251</v>
      </c>
      <c r="AU285" s="13" t="s">
        <v>4252</v>
      </c>
      <c r="AV285" s="14" t="s">
        <v>4045</v>
      </c>
      <c r="AW285" s="26"/>
      <c r="AX285" s="26"/>
      <c r="AY285" s="21" t="s">
        <v>4253</v>
      </c>
      <c r="AZ285" s="17" t="s">
        <v>4254</v>
      </c>
      <c r="BA285" s="17" t="s">
        <v>4254</v>
      </c>
      <c r="BB285" s="17" t="s">
        <v>4255</v>
      </c>
      <c r="BC285" s="17" t="s">
        <v>4255</v>
      </c>
      <c r="BD285" s="27">
        <f t="shared" si="10"/>
        <v>44</v>
      </c>
      <c r="BE285" s="17" t="s">
        <v>4212</v>
      </c>
      <c r="BF285" s="17" t="s">
        <v>4049</v>
      </c>
      <c r="BG285" s="17" t="s">
        <v>4256</v>
      </c>
      <c r="BH285" s="17"/>
      <c r="BI285" s="17"/>
      <c r="BJ285" s="17" t="s">
        <v>4257</v>
      </c>
      <c r="BK285" s="17"/>
      <c r="BL285" s="17"/>
      <c r="BM285" s="17"/>
      <c r="BN285" s="17"/>
      <c r="BO285" s="17"/>
      <c r="BP285" s="17"/>
      <c r="BQ285" s="17"/>
      <c r="BR285" s="17"/>
      <c r="BS285" s="17" t="s">
        <v>127</v>
      </c>
      <c r="BT285" s="17"/>
      <c r="BU285" s="17" t="s">
        <v>129</v>
      </c>
      <c r="BV285" s="17"/>
      <c r="BW285" s="17"/>
      <c r="BX285" s="13" t="s">
        <v>212</v>
      </c>
      <c r="BY285" s="13" t="s">
        <v>1715</v>
      </c>
      <c r="DA285" s="13" t="s">
        <v>10348</v>
      </c>
      <c r="DB285" s="13" t="s">
        <v>10348</v>
      </c>
    </row>
    <row r="286" spans="1:106" s="13" customFormat="1" ht="12.75" customHeight="1" x14ac:dyDescent="0.2">
      <c r="A286" s="13" t="s">
        <v>102</v>
      </c>
      <c r="B286" s="13" t="s">
        <v>103</v>
      </c>
      <c r="D286" s="13" t="s">
        <v>104</v>
      </c>
      <c r="E286" s="13" t="s">
        <v>105</v>
      </c>
      <c r="F286" s="13" t="s">
        <v>104</v>
      </c>
      <c r="G286" s="13" t="s">
        <v>105</v>
      </c>
      <c r="H286" s="13" t="s">
        <v>227</v>
      </c>
      <c r="J286" s="13" t="s">
        <v>106</v>
      </c>
      <c r="W286" s="13">
        <v>373</v>
      </c>
      <c r="X286" s="13">
        <v>373</v>
      </c>
      <c r="Y286" s="13" t="s">
        <v>107</v>
      </c>
      <c r="Z286" s="13" t="s">
        <v>108</v>
      </c>
      <c r="AA286" s="13" t="s">
        <v>107</v>
      </c>
      <c r="AB286" s="13" t="s">
        <v>4258</v>
      </c>
      <c r="AC286" s="13" t="s">
        <v>4258</v>
      </c>
      <c r="AD286" s="13" t="s">
        <v>4258</v>
      </c>
      <c r="AE286" s="22" t="s">
        <v>112</v>
      </c>
      <c r="AF286" s="13" t="s">
        <v>4258</v>
      </c>
      <c r="AG286" s="13" t="s">
        <v>4258</v>
      </c>
      <c r="AH286" s="35" t="s">
        <v>4259</v>
      </c>
      <c r="AL286" s="13" t="s">
        <v>4260</v>
      </c>
      <c r="AN286" s="13">
        <v>329</v>
      </c>
      <c r="AO286" s="13" t="s">
        <v>4261</v>
      </c>
      <c r="AQ286" s="13" t="s">
        <v>4258</v>
      </c>
      <c r="AR286" s="13" t="s">
        <v>4258</v>
      </c>
      <c r="AS286" s="13" t="s">
        <v>116</v>
      </c>
      <c r="AT286" s="13" t="s">
        <v>4262</v>
      </c>
      <c r="AU286" s="13" t="s">
        <v>4263</v>
      </c>
      <c r="AV286" s="14" t="s">
        <v>4264</v>
      </c>
      <c r="AW286" s="26"/>
      <c r="AX286" s="26"/>
      <c r="AY286" s="21" t="s">
        <v>4265</v>
      </c>
      <c r="AZ286" s="17" t="s">
        <v>4266</v>
      </c>
      <c r="BA286" s="17" t="s">
        <v>4266</v>
      </c>
      <c r="BB286" s="17" t="s">
        <v>4267</v>
      </c>
      <c r="BC286" s="17" t="s">
        <v>4267</v>
      </c>
      <c r="BD286" s="27">
        <f t="shared" si="10"/>
        <v>39</v>
      </c>
      <c r="BE286" s="17" t="s">
        <v>2841</v>
      </c>
      <c r="BF286" s="17" t="s">
        <v>4268</v>
      </c>
      <c r="BG286" s="17" t="s">
        <v>4269</v>
      </c>
      <c r="BH286" s="17"/>
      <c r="BI286" s="17"/>
      <c r="BJ286" s="17" t="s">
        <v>4270</v>
      </c>
      <c r="BK286" s="17"/>
      <c r="BL286" s="17"/>
      <c r="BM286" s="17"/>
      <c r="BN286" s="17"/>
      <c r="BO286" s="17"/>
      <c r="BP286" s="17"/>
      <c r="BQ286" s="17"/>
      <c r="BR286" s="17"/>
      <c r="BS286" s="17" t="s">
        <v>127</v>
      </c>
      <c r="BT286" s="17"/>
      <c r="BU286" s="17" t="s">
        <v>129</v>
      </c>
      <c r="BV286" s="17"/>
      <c r="BW286" s="17"/>
      <c r="BX286" s="13" t="s">
        <v>4271</v>
      </c>
      <c r="BY286" s="13" t="s">
        <v>4272</v>
      </c>
      <c r="DA286" s="13" t="s">
        <v>10348</v>
      </c>
      <c r="DB286" s="13" t="s">
        <v>10348</v>
      </c>
    </row>
    <row r="287" spans="1:106" s="13" customFormat="1" ht="12.75" customHeight="1" x14ac:dyDescent="0.2">
      <c r="A287" s="13" t="s">
        <v>102</v>
      </c>
      <c r="B287" s="13" t="s">
        <v>103</v>
      </c>
      <c r="D287" s="13" t="s">
        <v>4273</v>
      </c>
      <c r="E287" s="13" t="s">
        <v>4274</v>
      </c>
      <c r="F287" s="13" t="s">
        <v>4273</v>
      </c>
      <c r="H287" s="13" t="s">
        <v>227</v>
      </c>
      <c r="J287" s="13" t="s">
        <v>106</v>
      </c>
      <c r="W287" s="13">
        <v>374</v>
      </c>
      <c r="X287" s="13">
        <v>374</v>
      </c>
      <c r="Y287" s="13" t="s">
        <v>107</v>
      </c>
      <c r="Z287" s="13" t="s">
        <v>108</v>
      </c>
      <c r="AA287" s="13" t="s">
        <v>107</v>
      </c>
      <c r="AB287" s="13" t="s">
        <v>4275</v>
      </c>
      <c r="AC287" s="13" t="s">
        <v>4275</v>
      </c>
      <c r="AD287" s="17">
        <v>396397</v>
      </c>
      <c r="AE287" s="35" t="s">
        <v>112</v>
      </c>
      <c r="AF287" s="13">
        <v>396397</v>
      </c>
      <c r="AG287" s="32" t="s">
        <v>4275</v>
      </c>
      <c r="AH287" s="35" t="s">
        <v>4276</v>
      </c>
      <c r="AL287" s="13" t="s">
        <v>4277</v>
      </c>
      <c r="AN287" s="13">
        <v>329</v>
      </c>
      <c r="AO287" s="13" t="s">
        <v>4278</v>
      </c>
      <c r="AQ287" s="13" t="s">
        <v>4275</v>
      </c>
      <c r="AR287" s="13" t="s">
        <v>4275</v>
      </c>
      <c r="AS287" s="13" t="s">
        <v>116</v>
      </c>
      <c r="AT287" s="13" t="s">
        <v>4279</v>
      </c>
      <c r="AU287" s="13" t="s">
        <v>4082</v>
      </c>
      <c r="AV287" s="13" t="s">
        <v>799</v>
      </c>
      <c r="AW287" s="26"/>
      <c r="AX287" s="26"/>
      <c r="AY287" s="17" t="s">
        <v>4280</v>
      </c>
      <c r="AZ287" s="13" t="s">
        <v>4281</v>
      </c>
      <c r="BA287" s="13" t="s">
        <v>4281</v>
      </c>
      <c r="BB287" s="13" t="s">
        <v>4282</v>
      </c>
      <c r="BC287" s="13" t="s">
        <v>4282</v>
      </c>
      <c r="BD287" s="13">
        <f>LEN(SUBSTITUTE(BC287, ", "," "))</f>
        <v>51</v>
      </c>
      <c r="BE287" s="17" t="s">
        <v>4212</v>
      </c>
      <c r="BF287" s="17" t="s">
        <v>4049</v>
      </c>
      <c r="BG287" s="17" t="s">
        <v>4283</v>
      </c>
      <c r="BH287" s="17"/>
      <c r="BI287" s="17"/>
      <c r="BJ287" s="17" t="s">
        <v>4087</v>
      </c>
      <c r="BK287" s="17"/>
      <c r="BL287" s="17"/>
      <c r="BM287" s="17"/>
      <c r="BN287" s="17"/>
      <c r="BO287" s="17" t="s">
        <v>4284</v>
      </c>
      <c r="BP287" s="17"/>
      <c r="BQ287" s="17"/>
      <c r="BR287" s="17"/>
      <c r="BS287" s="17" t="s">
        <v>127</v>
      </c>
      <c r="BT287" s="17"/>
      <c r="BU287" s="17" t="s">
        <v>129</v>
      </c>
      <c r="BV287" s="17"/>
      <c r="BW287" s="17"/>
      <c r="BX287" s="13" t="s">
        <v>4285</v>
      </c>
      <c r="BY287" s="13" t="s">
        <v>4286</v>
      </c>
      <c r="DA287" s="13" t="s">
        <v>10348</v>
      </c>
      <c r="DB287" s="13" t="s">
        <v>10348</v>
      </c>
    </row>
    <row r="288" spans="1:106" s="13" customFormat="1" ht="12.75" customHeight="1" x14ac:dyDescent="0.2">
      <c r="A288" s="13" t="s">
        <v>102</v>
      </c>
      <c r="B288" s="13" t="s">
        <v>103</v>
      </c>
      <c r="D288" s="13" t="s">
        <v>4273</v>
      </c>
      <c r="E288" s="13" t="s">
        <v>4274</v>
      </c>
      <c r="F288" s="13" t="s">
        <v>4273</v>
      </c>
      <c r="H288" s="13" t="s">
        <v>227</v>
      </c>
      <c r="J288" s="13" t="s">
        <v>106</v>
      </c>
      <c r="W288" s="13">
        <v>375</v>
      </c>
      <c r="X288" s="13">
        <v>375</v>
      </c>
      <c r="Y288" s="13" t="s">
        <v>107</v>
      </c>
      <c r="Z288" s="13" t="s">
        <v>108</v>
      </c>
      <c r="AA288" s="13" t="s">
        <v>107</v>
      </c>
      <c r="AB288" s="13" t="s">
        <v>4287</v>
      </c>
      <c r="AC288" s="13" t="s">
        <v>4287</v>
      </c>
      <c r="AD288" s="17">
        <v>397100</v>
      </c>
      <c r="AE288" s="35" t="s">
        <v>112</v>
      </c>
      <c r="AF288" s="13">
        <v>397100</v>
      </c>
      <c r="AG288" s="32" t="s">
        <v>4287</v>
      </c>
      <c r="AH288" s="35" t="s">
        <v>4288</v>
      </c>
      <c r="AL288" s="13" t="s">
        <v>4289</v>
      </c>
      <c r="AN288" s="13">
        <v>329</v>
      </c>
      <c r="AO288" s="13" t="s">
        <v>4290</v>
      </c>
      <c r="AQ288" s="13" t="s">
        <v>4287</v>
      </c>
      <c r="AR288" s="13" t="s">
        <v>4287</v>
      </c>
      <c r="AS288" s="13" t="s">
        <v>116</v>
      </c>
      <c r="AT288" s="13" t="s">
        <v>4291</v>
      </c>
      <c r="AU288" s="13" t="s">
        <v>4292</v>
      </c>
      <c r="AV288" s="13" t="s">
        <v>813</v>
      </c>
      <c r="AW288" s="26"/>
      <c r="AX288" s="26"/>
      <c r="AY288" s="17" t="s">
        <v>4293</v>
      </c>
      <c r="AZ288" s="13" t="s">
        <v>4294</v>
      </c>
      <c r="BA288" s="13" t="s">
        <v>4294</v>
      </c>
      <c r="BB288" s="13" t="s">
        <v>4295</v>
      </c>
      <c r="BC288" s="13" t="s">
        <v>4295</v>
      </c>
      <c r="BD288" s="13">
        <f>LEN(SUBSTITUTE(BC288, ", "," "))</f>
        <v>38</v>
      </c>
      <c r="BE288" s="17" t="s">
        <v>817</v>
      </c>
      <c r="BF288" s="17" t="s">
        <v>123</v>
      </c>
      <c r="BG288" s="17" t="s">
        <v>4296</v>
      </c>
      <c r="BH288" s="17"/>
      <c r="BI288" s="17"/>
      <c r="BJ288" s="17" t="s">
        <v>4297</v>
      </c>
      <c r="BK288" s="17"/>
      <c r="BL288" s="17"/>
      <c r="BM288" s="17"/>
      <c r="BN288" s="17"/>
      <c r="BO288" s="17"/>
      <c r="BP288" s="17"/>
      <c r="BQ288" s="17"/>
      <c r="BR288" s="17"/>
      <c r="BS288" s="17" t="s">
        <v>127</v>
      </c>
      <c r="BT288" s="17"/>
      <c r="BU288" s="17" t="s">
        <v>129</v>
      </c>
      <c r="BV288" s="17"/>
      <c r="BW288" s="17"/>
      <c r="BX288" s="13" t="s">
        <v>4298</v>
      </c>
      <c r="BY288" s="13" t="s">
        <v>4286</v>
      </c>
      <c r="DA288" s="13" t="s">
        <v>10348</v>
      </c>
      <c r="DB288" s="13" t="s">
        <v>10348</v>
      </c>
    </row>
    <row r="289" spans="1:106" s="13" customFormat="1" ht="12.75" customHeight="1" x14ac:dyDescent="0.2">
      <c r="A289" s="13" t="s">
        <v>102</v>
      </c>
      <c r="B289" s="13" t="s">
        <v>103</v>
      </c>
      <c r="D289" s="13" t="s">
        <v>227</v>
      </c>
      <c r="E289" s="13" t="s">
        <v>471</v>
      </c>
      <c r="F289" s="13" t="s">
        <v>227</v>
      </c>
      <c r="G289" s="13" t="s">
        <v>229</v>
      </c>
      <c r="H289" s="13" t="s">
        <v>227</v>
      </c>
      <c r="J289" s="13" t="s">
        <v>106</v>
      </c>
      <c r="W289" s="13">
        <v>47</v>
      </c>
      <c r="X289" s="13">
        <v>47</v>
      </c>
      <c r="Y289" s="13" t="s">
        <v>107</v>
      </c>
      <c r="Z289" s="13" t="s">
        <v>108</v>
      </c>
      <c r="AA289" s="29" t="s">
        <v>107</v>
      </c>
      <c r="AB289" s="13" t="s">
        <v>724</v>
      </c>
      <c r="AC289" s="13" t="s">
        <v>725</v>
      </c>
      <c r="AD289" s="13" t="s">
        <v>726</v>
      </c>
      <c r="AE289" s="22" t="s">
        <v>112</v>
      </c>
      <c r="AF289" s="25" t="s">
        <v>726</v>
      </c>
      <c r="AG289" s="25" t="s">
        <v>724</v>
      </c>
      <c r="AH289" s="22" t="s">
        <v>727</v>
      </c>
      <c r="AL289" s="13" t="s">
        <v>728</v>
      </c>
      <c r="AN289" s="13">
        <v>329</v>
      </c>
      <c r="AO289" s="13" t="s">
        <v>729</v>
      </c>
      <c r="AQ289" s="13" t="s">
        <v>726</v>
      </c>
      <c r="AR289" s="13" t="s">
        <v>726</v>
      </c>
      <c r="AS289" s="13" t="s">
        <v>116</v>
      </c>
      <c r="AT289" s="13" t="s">
        <v>728</v>
      </c>
      <c r="AU289" s="13" t="s">
        <v>730</v>
      </c>
      <c r="AV289" s="27" t="s">
        <v>118</v>
      </c>
      <c r="AW289" s="26"/>
      <c r="AX289" s="26"/>
      <c r="AY289" s="13" t="s">
        <v>731</v>
      </c>
      <c r="AZ289" s="13" t="s">
        <v>732</v>
      </c>
      <c r="BA289" s="13" t="s">
        <v>732</v>
      </c>
      <c r="BB289" s="13" t="s">
        <v>733</v>
      </c>
      <c r="BC289" s="13" t="s">
        <v>733</v>
      </c>
      <c r="BD289" s="30">
        <f>LEN(SUBSTITUTE(BC289, ", ",","))</f>
        <v>56</v>
      </c>
      <c r="BE289" s="13" t="s">
        <v>122</v>
      </c>
      <c r="BF289" s="13" t="s">
        <v>123</v>
      </c>
      <c r="BG289" s="13" t="s">
        <v>734</v>
      </c>
      <c r="BH289" s="13" t="s">
        <v>735</v>
      </c>
      <c r="BN289" s="13" t="s">
        <v>736</v>
      </c>
      <c r="BO289" s="13" t="s">
        <v>737</v>
      </c>
      <c r="BS289" s="13" t="s">
        <v>127</v>
      </c>
      <c r="BT289" s="17" t="s">
        <v>738</v>
      </c>
      <c r="BU289" s="13" t="s">
        <v>129</v>
      </c>
      <c r="BX289" s="13" t="s">
        <v>739</v>
      </c>
      <c r="DA289" s="13" t="s">
        <v>10348</v>
      </c>
      <c r="DB289" s="13" t="s">
        <v>10348</v>
      </c>
    </row>
    <row r="290" spans="1:106" s="13" customFormat="1" ht="12.75" customHeight="1" x14ac:dyDescent="0.2">
      <c r="A290" s="13" t="s">
        <v>102</v>
      </c>
      <c r="B290" s="13" t="s">
        <v>103</v>
      </c>
      <c r="D290" s="13" t="s">
        <v>227</v>
      </c>
      <c r="E290" s="13" t="s">
        <v>471</v>
      </c>
      <c r="F290" s="13" t="s">
        <v>227</v>
      </c>
      <c r="G290" s="13" t="s">
        <v>229</v>
      </c>
      <c r="H290" s="13" t="s">
        <v>227</v>
      </c>
      <c r="J290" s="13" t="s">
        <v>106</v>
      </c>
      <c r="W290" s="13">
        <v>48</v>
      </c>
      <c r="X290" s="13">
        <v>48</v>
      </c>
      <c r="Y290" s="13" t="s">
        <v>107</v>
      </c>
      <c r="Z290" s="13" t="s">
        <v>108</v>
      </c>
      <c r="AA290" s="29" t="s">
        <v>107</v>
      </c>
      <c r="AB290" s="13" t="s">
        <v>740</v>
      </c>
      <c r="AC290" s="13" t="s">
        <v>741</v>
      </c>
      <c r="AD290" s="13" t="s">
        <v>742</v>
      </c>
      <c r="AE290" s="22" t="s">
        <v>112</v>
      </c>
      <c r="AF290" s="25" t="s">
        <v>742</v>
      </c>
      <c r="AG290" s="25" t="s">
        <v>740</v>
      </c>
      <c r="AH290" s="22" t="s">
        <v>743</v>
      </c>
      <c r="AL290" s="13" t="s">
        <v>744</v>
      </c>
      <c r="AN290" s="13">
        <v>329</v>
      </c>
      <c r="AO290" s="13" t="s">
        <v>745</v>
      </c>
      <c r="AQ290" s="13" t="s">
        <v>742</v>
      </c>
      <c r="AR290" s="13" t="s">
        <v>742</v>
      </c>
      <c r="AS290" s="13" t="s">
        <v>116</v>
      </c>
      <c r="AT290" s="13" t="s">
        <v>746</v>
      </c>
      <c r="AU290" s="13" t="s">
        <v>730</v>
      </c>
      <c r="AV290" s="27" t="s">
        <v>118</v>
      </c>
      <c r="AW290" s="26"/>
      <c r="AX290" s="26"/>
      <c r="AY290" s="13" t="s">
        <v>747</v>
      </c>
      <c r="AZ290" s="13" t="s">
        <v>748</v>
      </c>
      <c r="BA290" s="13" t="s">
        <v>748</v>
      </c>
      <c r="BB290" s="13" t="s">
        <v>749</v>
      </c>
      <c r="BC290" s="13" t="s">
        <v>749</v>
      </c>
      <c r="BD290" s="30">
        <f>LEN(SUBSTITUTE(BC290, ", ",","))</f>
        <v>54</v>
      </c>
      <c r="BE290" s="13" t="s">
        <v>122</v>
      </c>
      <c r="BF290" s="13" t="s">
        <v>123</v>
      </c>
      <c r="BG290" s="13" t="s">
        <v>734</v>
      </c>
      <c r="BH290" s="13" t="s">
        <v>750</v>
      </c>
      <c r="BN290" s="13" t="s">
        <v>736</v>
      </c>
      <c r="BO290" s="13" t="s">
        <v>751</v>
      </c>
      <c r="BS290" s="13" t="s">
        <v>127</v>
      </c>
      <c r="BT290" s="17" t="s">
        <v>738</v>
      </c>
      <c r="BU290" s="13" t="s">
        <v>129</v>
      </c>
      <c r="BW290" s="17" t="s">
        <v>752</v>
      </c>
      <c r="BX290" s="13" t="s">
        <v>753</v>
      </c>
      <c r="DA290" s="13" t="s">
        <v>10348</v>
      </c>
      <c r="DB290" s="13" t="s">
        <v>10348</v>
      </c>
    </row>
    <row r="291" spans="1:106" s="13" customFormat="1" ht="12.75" customHeight="1" x14ac:dyDescent="0.2">
      <c r="A291" s="13" t="s">
        <v>102</v>
      </c>
      <c r="B291" s="13" t="s">
        <v>103</v>
      </c>
      <c r="D291" s="13" t="s">
        <v>227</v>
      </c>
      <c r="E291" s="13" t="s">
        <v>471</v>
      </c>
      <c r="F291" s="13" t="s">
        <v>227</v>
      </c>
      <c r="G291" s="13" t="s">
        <v>229</v>
      </c>
      <c r="H291" s="13" t="s">
        <v>227</v>
      </c>
      <c r="J291" s="13" t="s">
        <v>106</v>
      </c>
      <c r="W291" s="13">
        <v>49</v>
      </c>
      <c r="X291" s="13">
        <v>49</v>
      </c>
      <c r="Y291" s="13" t="s">
        <v>107</v>
      </c>
      <c r="Z291" s="13" t="s">
        <v>108</v>
      </c>
      <c r="AA291" s="29" t="s">
        <v>107</v>
      </c>
      <c r="AB291" s="13" t="s">
        <v>754</v>
      </c>
      <c r="AC291" s="13" t="s">
        <v>755</v>
      </c>
      <c r="AD291" s="13" t="s">
        <v>756</v>
      </c>
      <c r="AE291" s="22" t="s">
        <v>112</v>
      </c>
      <c r="AF291" s="25" t="s">
        <v>756</v>
      </c>
      <c r="AG291" s="25" t="s">
        <v>754</v>
      </c>
      <c r="AH291" s="22" t="s">
        <v>757</v>
      </c>
      <c r="AL291" s="13" t="s">
        <v>758</v>
      </c>
      <c r="AN291" s="13">
        <v>329</v>
      </c>
      <c r="AO291" s="13" t="s">
        <v>759</v>
      </c>
      <c r="AQ291" s="13" t="s">
        <v>756</v>
      </c>
      <c r="AR291" s="13" t="s">
        <v>756</v>
      </c>
      <c r="AS291" s="13" t="s">
        <v>116</v>
      </c>
      <c r="AT291" s="13" t="s">
        <v>760</v>
      </c>
      <c r="AU291" s="13" t="s">
        <v>730</v>
      </c>
      <c r="AV291" s="27" t="s">
        <v>118</v>
      </c>
      <c r="AW291" s="26"/>
      <c r="AX291" s="26"/>
      <c r="AY291" s="13" t="s">
        <v>761</v>
      </c>
      <c r="AZ291" s="13" t="s">
        <v>762</v>
      </c>
      <c r="BA291" s="13" t="s">
        <v>762</v>
      </c>
      <c r="BB291" s="13" t="s">
        <v>763</v>
      </c>
      <c r="BC291" s="13" t="s">
        <v>763</v>
      </c>
      <c r="BD291" s="30">
        <f>LEN(SUBSTITUTE(BC291, ", ",","))</f>
        <v>53</v>
      </c>
      <c r="BE291" s="13" t="s">
        <v>122</v>
      </c>
      <c r="BF291" s="13" t="s">
        <v>123</v>
      </c>
      <c r="BG291" s="13" t="s">
        <v>734</v>
      </c>
      <c r="BH291" s="13" t="s">
        <v>764</v>
      </c>
      <c r="BN291" s="13" t="s">
        <v>736</v>
      </c>
      <c r="BO291" s="13" t="s">
        <v>751</v>
      </c>
      <c r="BS291" s="13" t="s">
        <v>127</v>
      </c>
      <c r="BT291" s="17" t="s">
        <v>738</v>
      </c>
      <c r="BU291" s="13" t="s">
        <v>129</v>
      </c>
      <c r="BW291" s="17" t="s">
        <v>752</v>
      </c>
      <c r="BX291" s="13" t="s">
        <v>765</v>
      </c>
      <c r="DA291" s="13" t="s">
        <v>10348</v>
      </c>
      <c r="DB291" s="13" t="s">
        <v>10348</v>
      </c>
    </row>
    <row r="292" spans="1:106" s="13" customFormat="1" ht="12.75" customHeight="1" x14ac:dyDescent="0.2">
      <c r="A292" s="13" t="s">
        <v>102</v>
      </c>
      <c r="B292" s="13" t="s">
        <v>103</v>
      </c>
      <c r="D292" s="13" t="s">
        <v>227</v>
      </c>
      <c r="E292" s="13" t="s">
        <v>471</v>
      </c>
      <c r="F292" s="13" t="s">
        <v>227</v>
      </c>
      <c r="G292" s="13" t="s">
        <v>229</v>
      </c>
      <c r="H292" s="13" t="s">
        <v>227</v>
      </c>
      <c r="J292" s="13" t="s">
        <v>106</v>
      </c>
      <c r="W292" s="13">
        <v>50</v>
      </c>
      <c r="X292" s="13">
        <v>50</v>
      </c>
      <c r="Y292" s="13" t="s">
        <v>107</v>
      </c>
      <c r="Z292" s="13" t="s">
        <v>108</v>
      </c>
      <c r="AA292" s="29" t="s">
        <v>107</v>
      </c>
      <c r="AB292" s="13" t="s">
        <v>766</v>
      </c>
      <c r="AC292" s="13" t="s">
        <v>767</v>
      </c>
      <c r="AD292" s="13" t="s">
        <v>768</v>
      </c>
      <c r="AE292" s="22" t="s">
        <v>112</v>
      </c>
      <c r="AF292" s="25" t="s">
        <v>768</v>
      </c>
      <c r="AG292" s="25" t="s">
        <v>766</v>
      </c>
      <c r="AH292" s="22" t="s">
        <v>769</v>
      </c>
      <c r="AL292" s="13" t="s">
        <v>770</v>
      </c>
      <c r="AN292" s="13">
        <v>329</v>
      </c>
      <c r="AO292" s="13" t="s">
        <v>771</v>
      </c>
      <c r="AQ292" s="13" t="s">
        <v>768</v>
      </c>
      <c r="AR292" s="13" t="s">
        <v>768</v>
      </c>
      <c r="AS292" s="13" t="s">
        <v>116</v>
      </c>
      <c r="AT292" s="13" t="s">
        <v>772</v>
      </c>
      <c r="AU292" s="13" t="s">
        <v>730</v>
      </c>
      <c r="AV292" s="27" t="s">
        <v>118</v>
      </c>
      <c r="AW292" s="26"/>
      <c r="AX292" s="26"/>
      <c r="AY292" s="13" t="s">
        <v>773</v>
      </c>
      <c r="AZ292" s="13" t="s">
        <v>774</v>
      </c>
      <c r="BA292" s="13" t="s">
        <v>774</v>
      </c>
      <c r="BB292" s="13" t="s">
        <v>775</v>
      </c>
      <c r="BC292" s="13" t="s">
        <v>775</v>
      </c>
      <c r="BD292" s="30">
        <f>LEN(SUBSTITUTE(BC292, ", ",","))</f>
        <v>56</v>
      </c>
      <c r="BE292" s="13" t="s">
        <v>122</v>
      </c>
      <c r="BF292" s="13" t="s">
        <v>123</v>
      </c>
      <c r="BG292" s="13" t="s">
        <v>734</v>
      </c>
      <c r="BH292" s="13" t="s">
        <v>764</v>
      </c>
      <c r="BN292" s="13" t="s">
        <v>736</v>
      </c>
      <c r="BO292" s="13" t="s">
        <v>737</v>
      </c>
      <c r="BS292" s="13" t="s">
        <v>127</v>
      </c>
      <c r="BT292" s="17" t="s">
        <v>738</v>
      </c>
      <c r="BU292" s="13" t="s">
        <v>129</v>
      </c>
      <c r="BW292" s="17" t="s">
        <v>752</v>
      </c>
      <c r="BX292" s="13" t="s">
        <v>776</v>
      </c>
      <c r="DA292" s="13" t="s">
        <v>10348</v>
      </c>
      <c r="DB292" s="13" t="s">
        <v>10348</v>
      </c>
    </row>
    <row r="293" spans="1:106" s="13" customFormat="1" ht="12.75" customHeight="1" x14ac:dyDescent="0.2">
      <c r="A293" s="13" t="s">
        <v>102</v>
      </c>
      <c r="B293" s="13" t="s">
        <v>103</v>
      </c>
      <c r="D293" s="13" t="s">
        <v>4273</v>
      </c>
      <c r="E293" s="13" t="s">
        <v>4274</v>
      </c>
      <c r="F293" s="13" t="s">
        <v>4273</v>
      </c>
      <c r="H293" s="13" t="s">
        <v>227</v>
      </c>
      <c r="J293" s="13" t="s">
        <v>106</v>
      </c>
      <c r="W293" s="13">
        <v>382</v>
      </c>
      <c r="X293" s="13">
        <v>382</v>
      </c>
      <c r="Y293" s="13" t="s">
        <v>107</v>
      </c>
      <c r="Z293" s="13" t="s">
        <v>108</v>
      </c>
      <c r="AA293" s="13" t="s">
        <v>107</v>
      </c>
      <c r="AB293" s="13" t="s">
        <v>4352</v>
      </c>
      <c r="AC293" s="13" t="s">
        <v>4352</v>
      </c>
      <c r="AD293" s="17">
        <v>490005</v>
      </c>
      <c r="AE293" s="35" t="s">
        <v>112</v>
      </c>
      <c r="AF293" s="13">
        <v>490005</v>
      </c>
      <c r="AG293" s="32" t="s">
        <v>4352</v>
      </c>
      <c r="AH293" s="35" t="s">
        <v>4353</v>
      </c>
      <c r="AL293" s="13" t="s">
        <v>4354</v>
      </c>
      <c r="AN293" s="13">
        <v>329</v>
      </c>
      <c r="AO293" s="13" t="s">
        <v>4355</v>
      </c>
      <c r="AQ293" s="13" t="s">
        <v>4352</v>
      </c>
      <c r="AR293" s="13" t="s">
        <v>4352</v>
      </c>
      <c r="AS293" s="13" t="s">
        <v>116</v>
      </c>
      <c r="AT293" s="13" t="s">
        <v>4356</v>
      </c>
      <c r="AU293" s="13" t="s">
        <v>1126</v>
      </c>
      <c r="AV293" s="13" t="s">
        <v>1127</v>
      </c>
      <c r="AW293" s="26"/>
      <c r="AX293" s="26"/>
      <c r="AY293" s="17" t="s">
        <v>4357</v>
      </c>
      <c r="AZ293" s="13" t="s">
        <v>4358</v>
      </c>
      <c r="BA293" s="13" t="s">
        <v>4358</v>
      </c>
      <c r="BB293" s="13" t="s">
        <v>4359</v>
      </c>
      <c r="BC293" s="13" t="s">
        <v>4360</v>
      </c>
      <c r="BD293" s="13">
        <f t="shared" ref="BD293:BD324" si="11">LEN(SUBSTITUTE(BC293, ", "," "))</f>
        <v>60</v>
      </c>
      <c r="BE293" s="17" t="s">
        <v>2453</v>
      </c>
      <c r="BF293" s="17" t="s">
        <v>1133</v>
      </c>
      <c r="BG293" s="17" t="s">
        <v>4361</v>
      </c>
      <c r="BH293" s="31" t="s">
        <v>4362</v>
      </c>
      <c r="BI293" s="17"/>
      <c r="BJ293" s="17" t="s">
        <v>4363</v>
      </c>
      <c r="BK293" s="17"/>
      <c r="BL293" s="17"/>
      <c r="BM293" s="17"/>
      <c r="BN293" s="17" t="s">
        <v>1163</v>
      </c>
      <c r="BO293" s="17" t="s">
        <v>4364</v>
      </c>
      <c r="BP293" s="17"/>
      <c r="BQ293" s="17"/>
      <c r="BR293" s="17"/>
      <c r="BS293" s="17" t="s">
        <v>127</v>
      </c>
      <c r="BT293" s="17" t="s">
        <v>1166</v>
      </c>
      <c r="BU293" s="17" t="s">
        <v>129</v>
      </c>
      <c r="BV293" s="17"/>
      <c r="BW293" s="17"/>
      <c r="BX293" s="13" t="s">
        <v>4365</v>
      </c>
      <c r="BY293" s="13" t="s">
        <v>4286</v>
      </c>
      <c r="DA293" s="13" t="s">
        <v>10348</v>
      </c>
      <c r="DB293" s="13" t="s">
        <v>10348</v>
      </c>
    </row>
    <row r="294" spans="1:106" s="13" customFormat="1" ht="12.75" customHeight="1" x14ac:dyDescent="0.2">
      <c r="A294" s="13" t="s">
        <v>102</v>
      </c>
      <c r="B294" s="13" t="s">
        <v>103</v>
      </c>
      <c r="D294" s="13" t="s">
        <v>4273</v>
      </c>
      <c r="E294" s="13" t="s">
        <v>471</v>
      </c>
      <c r="F294" s="13" t="s">
        <v>4273</v>
      </c>
      <c r="H294" s="13" t="s">
        <v>227</v>
      </c>
      <c r="J294" s="13" t="s">
        <v>106</v>
      </c>
      <c r="W294" s="13">
        <v>383</v>
      </c>
      <c r="X294" s="13">
        <v>383</v>
      </c>
      <c r="Y294" s="13" t="s">
        <v>107</v>
      </c>
      <c r="Z294" s="13" t="s">
        <v>108</v>
      </c>
      <c r="AA294" s="13" t="s">
        <v>107</v>
      </c>
      <c r="AB294" s="13" t="s">
        <v>4366</v>
      </c>
      <c r="AC294" s="13" t="s">
        <v>4366</v>
      </c>
      <c r="AD294" s="17">
        <v>490008</v>
      </c>
      <c r="AE294" s="35" t="s">
        <v>112</v>
      </c>
      <c r="AF294" s="13">
        <v>490008</v>
      </c>
      <c r="AG294" s="32" t="s">
        <v>4366</v>
      </c>
      <c r="AH294" s="35" t="s">
        <v>4367</v>
      </c>
      <c r="AL294" s="13" t="s">
        <v>4368</v>
      </c>
      <c r="AN294" s="13">
        <v>329</v>
      </c>
      <c r="AO294" s="13" t="s">
        <v>4369</v>
      </c>
      <c r="AQ294" s="13" t="s">
        <v>4366</v>
      </c>
      <c r="AR294" s="13" t="s">
        <v>4366</v>
      </c>
      <c r="AS294" s="13" t="s">
        <v>116</v>
      </c>
      <c r="AT294" s="13" t="s">
        <v>4370</v>
      </c>
      <c r="AU294" s="13" t="s">
        <v>1126</v>
      </c>
      <c r="AV294" s="13" t="s">
        <v>1127</v>
      </c>
      <c r="AW294" s="26"/>
      <c r="AX294" s="26"/>
      <c r="AY294" s="17" t="s">
        <v>4371</v>
      </c>
      <c r="AZ294" s="13" t="s">
        <v>4372</v>
      </c>
      <c r="BA294" s="13" t="s">
        <v>4372</v>
      </c>
      <c r="BB294" s="13" t="s">
        <v>4373</v>
      </c>
      <c r="BC294" s="13" t="s">
        <v>4374</v>
      </c>
      <c r="BD294" s="13">
        <f t="shared" si="11"/>
        <v>60</v>
      </c>
      <c r="BE294" s="17" t="s">
        <v>2453</v>
      </c>
      <c r="BF294" s="17" t="s">
        <v>1133</v>
      </c>
      <c r="BG294" s="17" t="s">
        <v>4361</v>
      </c>
      <c r="BH294" s="31" t="s">
        <v>4362</v>
      </c>
      <c r="BI294" s="17"/>
      <c r="BJ294" s="17" t="s">
        <v>4375</v>
      </c>
      <c r="BK294" s="17"/>
      <c r="BL294" s="17"/>
      <c r="BM294" s="17"/>
      <c r="BN294" s="17" t="s">
        <v>1163</v>
      </c>
      <c r="BO294" s="17" t="s">
        <v>4364</v>
      </c>
      <c r="BP294" s="17"/>
      <c r="BQ294" s="17"/>
      <c r="BR294" s="17"/>
      <c r="BS294" s="17" t="s">
        <v>127</v>
      </c>
      <c r="BT294" s="17" t="s">
        <v>1166</v>
      </c>
      <c r="BU294" s="17" t="s">
        <v>129</v>
      </c>
      <c r="BV294" s="17"/>
      <c r="BW294" s="17"/>
      <c r="BX294" s="13" t="s">
        <v>4376</v>
      </c>
      <c r="DA294" s="13" t="s">
        <v>10348</v>
      </c>
      <c r="DB294" s="13" t="s">
        <v>10348</v>
      </c>
    </row>
    <row r="295" spans="1:106" s="13" customFormat="1" ht="12.75" customHeight="1" x14ac:dyDescent="0.2">
      <c r="A295" s="13" t="s">
        <v>102</v>
      </c>
      <c r="B295" s="13" t="s">
        <v>103</v>
      </c>
      <c r="D295" s="13" t="s">
        <v>4273</v>
      </c>
      <c r="E295" s="13" t="s">
        <v>4274</v>
      </c>
      <c r="F295" s="13" t="s">
        <v>4273</v>
      </c>
      <c r="H295" s="13" t="s">
        <v>227</v>
      </c>
      <c r="J295" s="13" t="s">
        <v>106</v>
      </c>
      <c r="W295" s="13">
        <v>384</v>
      </c>
      <c r="X295" s="13">
        <v>384</v>
      </c>
      <c r="Y295" s="13" t="s">
        <v>107</v>
      </c>
      <c r="Z295" s="13" t="s">
        <v>108</v>
      </c>
      <c r="AA295" s="13" t="s">
        <v>107</v>
      </c>
      <c r="AB295" s="13" t="s">
        <v>4377</v>
      </c>
      <c r="AC295" s="13" t="s">
        <v>4377</v>
      </c>
      <c r="AD295" s="17">
        <v>490027</v>
      </c>
      <c r="AE295" s="35" t="s">
        <v>112</v>
      </c>
      <c r="AF295" s="13">
        <v>490027</v>
      </c>
      <c r="AG295" s="32" t="s">
        <v>4377</v>
      </c>
      <c r="AH295" s="35" t="s">
        <v>4378</v>
      </c>
      <c r="AL295" s="13" t="s">
        <v>4379</v>
      </c>
      <c r="AN295" s="13">
        <v>329</v>
      </c>
      <c r="AO295" s="13" t="s">
        <v>4380</v>
      </c>
      <c r="AQ295" s="13" t="s">
        <v>4377</v>
      </c>
      <c r="AR295" s="13" t="s">
        <v>4377</v>
      </c>
      <c r="AS295" s="13" t="s">
        <v>116</v>
      </c>
      <c r="AT295" s="13" t="s">
        <v>4381</v>
      </c>
      <c r="AU295" s="13" t="s">
        <v>1126</v>
      </c>
      <c r="AV295" s="13" t="s">
        <v>1127</v>
      </c>
      <c r="AW295" s="26"/>
      <c r="AX295" s="26"/>
      <c r="AY295" s="17" t="s">
        <v>4382</v>
      </c>
      <c r="AZ295" s="13" t="s">
        <v>4383</v>
      </c>
      <c r="BA295" s="13" t="s">
        <v>4383</v>
      </c>
      <c r="BB295" s="13" t="s">
        <v>4384</v>
      </c>
      <c r="BC295" s="13" t="s">
        <v>4385</v>
      </c>
      <c r="BD295" s="13">
        <f t="shared" si="11"/>
        <v>60</v>
      </c>
      <c r="BE295" s="17" t="s">
        <v>2453</v>
      </c>
      <c r="BF295" s="17" t="s">
        <v>1133</v>
      </c>
      <c r="BG295" s="17" t="s">
        <v>4361</v>
      </c>
      <c r="BH295" s="31" t="s">
        <v>4362</v>
      </c>
      <c r="BI295" s="17"/>
      <c r="BJ295" s="17" t="s">
        <v>4386</v>
      </c>
      <c r="BK295" s="17"/>
      <c r="BL295" s="17"/>
      <c r="BM295" s="17"/>
      <c r="BN295" s="17" t="s">
        <v>1163</v>
      </c>
      <c r="BO295" s="17" t="s">
        <v>4364</v>
      </c>
      <c r="BP295" s="17"/>
      <c r="BQ295" s="17"/>
      <c r="BR295" s="17"/>
      <c r="BS295" s="17" t="s">
        <v>127</v>
      </c>
      <c r="BT295" s="17" t="s">
        <v>1166</v>
      </c>
      <c r="BU295" s="17" t="s">
        <v>129</v>
      </c>
      <c r="BV295" s="17"/>
      <c r="BW295" s="17"/>
      <c r="BX295" s="13" t="s">
        <v>4387</v>
      </c>
      <c r="BY295" s="13" t="s">
        <v>4286</v>
      </c>
      <c r="DA295" s="13" t="s">
        <v>10348</v>
      </c>
      <c r="DB295" s="13" t="s">
        <v>10348</v>
      </c>
    </row>
    <row r="296" spans="1:106" s="13" customFormat="1" ht="12.75" customHeight="1" x14ac:dyDescent="0.2">
      <c r="A296" s="13" t="s">
        <v>102</v>
      </c>
      <c r="B296" s="13" t="s">
        <v>103</v>
      </c>
      <c r="D296" s="13" t="s">
        <v>4273</v>
      </c>
      <c r="E296" s="13" t="s">
        <v>471</v>
      </c>
      <c r="F296" s="13" t="s">
        <v>4273</v>
      </c>
      <c r="H296" s="13" t="s">
        <v>227</v>
      </c>
      <c r="J296" s="13" t="s">
        <v>106</v>
      </c>
      <c r="W296" s="13">
        <v>388</v>
      </c>
      <c r="X296" s="13">
        <v>388</v>
      </c>
      <c r="Y296" s="13" t="s">
        <v>107</v>
      </c>
      <c r="Z296" s="13" t="s">
        <v>108</v>
      </c>
      <c r="AA296" s="13" t="s">
        <v>107</v>
      </c>
      <c r="AB296" s="13" t="s">
        <v>4419</v>
      </c>
      <c r="AC296" s="13" t="s">
        <v>4419</v>
      </c>
      <c r="AD296" s="17">
        <v>493402</v>
      </c>
      <c r="AE296" s="35" t="s">
        <v>112</v>
      </c>
      <c r="AF296" s="13">
        <v>493402</v>
      </c>
      <c r="AG296" s="32" t="s">
        <v>4419</v>
      </c>
      <c r="AH296" s="35" t="s">
        <v>4420</v>
      </c>
      <c r="AL296" s="13" t="s">
        <v>4421</v>
      </c>
      <c r="AN296" s="13">
        <v>329</v>
      </c>
      <c r="AO296" s="13" t="s">
        <v>4422</v>
      </c>
      <c r="AQ296" s="13" t="s">
        <v>4419</v>
      </c>
      <c r="AR296" s="13" t="s">
        <v>4419</v>
      </c>
      <c r="AS296" s="13" t="s">
        <v>116</v>
      </c>
      <c r="AT296" s="13" t="s">
        <v>4423</v>
      </c>
      <c r="AU296" s="13" t="s">
        <v>4424</v>
      </c>
      <c r="AV296" s="13" t="s">
        <v>1127</v>
      </c>
      <c r="AW296" s="26"/>
      <c r="AX296" s="26"/>
      <c r="AY296" s="17" t="s">
        <v>4425</v>
      </c>
      <c r="AZ296" s="13" t="s">
        <v>4426</v>
      </c>
      <c r="BA296" s="13" t="s">
        <v>4426</v>
      </c>
      <c r="BB296" s="13" t="s">
        <v>4427</v>
      </c>
      <c r="BC296" s="13" t="s">
        <v>4428</v>
      </c>
      <c r="BD296" s="13">
        <f t="shared" si="11"/>
        <v>48</v>
      </c>
      <c r="BE296" s="17" t="s">
        <v>2453</v>
      </c>
      <c r="BF296" s="17" t="s">
        <v>1133</v>
      </c>
      <c r="BG296" s="17" t="s">
        <v>4429</v>
      </c>
      <c r="BH296" s="17"/>
      <c r="BI296" s="17"/>
      <c r="BJ296" s="17" t="s">
        <v>2644</v>
      </c>
      <c r="BK296" s="17"/>
      <c r="BL296" s="17"/>
      <c r="BM296" s="17"/>
      <c r="BN296" s="17"/>
      <c r="BO296" s="17" t="s">
        <v>4430</v>
      </c>
      <c r="BP296" s="17"/>
      <c r="BQ296" s="17"/>
      <c r="BR296" s="17"/>
      <c r="BS296" s="17" t="s">
        <v>127</v>
      </c>
      <c r="BT296" s="17"/>
      <c r="BU296" s="17" t="s">
        <v>129</v>
      </c>
      <c r="BV296" s="17"/>
      <c r="BW296" s="17"/>
      <c r="BX296" s="13" t="s">
        <v>4431</v>
      </c>
      <c r="DA296" s="13" t="s">
        <v>10348</v>
      </c>
      <c r="DB296" s="13" t="s">
        <v>10348</v>
      </c>
    </row>
    <row r="297" spans="1:106" s="13" customFormat="1" ht="12.75" customHeight="1" x14ac:dyDescent="0.2">
      <c r="A297" s="13" t="s">
        <v>102</v>
      </c>
      <c r="B297" s="13" t="s">
        <v>103</v>
      </c>
      <c r="D297" s="13" t="s">
        <v>4273</v>
      </c>
      <c r="E297" s="13" t="s">
        <v>471</v>
      </c>
      <c r="F297" s="13" t="s">
        <v>4273</v>
      </c>
      <c r="H297" s="13" t="s">
        <v>227</v>
      </c>
      <c r="J297" s="13" t="s">
        <v>106</v>
      </c>
      <c r="W297" s="13">
        <v>389</v>
      </c>
      <c r="X297" s="13">
        <v>389</v>
      </c>
      <c r="Y297" s="13" t="s">
        <v>107</v>
      </c>
      <c r="Z297" s="13" t="s">
        <v>108</v>
      </c>
      <c r="AA297" s="13" t="s">
        <v>107</v>
      </c>
      <c r="AB297" s="13" t="s">
        <v>4432</v>
      </c>
      <c r="AC297" s="13" t="s">
        <v>4432</v>
      </c>
      <c r="AD297" s="17">
        <v>493404</v>
      </c>
      <c r="AE297" s="35" t="s">
        <v>112</v>
      </c>
      <c r="AF297" s="13">
        <v>493404</v>
      </c>
      <c r="AG297" s="32" t="s">
        <v>4432</v>
      </c>
      <c r="AH297" s="35" t="s">
        <v>4433</v>
      </c>
      <c r="AL297" s="13" t="s">
        <v>4434</v>
      </c>
      <c r="AN297" s="13">
        <v>329</v>
      </c>
      <c r="AO297" s="13" t="s">
        <v>4435</v>
      </c>
      <c r="AQ297" s="13" t="s">
        <v>4432</v>
      </c>
      <c r="AR297" s="13" t="s">
        <v>4432</v>
      </c>
      <c r="AS297" s="13" t="s">
        <v>116</v>
      </c>
      <c r="AT297" s="13" t="s">
        <v>4436</v>
      </c>
      <c r="AU297" s="13" t="s">
        <v>4424</v>
      </c>
      <c r="AV297" s="13" t="s">
        <v>1127</v>
      </c>
      <c r="AW297" s="26"/>
      <c r="AX297" s="26"/>
      <c r="AY297" s="17" t="s">
        <v>4437</v>
      </c>
      <c r="AZ297" s="13" t="s">
        <v>4438</v>
      </c>
      <c r="BA297" s="13" t="s">
        <v>4438</v>
      </c>
      <c r="BB297" s="13" t="s">
        <v>4439</v>
      </c>
      <c r="BC297" s="13" t="s">
        <v>4440</v>
      </c>
      <c r="BD297" s="13">
        <f t="shared" si="11"/>
        <v>48</v>
      </c>
      <c r="BE297" s="17" t="s">
        <v>2453</v>
      </c>
      <c r="BF297" s="17" t="s">
        <v>1133</v>
      </c>
      <c r="BG297" s="17" t="s">
        <v>4429</v>
      </c>
      <c r="BH297" s="17"/>
      <c r="BI297" s="17"/>
      <c r="BJ297" s="17" t="s">
        <v>2767</v>
      </c>
      <c r="BK297" s="17"/>
      <c r="BL297" s="17"/>
      <c r="BM297" s="17"/>
      <c r="BN297" s="17"/>
      <c r="BO297" s="17" t="s">
        <v>4430</v>
      </c>
      <c r="BP297" s="17"/>
      <c r="BQ297" s="17"/>
      <c r="BR297" s="17"/>
      <c r="BS297" s="17" t="s">
        <v>127</v>
      </c>
      <c r="BT297" s="17"/>
      <c r="BU297" s="17" t="s">
        <v>129</v>
      </c>
      <c r="BV297" s="17"/>
      <c r="BW297" s="17"/>
      <c r="BX297" s="13" t="s">
        <v>4441</v>
      </c>
      <c r="DA297" s="13" t="s">
        <v>10348</v>
      </c>
      <c r="DB297" s="13" t="s">
        <v>10348</v>
      </c>
    </row>
    <row r="298" spans="1:106" s="13" customFormat="1" ht="12.75" customHeight="1" x14ac:dyDescent="0.2">
      <c r="A298" s="13" t="s">
        <v>102</v>
      </c>
      <c r="B298" s="13" t="s">
        <v>103</v>
      </c>
      <c r="D298" s="13" t="s">
        <v>4273</v>
      </c>
      <c r="E298" s="13" t="s">
        <v>471</v>
      </c>
      <c r="F298" s="13" t="s">
        <v>4273</v>
      </c>
      <c r="H298" s="13" t="s">
        <v>227</v>
      </c>
      <c r="J298" s="13" t="s">
        <v>106</v>
      </c>
      <c r="W298" s="13">
        <v>390</v>
      </c>
      <c r="X298" s="13">
        <v>390</v>
      </c>
      <c r="Y298" s="13" t="s">
        <v>107</v>
      </c>
      <c r="Z298" s="13" t="s">
        <v>108</v>
      </c>
      <c r="AA298" s="13" t="s">
        <v>107</v>
      </c>
      <c r="AB298" s="13" t="s">
        <v>4442</v>
      </c>
      <c r="AC298" s="13" t="s">
        <v>4442</v>
      </c>
      <c r="AD298" s="17">
        <v>493445</v>
      </c>
      <c r="AE298" s="35" t="s">
        <v>112</v>
      </c>
      <c r="AF298" s="13">
        <v>493445</v>
      </c>
      <c r="AG298" s="32" t="s">
        <v>4442</v>
      </c>
      <c r="AH298" s="35" t="s">
        <v>4443</v>
      </c>
      <c r="AL298" s="13" t="s">
        <v>4444</v>
      </c>
      <c r="AN298" s="13">
        <v>329</v>
      </c>
      <c r="AO298" s="13" t="s">
        <v>4445</v>
      </c>
      <c r="AQ298" s="13" t="s">
        <v>4442</v>
      </c>
      <c r="AR298" s="13" t="s">
        <v>4442</v>
      </c>
      <c r="AS298" s="13" t="s">
        <v>116</v>
      </c>
      <c r="AT298" s="13" t="s">
        <v>4446</v>
      </c>
      <c r="AU298" s="13" t="s">
        <v>4447</v>
      </c>
      <c r="AV298" s="13" t="s">
        <v>1127</v>
      </c>
      <c r="AW298" s="26"/>
      <c r="AX298" s="26"/>
      <c r="AY298" s="17" t="s">
        <v>4448</v>
      </c>
      <c r="AZ298" s="13" t="s">
        <v>4449</v>
      </c>
      <c r="BA298" s="13" t="s">
        <v>4449</v>
      </c>
      <c r="BB298" s="13" t="s">
        <v>4450</v>
      </c>
      <c r="BC298" s="13" t="s">
        <v>4450</v>
      </c>
      <c r="BD298" s="13">
        <f t="shared" si="11"/>
        <v>46</v>
      </c>
      <c r="BE298" s="17" t="s">
        <v>2453</v>
      </c>
      <c r="BF298" s="17" t="s">
        <v>1133</v>
      </c>
      <c r="BG298" s="17"/>
      <c r="BH298" s="17"/>
      <c r="BI298" s="17"/>
      <c r="BJ298" s="17" t="s">
        <v>4451</v>
      </c>
      <c r="BK298" s="17"/>
      <c r="BL298" s="17"/>
      <c r="BM298" s="17"/>
      <c r="BN298" s="17"/>
      <c r="BO298" s="17" t="s">
        <v>4452</v>
      </c>
      <c r="BP298" s="17"/>
      <c r="BQ298" s="17"/>
      <c r="BR298" s="17"/>
      <c r="BS298" s="17" t="s">
        <v>127</v>
      </c>
      <c r="BT298" s="17"/>
      <c r="BU298" s="17" t="s">
        <v>129</v>
      </c>
      <c r="BV298" s="17"/>
      <c r="BW298" s="17"/>
      <c r="BX298" s="13" t="s">
        <v>4453</v>
      </c>
      <c r="DA298" s="13" t="s">
        <v>10348</v>
      </c>
      <c r="DB298" s="13" t="s">
        <v>10348</v>
      </c>
    </row>
    <row r="299" spans="1:106" s="13" customFormat="1" ht="12.75" customHeight="1" x14ac:dyDescent="0.2">
      <c r="A299" s="13" t="s">
        <v>102</v>
      </c>
      <c r="B299" s="13" t="s">
        <v>103</v>
      </c>
      <c r="D299" s="13" t="s">
        <v>4273</v>
      </c>
      <c r="E299" s="13" t="s">
        <v>471</v>
      </c>
      <c r="F299" s="13" t="s">
        <v>4273</v>
      </c>
      <c r="H299" s="13" t="s">
        <v>227</v>
      </c>
      <c r="J299" s="13" t="s">
        <v>106</v>
      </c>
      <c r="W299" s="13">
        <v>391</v>
      </c>
      <c r="X299" s="13">
        <v>391</v>
      </c>
      <c r="Y299" s="13" t="s">
        <v>107</v>
      </c>
      <c r="Z299" s="13" t="s">
        <v>108</v>
      </c>
      <c r="AA299" s="13" t="s">
        <v>107</v>
      </c>
      <c r="AB299" s="13" t="s">
        <v>4454</v>
      </c>
      <c r="AC299" s="13" t="s">
        <v>4454</v>
      </c>
      <c r="AD299" s="17">
        <v>494432</v>
      </c>
      <c r="AE299" s="35" t="s">
        <v>112</v>
      </c>
      <c r="AF299" s="13">
        <v>494432</v>
      </c>
      <c r="AG299" s="32" t="s">
        <v>4454</v>
      </c>
      <c r="AH299" s="35" t="s">
        <v>4455</v>
      </c>
      <c r="AL299" s="13" t="s">
        <v>4456</v>
      </c>
      <c r="AN299" s="13">
        <v>329</v>
      </c>
      <c r="AO299" s="13" t="s">
        <v>4457</v>
      </c>
      <c r="AQ299" s="13" t="s">
        <v>4454</v>
      </c>
      <c r="AR299" s="13" t="s">
        <v>4454</v>
      </c>
      <c r="AS299" s="13" t="s">
        <v>116</v>
      </c>
      <c r="AT299" s="13" t="s">
        <v>4458</v>
      </c>
      <c r="AU299" s="13" t="s">
        <v>4459</v>
      </c>
      <c r="AV299" s="13" t="s">
        <v>1127</v>
      </c>
      <c r="AW299" s="26"/>
      <c r="AX299" s="26"/>
      <c r="AY299" s="17" t="s">
        <v>4460</v>
      </c>
      <c r="AZ299" s="13" t="s">
        <v>4461</v>
      </c>
      <c r="BA299" s="13" t="s">
        <v>4461</v>
      </c>
      <c r="BB299" s="13" t="s">
        <v>4462</v>
      </c>
      <c r="BC299" s="13" t="s">
        <v>4462</v>
      </c>
      <c r="BD299" s="13">
        <f t="shared" si="11"/>
        <v>42</v>
      </c>
      <c r="BE299" s="17" t="s">
        <v>2453</v>
      </c>
      <c r="BF299" s="17" t="s">
        <v>1133</v>
      </c>
      <c r="BG299" s="17" t="s">
        <v>4463</v>
      </c>
      <c r="BH299" s="17"/>
      <c r="BI299" s="17"/>
      <c r="BJ299" s="17" t="s">
        <v>2644</v>
      </c>
      <c r="BK299" s="17"/>
      <c r="BL299" s="17"/>
      <c r="BM299" s="17"/>
      <c r="BN299" s="17"/>
      <c r="BO299" s="17" t="s">
        <v>4464</v>
      </c>
      <c r="BP299" s="17"/>
      <c r="BQ299" s="17"/>
      <c r="BR299" s="17"/>
      <c r="BS299" s="17" t="s">
        <v>127</v>
      </c>
      <c r="BT299" s="17"/>
      <c r="BU299" s="17" t="s">
        <v>129</v>
      </c>
      <c r="BV299" s="17"/>
      <c r="BW299" s="17"/>
      <c r="BX299" s="13" t="s">
        <v>4465</v>
      </c>
      <c r="DA299" s="13" t="s">
        <v>10348</v>
      </c>
      <c r="DB299" s="13" t="s">
        <v>10348</v>
      </c>
    </row>
    <row r="300" spans="1:106" s="13" customFormat="1" ht="12.75" customHeight="1" x14ac:dyDescent="0.2">
      <c r="A300" s="13" t="s">
        <v>102</v>
      </c>
      <c r="B300" s="13" t="s">
        <v>103</v>
      </c>
      <c r="D300" s="13" t="s">
        <v>4273</v>
      </c>
      <c r="E300" s="13" t="s">
        <v>471</v>
      </c>
      <c r="F300" s="13" t="s">
        <v>4273</v>
      </c>
      <c r="H300" s="13" t="s">
        <v>227</v>
      </c>
      <c r="J300" s="13" t="s">
        <v>106</v>
      </c>
      <c r="W300" s="13">
        <v>392</v>
      </c>
      <c r="X300" s="13">
        <v>392</v>
      </c>
      <c r="Y300" s="13" t="s">
        <v>107</v>
      </c>
      <c r="Z300" s="13" t="s">
        <v>108</v>
      </c>
      <c r="AA300" s="13" t="s">
        <v>107</v>
      </c>
      <c r="AB300" s="13" t="s">
        <v>4466</v>
      </c>
      <c r="AC300" s="13" t="s">
        <v>4466</v>
      </c>
      <c r="AD300" s="17">
        <v>494435</v>
      </c>
      <c r="AE300" s="35" t="s">
        <v>112</v>
      </c>
      <c r="AF300" s="13">
        <v>494435</v>
      </c>
      <c r="AG300" s="32" t="s">
        <v>4466</v>
      </c>
      <c r="AH300" s="35" t="s">
        <v>4467</v>
      </c>
      <c r="AL300" s="13" t="s">
        <v>4468</v>
      </c>
      <c r="AN300" s="13">
        <v>329</v>
      </c>
      <c r="AO300" s="13" t="s">
        <v>4469</v>
      </c>
      <c r="AQ300" s="13" t="s">
        <v>4466</v>
      </c>
      <c r="AR300" s="13" t="s">
        <v>4466</v>
      </c>
      <c r="AS300" s="13" t="s">
        <v>116</v>
      </c>
      <c r="AT300" s="13" t="s">
        <v>4470</v>
      </c>
      <c r="AU300" s="13" t="s">
        <v>4459</v>
      </c>
      <c r="AV300" s="13" t="s">
        <v>1127</v>
      </c>
      <c r="AW300" s="26"/>
      <c r="AX300" s="26"/>
      <c r="AY300" s="17" t="s">
        <v>4471</v>
      </c>
      <c r="AZ300" s="13" t="s">
        <v>4472</v>
      </c>
      <c r="BA300" s="13" t="s">
        <v>4472</v>
      </c>
      <c r="BB300" s="13" t="s">
        <v>4473</v>
      </c>
      <c r="BC300" s="13" t="s">
        <v>4473</v>
      </c>
      <c r="BD300" s="13">
        <f t="shared" si="11"/>
        <v>44</v>
      </c>
      <c r="BE300" s="17" t="s">
        <v>2453</v>
      </c>
      <c r="BF300" s="17" t="s">
        <v>1133</v>
      </c>
      <c r="BG300" s="17" t="s">
        <v>4463</v>
      </c>
      <c r="BH300" s="17"/>
      <c r="BI300" s="17"/>
      <c r="BJ300" s="17" t="s">
        <v>4451</v>
      </c>
      <c r="BK300" s="17"/>
      <c r="BL300" s="17"/>
      <c r="BM300" s="17"/>
      <c r="BN300" s="17"/>
      <c r="BO300" s="17" t="s">
        <v>4464</v>
      </c>
      <c r="BP300" s="17"/>
      <c r="BQ300" s="17"/>
      <c r="BR300" s="17"/>
      <c r="BS300" s="17" t="s">
        <v>127</v>
      </c>
      <c r="BT300" s="17"/>
      <c r="BU300" s="17" t="s">
        <v>129</v>
      </c>
      <c r="BV300" s="17"/>
      <c r="BW300" s="17"/>
      <c r="BX300" s="13" t="s">
        <v>4474</v>
      </c>
      <c r="DA300" s="13" t="s">
        <v>10348</v>
      </c>
      <c r="DB300" s="13" t="s">
        <v>10348</v>
      </c>
    </row>
    <row r="301" spans="1:106" s="13" customFormat="1" ht="12.75" customHeight="1" x14ac:dyDescent="0.2">
      <c r="A301" s="13" t="s">
        <v>102</v>
      </c>
      <c r="B301" s="13" t="s">
        <v>103</v>
      </c>
      <c r="D301" s="13" t="s">
        <v>4273</v>
      </c>
      <c r="E301" s="13" t="s">
        <v>471</v>
      </c>
      <c r="F301" s="13" t="s">
        <v>4273</v>
      </c>
      <c r="H301" s="13" t="s">
        <v>227</v>
      </c>
      <c r="J301" s="13" t="s">
        <v>106</v>
      </c>
      <c r="W301" s="13">
        <v>393</v>
      </c>
      <c r="X301" s="13">
        <v>393</v>
      </c>
      <c r="Y301" s="13" t="s">
        <v>107</v>
      </c>
      <c r="Z301" s="13" t="s">
        <v>108</v>
      </c>
      <c r="AA301" s="13" t="s">
        <v>107</v>
      </c>
      <c r="AB301" s="13" t="s">
        <v>4475</v>
      </c>
      <c r="AC301" s="13" t="s">
        <v>4475</v>
      </c>
      <c r="AD301" s="17">
        <v>494436</v>
      </c>
      <c r="AE301" s="35" t="s">
        <v>112</v>
      </c>
      <c r="AF301" s="13">
        <v>494436</v>
      </c>
      <c r="AG301" s="32" t="s">
        <v>4475</v>
      </c>
      <c r="AH301" s="35" t="s">
        <v>4476</v>
      </c>
      <c r="AL301" s="13" t="s">
        <v>4477</v>
      </c>
      <c r="AN301" s="13">
        <v>329</v>
      </c>
      <c r="AO301" s="13" t="s">
        <v>4478</v>
      </c>
      <c r="AQ301" s="13" t="s">
        <v>4475</v>
      </c>
      <c r="AR301" s="13" t="s">
        <v>4475</v>
      </c>
      <c r="AS301" s="13" t="s">
        <v>116</v>
      </c>
      <c r="AT301" s="13" t="s">
        <v>4479</v>
      </c>
      <c r="AU301" s="13" t="s">
        <v>4459</v>
      </c>
      <c r="AV301" s="13" t="s">
        <v>1127</v>
      </c>
      <c r="AW301" s="26"/>
      <c r="AX301" s="26"/>
      <c r="AY301" s="17" t="s">
        <v>4480</v>
      </c>
      <c r="AZ301" s="13" t="s">
        <v>4481</v>
      </c>
      <c r="BA301" s="13" t="s">
        <v>4481</v>
      </c>
      <c r="BB301" s="13" t="s">
        <v>4482</v>
      </c>
      <c r="BC301" s="13" t="s">
        <v>4482</v>
      </c>
      <c r="BD301" s="13">
        <f t="shared" si="11"/>
        <v>42</v>
      </c>
      <c r="BE301" s="17" t="s">
        <v>2453</v>
      </c>
      <c r="BF301" s="17" t="s">
        <v>1133</v>
      </c>
      <c r="BG301" s="17" t="s">
        <v>4463</v>
      </c>
      <c r="BH301" s="17"/>
      <c r="BI301" s="17"/>
      <c r="BJ301" s="17" t="s">
        <v>2778</v>
      </c>
      <c r="BK301" s="17"/>
      <c r="BL301" s="17"/>
      <c r="BM301" s="17"/>
      <c r="BN301" s="17"/>
      <c r="BO301" s="17" t="s">
        <v>4464</v>
      </c>
      <c r="BP301" s="17"/>
      <c r="BQ301" s="17"/>
      <c r="BR301" s="17"/>
      <c r="BS301" s="17" t="s">
        <v>127</v>
      </c>
      <c r="BT301" s="17"/>
      <c r="BU301" s="17" t="s">
        <v>129</v>
      </c>
      <c r="BV301" s="17"/>
      <c r="BW301" s="17"/>
      <c r="BX301" s="13" t="s">
        <v>4483</v>
      </c>
      <c r="DA301" s="13" t="s">
        <v>10348</v>
      </c>
      <c r="DB301" s="13" t="s">
        <v>10348</v>
      </c>
    </row>
    <row r="302" spans="1:106" s="13" customFormat="1" ht="12.75" customHeight="1" x14ac:dyDescent="0.2">
      <c r="A302" s="13" t="s">
        <v>102</v>
      </c>
      <c r="B302" s="13" t="s">
        <v>103</v>
      </c>
      <c r="D302" s="13" t="s">
        <v>4273</v>
      </c>
      <c r="E302" s="13" t="s">
        <v>4274</v>
      </c>
      <c r="F302" s="13" t="s">
        <v>4273</v>
      </c>
      <c r="H302" s="13" t="s">
        <v>227</v>
      </c>
      <c r="J302" s="13" t="s">
        <v>106</v>
      </c>
      <c r="W302" s="13">
        <v>394</v>
      </c>
      <c r="X302" s="13">
        <v>394</v>
      </c>
      <c r="Y302" s="13" t="s">
        <v>107</v>
      </c>
      <c r="Z302" s="13" t="s">
        <v>108</v>
      </c>
      <c r="AA302" s="13" t="s">
        <v>107</v>
      </c>
      <c r="AB302" s="13" t="s">
        <v>4484</v>
      </c>
      <c r="AC302" s="13" t="s">
        <v>4484</v>
      </c>
      <c r="AD302" s="17">
        <v>496004</v>
      </c>
      <c r="AE302" s="35" t="s">
        <v>112</v>
      </c>
      <c r="AF302" s="13">
        <v>496004</v>
      </c>
      <c r="AG302" s="32" t="s">
        <v>4484</v>
      </c>
      <c r="AH302" s="35" t="s">
        <v>4485</v>
      </c>
      <c r="AL302" s="13" t="s">
        <v>4486</v>
      </c>
      <c r="AN302" s="13">
        <v>329</v>
      </c>
      <c r="AO302" s="13" t="s">
        <v>4487</v>
      </c>
      <c r="AQ302" s="13" t="s">
        <v>4484</v>
      </c>
      <c r="AR302" s="13" t="s">
        <v>4484</v>
      </c>
      <c r="AS302" s="13" t="s">
        <v>116</v>
      </c>
      <c r="AT302" s="13" t="s">
        <v>4488</v>
      </c>
      <c r="AU302" s="13" t="s">
        <v>4489</v>
      </c>
      <c r="AV302" s="13" t="s">
        <v>1127</v>
      </c>
      <c r="AW302" s="26"/>
      <c r="AX302" s="26"/>
      <c r="AY302" s="17" t="s">
        <v>4490</v>
      </c>
      <c r="AZ302" s="13" t="s">
        <v>4491</v>
      </c>
      <c r="BA302" s="13" t="s">
        <v>4491</v>
      </c>
      <c r="BB302" s="13" t="s">
        <v>4492</v>
      </c>
      <c r="BC302" s="13" t="s">
        <v>4493</v>
      </c>
      <c r="BD302" s="13">
        <f t="shared" si="11"/>
        <v>58</v>
      </c>
      <c r="BE302" s="17" t="s">
        <v>2453</v>
      </c>
      <c r="BF302" s="17" t="s">
        <v>1133</v>
      </c>
      <c r="BG302" s="17" t="s">
        <v>4494</v>
      </c>
      <c r="BH302" s="31" t="s">
        <v>4495</v>
      </c>
      <c r="BI302" s="17"/>
      <c r="BJ302" s="17" t="s">
        <v>4496</v>
      </c>
      <c r="BK302" s="17"/>
      <c r="BL302" s="17"/>
      <c r="BM302" s="17"/>
      <c r="BN302" s="17" t="s">
        <v>1163</v>
      </c>
      <c r="BO302" s="17" t="s">
        <v>4497</v>
      </c>
      <c r="BP302" s="17"/>
      <c r="BQ302" s="17"/>
      <c r="BR302" s="17"/>
      <c r="BS302" s="17" t="s">
        <v>127</v>
      </c>
      <c r="BT302" s="17" t="s">
        <v>1166</v>
      </c>
      <c r="BU302" s="17" t="s">
        <v>129</v>
      </c>
      <c r="BV302" s="17"/>
      <c r="BW302" s="17"/>
      <c r="BX302" s="13" t="s">
        <v>4498</v>
      </c>
      <c r="BY302" s="13" t="s">
        <v>4286</v>
      </c>
      <c r="DA302" s="13" t="s">
        <v>10348</v>
      </c>
      <c r="DB302" s="13" t="s">
        <v>10348</v>
      </c>
    </row>
    <row r="303" spans="1:106" s="13" customFormat="1" ht="12.75" customHeight="1" x14ac:dyDescent="0.2">
      <c r="A303" s="13" t="s">
        <v>102</v>
      </c>
      <c r="B303" s="13" t="s">
        <v>103</v>
      </c>
      <c r="D303" s="13" t="s">
        <v>4273</v>
      </c>
      <c r="E303" s="13" t="s">
        <v>4274</v>
      </c>
      <c r="F303" s="13" t="s">
        <v>4273</v>
      </c>
      <c r="H303" s="13" t="s">
        <v>227</v>
      </c>
      <c r="J303" s="13" t="s">
        <v>106</v>
      </c>
      <c r="W303" s="13">
        <v>395</v>
      </c>
      <c r="X303" s="13">
        <v>395</v>
      </c>
      <c r="Y303" s="13" t="s">
        <v>107</v>
      </c>
      <c r="Z303" s="13" t="s">
        <v>108</v>
      </c>
      <c r="AA303" s="13" t="s">
        <v>107</v>
      </c>
      <c r="AB303" s="13" t="s">
        <v>4499</v>
      </c>
      <c r="AC303" s="13" t="s">
        <v>4499</v>
      </c>
      <c r="AD303" s="17">
        <v>496005</v>
      </c>
      <c r="AE303" s="35" t="s">
        <v>112</v>
      </c>
      <c r="AF303" s="13">
        <v>496005</v>
      </c>
      <c r="AG303" s="32" t="s">
        <v>4499</v>
      </c>
      <c r="AH303" s="35" t="s">
        <v>4500</v>
      </c>
      <c r="AL303" s="13" t="s">
        <v>4501</v>
      </c>
      <c r="AN303" s="13">
        <v>329</v>
      </c>
      <c r="AO303" s="13" t="s">
        <v>4502</v>
      </c>
      <c r="AQ303" s="13" t="s">
        <v>4499</v>
      </c>
      <c r="AR303" s="13" t="s">
        <v>4499</v>
      </c>
      <c r="AS303" s="13" t="s">
        <v>116</v>
      </c>
      <c r="AT303" s="13" t="s">
        <v>4503</v>
      </c>
      <c r="AU303" s="13" t="s">
        <v>4489</v>
      </c>
      <c r="AV303" s="13" t="s">
        <v>1127</v>
      </c>
      <c r="AW303" s="26"/>
      <c r="AX303" s="26"/>
      <c r="AY303" s="17" t="s">
        <v>4504</v>
      </c>
      <c r="AZ303" s="13" t="s">
        <v>4505</v>
      </c>
      <c r="BA303" s="13" t="s">
        <v>4505</v>
      </c>
      <c r="BB303" s="13" t="s">
        <v>4506</v>
      </c>
      <c r="BC303" s="13" t="s">
        <v>4507</v>
      </c>
      <c r="BD303" s="13">
        <f t="shared" si="11"/>
        <v>58</v>
      </c>
      <c r="BE303" s="17" t="s">
        <v>2453</v>
      </c>
      <c r="BF303" s="17" t="s">
        <v>1133</v>
      </c>
      <c r="BG303" s="17" t="s">
        <v>4494</v>
      </c>
      <c r="BH303" s="31" t="s">
        <v>4508</v>
      </c>
      <c r="BI303" s="17"/>
      <c r="BJ303" s="17" t="s">
        <v>4509</v>
      </c>
      <c r="BK303" s="17"/>
      <c r="BL303" s="17"/>
      <c r="BM303" s="17"/>
      <c r="BN303" s="17" t="s">
        <v>1163</v>
      </c>
      <c r="BO303" s="17" t="s">
        <v>4497</v>
      </c>
      <c r="BP303" s="17"/>
      <c r="BQ303" s="17"/>
      <c r="BR303" s="17"/>
      <c r="BS303" s="17" t="s">
        <v>127</v>
      </c>
      <c r="BT303" s="17" t="s">
        <v>1166</v>
      </c>
      <c r="BU303" s="17" t="s">
        <v>129</v>
      </c>
      <c r="BV303" s="17"/>
      <c r="BW303" s="17"/>
      <c r="BX303" s="13" t="s">
        <v>4510</v>
      </c>
      <c r="BY303" s="13" t="s">
        <v>4286</v>
      </c>
      <c r="DA303" s="13" t="s">
        <v>10348</v>
      </c>
      <c r="DB303" s="13" t="s">
        <v>10348</v>
      </c>
    </row>
    <row r="304" spans="1:106" s="13" customFormat="1" ht="12.75" customHeight="1" x14ac:dyDescent="0.2">
      <c r="A304" s="13" t="s">
        <v>102</v>
      </c>
      <c r="B304" s="13" t="s">
        <v>103</v>
      </c>
      <c r="D304" s="13" t="s">
        <v>4273</v>
      </c>
      <c r="E304" s="13" t="s">
        <v>4274</v>
      </c>
      <c r="F304" s="13" t="s">
        <v>4273</v>
      </c>
      <c r="H304" s="13" t="s">
        <v>227</v>
      </c>
      <c r="J304" s="13" t="s">
        <v>106</v>
      </c>
      <c r="W304" s="13">
        <v>396</v>
      </c>
      <c r="X304" s="13">
        <v>396</v>
      </c>
      <c r="Y304" s="13" t="s">
        <v>107</v>
      </c>
      <c r="Z304" s="13" t="s">
        <v>108</v>
      </c>
      <c r="AA304" s="13" t="s">
        <v>107</v>
      </c>
      <c r="AB304" s="13" t="s">
        <v>4511</v>
      </c>
      <c r="AC304" s="13" t="s">
        <v>4511</v>
      </c>
      <c r="AD304" s="17">
        <v>496006</v>
      </c>
      <c r="AE304" s="35" t="s">
        <v>112</v>
      </c>
      <c r="AF304" s="13">
        <v>496006</v>
      </c>
      <c r="AG304" s="32" t="s">
        <v>4511</v>
      </c>
      <c r="AH304" s="35" t="s">
        <v>4512</v>
      </c>
      <c r="AL304" s="13" t="s">
        <v>4513</v>
      </c>
      <c r="AN304" s="13">
        <v>329</v>
      </c>
      <c r="AO304" s="13" t="s">
        <v>4514</v>
      </c>
      <c r="AQ304" s="13" t="s">
        <v>4511</v>
      </c>
      <c r="AR304" s="13" t="s">
        <v>4511</v>
      </c>
      <c r="AS304" s="13" t="s">
        <v>116</v>
      </c>
      <c r="AT304" s="13" t="s">
        <v>4515</v>
      </c>
      <c r="AU304" s="13" t="s">
        <v>4489</v>
      </c>
      <c r="AV304" s="13" t="s">
        <v>1127</v>
      </c>
      <c r="AW304" s="26"/>
      <c r="AX304" s="26"/>
      <c r="AY304" s="17" t="s">
        <v>4516</v>
      </c>
      <c r="AZ304" s="13" t="s">
        <v>4517</v>
      </c>
      <c r="BA304" s="13" t="s">
        <v>4517</v>
      </c>
      <c r="BB304" s="13" t="s">
        <v>4518</v>
      </c>
      <c r="BC304" s="13" t="s">
        <v>4519</v>
      </c>
      <c r="BD304" s="13">
        <f t="shared" si="11"/>
        <v>58</v>
      </c>
      <c r="BE304" s="17" t="s">
        <v>2453</v>
      </c>
      <c r="BF304" s="17" t="s">
        <v>1133</v>
      </c>
      <c r="BG304" s="17" t="s">
        <v>4494</v>
      </c>
      <c r="BH304" s="31" t="s">
        <v>4508</v>
      </c>
      <c r="BI304" s="17"/>
      <c r="BJ304" s="17" t="s">
        <v>4520</v>
      </c>
      <c r="BK304" s="17"/>
      <c r="BL304" s="17"/>
      <c r="BM304" s="17"/>
      <c r="BN304" s="17" t="s">
        <v>1163</v>
      </c>
      <c r="BO304" s="17" t="s">
        <v>4497</v>
      </c>
      <c r="BP304" s="17"/>
      <c r="BQ304" s="17"/>
      <c r="BR304" s="17"/>
      <c r="BS304" s="17" t="s">
        <v>127</v>
      </c>
      <c r="BT304" s="17" t="s">
        <v>1166</v>
      </c>
      <c r="BU304" s="17" t="s">
        <v>129</v>
      </c>
      <c r="BV304" s="17"/>
      <c r="BW304" s="17"/>
      <c r="BX304" s="13" t="s">
        <v>4521</v>
      </c>
      <c r="BY304" s="13" t="s">
        <v>4286</v>
      </c>
      <c r="DA304" s="13" t="s">
        <v>10348</v>
      </c>
      <c r="DB304" s="13" t="s">
        <v>10348</v>
      </c>
    </row>
    <row r="305" spans="1:106" s="13" customFormat="1" ht="12.75" customHeight="1" x14ac:dyDescent="0.2">
      <c r="A305" s="13" t="s">
        <v>102</v>
      </c>
      <c r="B305" s="13" t="s">
        <v>103</v>
      </c>
      <c r="D305" s="13" t="s">
        <v>4273</v>
      </c>
      <c r="E305" s="13" t="s">
        <v>4274</v>
      </c>
      <c r="F305" s="13" t="s">
        <v>4273</v>
      </c>
      <c r="H305" s="13" t="s">
        <v>227</v>
      </c>
      <c r="J305" s="13" t="s">
        <v>106</v>
      </c>
      <c r="W305" s="13">
        <v>397</v>
      </c>
      <c r="X305" s="13">
        <v>397</v>
      </c>
      <c r="Y305" s="13" t="s">
        <v>107</v>
      </c>
      <c r="Z305" s="13" t="s">
        <v>108</v>
      </c>
      <c r="AA305" s="13" t="s">
        <v>107</v>
      </c>
      <c r="AB305" s="13" t="s">
        <v>4522</v>
      </c>
      <c r="AC305" s="13" t="s">
        <v>4522</v>
      </c>
      <c r="AD305" s="17">
        <v>496007</v>
      </c>
      <c r="AE305" s="35" t="s">
        <v>112</v>
      </c>
      <c r="AF305" s="13">
        <v>496007</v>
      </c>
      <c r="AG305" s="32" t="s">
        <v>4522</v>
      </c>
      <c r="AH305" s="35" t="s">
        <v>4523</v>
      </c>
      <c r="AL305" s="13" t="s">
        <v>4524</v>
      </c>
      <c r="AN305" s="13">
        <v>329</v>
      </c>
      <c r="AO305" s="13" t="s">
        <v>4525</v>
      </c>
      <c r="AQ305" s="13" t="s">
        <v>4522</v>
      </c>
      <c r="AR305" s="13" t="s">
        <v>4522</v>
      </c>
      <c r="AS305" s="13" t="s">
        <v>116</v>
      </c>
      <c r="AT305" s="13" t="s">
        <v>4526</v>
      </c>
      <c r="AU305" s="13" t="s">
        <v>4526</v>
      </c>
      <c r="AV305" s="13" t="s">
        <v>1127</v>
      </c>
      <c r="AW305" s="26"/>
      <c r="AX305" s="26"/>
      <c r="AY305" s="17" t="s">
        <v>4527</v>
      </c>
      <c r="AZ305" s="13" t="s">
        <v>4528</v>
      </c>
      <c r="BA305" s="13" t="s">
        <v>4528</v>
      </c>
      <c r="BB305" s="13" t="s">
        <v>4529</v>
      </c>
      <c r="BC305" s="13" t="s">
        <v>4530</v>
      </c>
      <c r="BD305" s="13">
        <f t="shared" si="11"/>
        <v>58</v>
      </c>
      <c r="BE305" s="17" t="s">
        <v>2453</v>
      </c>
      <c r="BF305" s="17" t="s">
        <v>1133</v>
      </c>
      <c r="BG305" s="17" t="s">
        <v>4494</v>
      </c>
      <c r="BH305" s="31" t="s">
        <v>4508</v>
      </c>
      <c r="BI305" s="17"/>
      <c r="BJ305" s="17" t="s">
        <v>4531</v>
      </c>
      <c r="BK305" s="17"/>
      <c r="BL305" s="17"/>
      <c r="BM305" s="17"/>
      <c r="BN305" s="17" t="s">
        <v>1163</v>
      </c>
      <c r="BO305" s="17" t="s">
        <v>4497</v>
      </c>
      <c r="BP305" s="17"/>
      <c r="BQ305" s="17"/>
      <c r="BR305" s="17"/>
      <c r="BS305" s="17" t="s">
        <v>127</v>
      </c>
      <c r="BT305" s="17" t="s">
        <v>1166</v>
      </c>
      <c r="BU305" s="17" t="s">
        <v>129</v>
      </c>
      <c r="BV305" s="17"/>
      <c r="BW305" s="17"/>
      <c r="BX305" s="13" t="s">
        <v>4532</v>
      </c>
      <c r="BY305" s="13" t="s">
        <v>4286</v>
      </c>
      <c r="DA305" s="13" t="s">
        <v>10348</v>
      </c>
      <c r="DB305" s="13" t="s">
        <v>10348</v>
      </c>
    </row>
    <row r="306" spans="1:106" s="13" customFormat="1" ht="12.75" customHeight="1" x14ac:dyDescent="0.2">
      <c r="A306" s="13" t="s">
        <v>102</v>
      </c>
      <c r="B306" s="13" t="s">
        <v>103</v>
      </c>
      <c r="D306" s="13" t="s">
        <v>4273</v>
      </c>
      <c r="E306" s="13" t="s">
        <v>4274</v>
      </c>
      <c r="F306" s="13" t="s">
        <v>4273</v>
      </c>
      <c r="H306" s="13" t="s">
        <v>227</v>
      </c>
      <c r="J306" s="13" t="s">
        <v>106</v>
      </c>
      <c r="W306" s="13">
        <v>398</v>
      </c>
      <c r="X306" s="13">
        <v>398</v>
      </c>
      <c r="Y306" s="13" t="s">
        <v>107</v>
      </c>
      <c r="Z306" s="13" t="s">
        <v>108</v>
      </c>
      <c r="AA306" s="13" t="s">
        <v>107</v>
      </c>
      <c r="AB306" s="13" t="s">
        <v>4533</v>
      </c>
      <c r="AC306" s="13" t="s">
        <v>4533</v>
      </c>
      <c r="AD306" s="17">
        <v>496008</v>
      </c>
      <c r="AE306" s="35" t="s">
        <v>112</v>
      </c>
      <c r="AF306" s="13">
        <v>496008</v>
      </c>
      <c r="AG306" s="32" t="s">
        <v>4533</v>
      </c>
      <c r="AH306" s="35" t="s">
        <v>4534</v>
      </c>
      <c r="AL306" s="13" t="s">
        <v>4535</v>
      </c>
      <c r="AN306" s="13">
        <v>329</v>
      </c>
      <c r="AO306" s="13" t="s">
        <v>4536</v>
      </c>
      <c r="AQ306" s="13" t="s">
        <v>4533</v>
      </c>
      <c r="AR306" s="13" t="s">
        <v>4533</v>
      </c>
      <c r="AS306" s="13" t="s">
        <v>116</v>
      </c>
      <c r="AT306" s="13" t="s">
        <v>4537</v>
      </c>
      <c r="AU306" s="13" t="s">
        <v>4489</v>
      </c>
      <c r="AV306" s="13" t="s">
        <v>1127</v>
      </c>
      <c r="AW306" s="26"/>
      <c r="AX306" s="26"/>
      <c r="AY306" s="17" t="s">
        <v>4538</v>
      </c>
      <c r="AZ306" s="13" t="s">
        <v>4539</v>
      </c>
      <c r="BA306" s="13" t="s">
        <v>4539</v>
      </c>
      <c r="BB306" s="13" t="s">
        <v>4540</v>
      </c>
      <c r="BC306" s="13" t="s">
        <v>4541</v>
      </c>
      <c r="BD306" s="13">
        <f t="shared" si="11"/>
        <v>58</v>
      </c>
      <c r="BE306" s="17" t="s">
        <v>2453</v>
      </c>
      <c r="BF306" s="17" t="s">
        <v>1133</v>
      </c>
      <c r="BG306" s="17" t="s">
        <v>4494</v>
      </c>
      <c r="BH306" s="31" t="s">
        <v>4508</v>
      </c>
      <c r="BI306" s="17"/>
      <c r="BJ306" s="17" t="s">
        <v>4542</v>
      </c>
      <c r="BK306" s="17"/>
      <c r="BL306" s="17"/>
      <c r="BM306" s="17"/>
      <c r="BN306" s="17" t="s">
        <v>1163</v>
      </c>
      <c r="BO306" s="17" t="s">
        <v>4497</v>
      </c>
      <c r="BP306" s="17"/>
      <c r="BQ306" s="17"/>
      <c r="BR306" s="17"/>
      <c r="BS306" s="17" t="s">
        <v>127</v>
      </c>
      <c r="BT306" s="17" t="s">
        <v>1166</v>
      </c>
      <c r="BU306" s="17" t="s">
        <v>129</v>
      </c>
      <c r="BV306" s="17"/>
      <c r="BW306" s="17"/>
      <c r="BX306" s="13" t="s">
        <v>4543</v>
      </c>
      <c r="BY306" s="13" t="s">
        <v>4286</v>
      </c>
      <c r="DA306" s="13" t="s">
        <v>10348</v>
      </c>
      <c r="DB306" s="13" t="s">
        <v>10348</v>
      </c>
    </row>
    <row r="307" spans="1:106" s="13" customFormat="1" ht="12.75" customHeight="1" x14ac:dyDescent="0.2">
      <c r="A307" s="13" t="s">
        <v>102</v>
      </c>
      <c r="B307" s="13" t="s">
        <v>103</v>
      </c>
      <c r="D307" s="13" t="s">
        <v>4273</v>
      </c>
      <c r="E307" s="13" t="s">
        <v>4274</v>
      </c>
      <c r="F307" s="13" t="s">
        <v>4273</v>
      </c>
      <c r="H307" s="13" t="s">
        <v>227</v>
      </c>
      <c r="J307" s="13" t="s">
        <v>106</v>
      </c>
      <c r="W307" s="13">
        <v>399</v>
      </c>
      <c r="X307" s="13">
        <v>399</v>
      </c>
      <c r="Y307" s="13" t="s">
        <v>107</v>
      </c>
      <c r="Z307" s="13" t="s">
        <v>108</v>
      </c>
      <c r="AA307" s="13" t="s">
        <v>107</v>
      </c>
      <c r="AB307" s="13" t="s">
        <v>4544</v>
      </c>
      <c r="AC307" s="13" t="s">
        <v>4544</v>
      </c>
      <c r="AD307" s="17">
        <v>496009</v>
      </c>
      <c r="AE307" s="35" t="s">
        <v>112</v>
      </c>
      <c r="AF307" s="13">
        <v>496009</v>
      </c>
      <c r="AG307" s="32" t="s">
        <v>4544</v>
      </c>
      <c r="AH307" s="35" t="s">
        <v>4545</v>
      </c>
      <c r="AL307" s="13" t="s">
        <v>4546</v>
      </c>
      <c r="AN307" s="13">
        <v>329</v>
      </c>
      <c r="AO307" s="13" t="s">
        <v>4547</v>
      </c>
      <c r="AQ307" s="13" t="s">
        <v>4544</v>
      </c>
      <c r="AR307" s="13" t="s">
        <v>4544</v>
      </c>
      <c r="AS307" s="13" t="s">
        <v>116</v>
      </c>
      <c r="AT307" s="13" t="s">
        <v>4548</v>
      </c>
      <c r="AU307" s="13" t="s">
        <v>4489</v>
      </c>
      <c r="AV307" s="13" t="s">
        <v>1127</v>
      </c>
      <c r="AW307" s="26"/>
      <c r="AX307" s="26"/>
      <c r="AY307" s="17" t="s">
        <v>4549</v>
      </c>
      <c r="AZ307" s="13" t="s">
        <v>4550</v>
      </c>
      <c r="BA307" s="13" t="s">
        <v>4550</v>
      </c>
      <c r="BB307" s="13" t="s">
        <v>4551</v>
      </c>
      <c r="BC307" s="13" t="s">
        <v>4552</v>
      </c>
      <c r="BD307" s="13">
        <f t="shared" si="11"/>
        <v>58</v>
      </c>
      <c r="BE307" s="17" t="s">
        <v>2453</v>
      </c>
      <c r="BF307" s="17" t="s">
        <v>1133</v>
      </c>
      <c r="BG307" s="17" t="s">
        <v>4494</v>
      </c>
      <c r="BH307" s="31" t="s">
        <v>4508</v>
      </c>
      <c r="BI307" s="17"/>
      <c r="BJ307" s="17" t="s">
        <v>4553</v>
      </c>
      <c r="BK307" s="17"/>
      <c r="BL307" s="17"/>
      <c r="BM307" s="17"/>
      <c r="BN307" s="17" t="s">
        <v>1163</v>
      </c>
      <c r="BO307" s="17" t="s">
        <v>4497</v>
      </c>
      <c r="BP307" s="17"/>
      <c r="BQ307" s="17"/>
      <c r="BR307" s="17"/>
      <c r="BS307" s="17" t="s">
        <v>127</v>
      </c>
      <c r="BT307" s="17" t="s">
        <v>1166</v>
      </c>
      <c r="BU307" s="17" t="s">
        <v>129</v>
      </c>
      <c r="BV307" s="17"/>
      <c r="BW307" s="17"/>
      <c r="BX307" s="13" t="s">
        <v>4554</v>
      </c>
      <c r="BY307" s="13" t="s">
        <v>4286</v>
      </c>
      <c r="DA307" s="13" t="s">
        <v>10348</v>
      </c>
      <c r="DB307" s="13" t="s">
        <v>10348</v>
      </c>
    </row>
    <row r="308" spans="1:106" s="13" customFormat="1" ht="12.75" customHeight="1" x14ac:dyDescent="0.2">
      <c r="A308" s="13" t="s">
        <v>102</v>
      </c>
      <c r="B308" s="13" t="s">
        <v>103</v>
      </c>
      <c r="D308" s="13" t="s">
        <v>4273</v>
      </c>
      <c r="E308" s="13" t="s">
        <v>471</v>
      </c>
      <c r="F308" s="13" t="s">
        <v>4273</v>
      </c>
      <c r="H308" s="13" t="s">
        <v>227</v>
      </c>
      <c r="J308" s="13" t="s">
        <v>106</v>
      </c>
      <c r="W308" s="13">
        <v>400</v>
      </c>
      <c r="X308" s="13">
        <v>400</v>
      </c>
      <c r="Y308" s="13" t="s">
        <v>107</v>
      </c>
      <c r="Z308" s="13" t="s">
        <v>108</v>
      </c>
      <c r="AA308" s="13" t="s">
        <v>107</v>
      </c>
      <c r="AB308" s="13" t="s">
        <v>4555</v>
      </c>
      <c r="AC308" s="13" t="s">
        <v>4555</v>
      </c>
      <c r="AD308" s="17">
        <v>496025</v>
      </c>
      <c r="AE308" s="35" t="s">
        <v>112</v>
      </c>
      <c r="AF308" s="13">
        <v>496025</v>
      </c>
      <c r="AG308" s="32" t="s">
        <v>4555</v>
      </c>
      <c r="AH308" s="35" t="s">
        <v>4556</v>
      </c>
      <c r="AL308" s="13" t="s">
        <v>4501</v>
      </c>
      <c r="AN308" s="13">
        <v>329</v>
      </c>
      <c r="AO308" s="13" t="s">
        <v>4557</v>
      </c>
      <c r="AQ308" s="13" t="s">
        <v>4555</v>
      </c>
      <c r="AR308" s="13" t="s">
        <v>4555</v>
      </c>
      <c r="AS308" s="13" t="s">
        <v>116</v>
      </c>
      <c r="AT308" s="13" t="s">
        <v>4558</v>
      </c>
      <c r="AU308" s="13" t="s">
        <v>4559</v>
      </c>
      <c r="AV308" s="13" t="s">
        <v>1127</v>
      </c>
      <c r="AW308" s="26"/>
      <c r="AX308" s="26"/>
      <c r="AY308" s="17" t="s">
        <v>4560</v>
      </c>
      <c r="AZ308" s="13" t="s">
        <v>4561</v>
      </c>
      <c r="BA308" s="13" t="s">
        <v>4561</v>
      </c>
      <c r="BB308" s="13" t="s">
        <v>4562</v>
      </c>
      <c r="BC308" s="13" t="s">
        <v>4563</v>
      </c>
      <c r="BD308" s="13">
        <f t="shared" si="11"/>
        <v>45</v>
      </c>
      <c r="BE308" s="17" t="s">
        <v>2453</v>
      </c>
      <c r="BF308" s="17" t="s">
        <v>1133</v>
      </c>
      <c r="BG308" s="17" t="s">
        <v>4494</v>
      </c>
      <c r="BH308" s="17"/>
      <c r="BI308" s="17"/>
      <c r="BJ308" s="17" t="s">
        <v>2517</v>
      </c>
      <c r="BK308" s="17"/>
      <c r="BL308" s="17"/>
      <c r="BM308" s="17"/>
      <c r="BN308" s="17" t="s">
        <v>1163</v>
      </c>
      <c r="BO308" s="17" t="s">
        <v>4497</v>
      </c>
      <c r="BP308" s="17"/>
      <c r="BQ308" s="17"/>
      <c r="BR308" s="17"/>
      <c r="BS308" s="17" t="s">
        <v>127</v>
      </c>
      <c r="BT308" s="17" t="s">
        <v>1166</v>
      </c>
      <c r="BU308" s="17" t="s">
        <v>129</v>
      </c>
      <c r="BV308" s="17"/>
      <c r="BW308" s="17"/>
      <c r="BX308" s="13" t="s">
        <v>4564</v>
      </c>
      <c r="DA308" s="13" t="s">
        <v>10348</v>
      </c>
      <c r="DB308" s="13" t="s">
        <v>10348</v>
      </c>
    </row>
    <row r="309" spans="1:106" s="13" customFormat="1" ht="12.75" customHeight="1" x14ac:dyDescent="0.2">
      <c r="A309" s="13" t="s">
        <v>102</v>
      </c>
      <c r="B309" s="13" t="s">
        <v>103</v>
      </c>
      <c r="D309" s="13" t="s">
        <v>4273</v>
      </c>
      <c r="E309" s="13" t="s">
        <v>4274</v>
      </c>
      <c r="F309" s="13" t="s">
        <v>4273</v>
      </c>
      <c r="H309" s="13" t="s">
        <v>227</v>
      </c>
      <c r="J309" s="13" t="s">
        <v>106</v>
      </c>
      <c r="W309" s="13">
        <v>401</v>
      </c>
      <c r="X309" s="13">
        <v>401</v>
      </c>
      <c r="Y309" s="13" t="s">
        <v>107</v>
      </c>
      <c r="Z309" s="13" t="s">
        <v>108</v>
      </c>
      <c r="AA309" s="13" t="s">
        <v>107</v>
      </c>
      <c r="AB309" s="13" t="s">
        <v>4565</v>
      </c>
      <c r="AC309" s="13" t="s">
        <v>4565</v>
      </c>
      <c r="AD309" s="17">
        <v>496035</v>
      </c>
      <c r="AE309" s="35" t="s">
        <v>112</v>
      </c>
      <c r="AF309" s="13">
        <v>496035</v>
      </c>
      <c r="AG309" s="32" t="s">
        <v>4565</v>
      </c>
      <c r="AH309" s="35" t="s">
        <v>4566</v>
      </c>
      <c r="AL309" s="13" t="s">
        <v>4567</v>
      </c>
      <c r="AN309" s="13">
        <v>329</v>
      </c>
      <c r="AO309" s="13" t="s">
        <v>4568</v>
      </c>
      <c r="AQ309" s="13" t="s">
        <v>4565</v>
      </c>
      <c r="AR309" s="13" t="s">
        <v>4565</v>
      </c>
      <c r="AS309" s="13" t="s">
        <v>116</v>
      </c>
      <c r="AT309" s="13" t="s">
        <v>4503</v>
      </c>
      <c r="AU309" s="13" t="s">
        <v>4503</v>
      </c>
      <c r="AV309" s="13" t="s">
        <v>1127</v>
      </c>
      <c r="AW309" s="26"/>
      <c r="AX309" s="26"/>
      <c r="AY309" s="17" t="s">
        <v>4569</v>
      </c>
      <c r="AZ309" s="13" t="s">
        <v>4570</v>
      </c>
      <c r="BA309" s="13" t="s">
        <v>4570</v>
      </c>
      <c r="BB309" s="13" t="s">
        <v>4571</v>
      </c>
      <c r="BC309" s="13" t="s">
        <v>4572</v>
      </c>
      <c r="BD309" s="13">
        <f t="shared" si="11"/>
        <v>60</v>
      </c>
      <c r="BE309" s="17" t="s">
        <v>2453</v>
      </c>
      <c r="BF309" s="17" t="s">
        <v>1133</v>
      </c>
      <c r="BG309" s="17" t="s">
        <v>4361</v>
      </c>
      <c r="BH309" s="31" t="s">
        <v>4573</v>
      </c>
      <c r="BI309" s="17"/>
      <c r="BJ309" s="17" t="s">
        <v>4509</v>
      </c>
      <c r="BK309" s="17"/>
      <c r="BL309" s="17"/>
      <c r="BM309" s="17"/>
      <c r="BN309" s="17" t="s">
        <v>1163</v>
      </c>
      <c r="BO309" s="17" t="s">
        <v>4497</v>
      </c>
      <c r="BP309" s="17"/>
      <c r="BQ309" s="17"/>
      <c r="BR309" s="17"/>
      <c r="BS309" s="17" t="s">
        <v>127</v>
      </c>
      <c r="BT309" s="17" t="s">
        <v>1166</v>
      </c>
      <c r="BU309" s="17" t="s">
        <v>129</v>
      </c>
      <c r="BV309" s="17"/>
      <c r="BW309" s="17"/>
      <c r="BX309" s="13" t="s">
        <v>4574</v>
      </c>
      <c r="BY309" s="13" t="s">
        <v>4286</v>
      </c>
      <c r="DA309" s="13" t="s">
        <v>10348</v>
      </c>
      <c r="DB309" s="13" t="s">
        <v>10348</v>
      </c>
    </row>
    <row r="310" spans="1:106" s="13" customFormat="1" ht="12.75" customHeight="1" x14ac:dyDescent="0.2">
      <c r="A310" s="13" t="s">
        <v>102</v>
      </c>
      <c r="B310" s="13" t="s">
        <v>103</v>
      </c>
      <c r="D310" s="13" t="s">
        <v>4273</v>
      </c>
      <c r="E310" s="13" t="s">
        <v>4274</v>
      </c>
      <c r="F310" s="13" t="s">
        <v>4273</v>
      </c>
      <c r="H310" s="13" t="s">
        <v>227</v>
      </c>
      <c r="J310" s="13" t="s">
        <v>106</v>
      </c>
      <c r="W310" s="13">
        <v>402</v>
      </c>
      <c r="X310" s="13">
        <v>402</v>
      </c>
      <c r="Y310" s="13" t="s">
        <v>107</v>
      </c>
      <c r="Z310" s="13" t="s">
        <v>108</v>
      </c>
      <c r="AA310" s="13" t="s">
        <v>107</v>
      </c>
      <c r="AB310" s="13" t="s">
        <v>4575</v>
      </c>
      <c r="AC310" s="13" t="s">
        <v>4575</v>
      </c>
      <c r="AD310" s="17">
        <v>496036</v>
      </c>
      <c r="AE310" s="35" t="s">
        <v>112</v>
      </c>
      <c r="AF310" s="13">
        <v>496036</v>
      </c>
      <c r="AG310" s="32" t="s">
        <v>4575</v>
      </c>
      <c r="AH310" s="35" t="s">
        <v>4576</v>
      </c>
      <c r="AL310" s="13" t="s">
        <v>4513</v>
      </c>
      <c r="AN310" s="13">
        <v>329</v>
      </c>
      <c r="AO310" s="13" t="s">
        <v>4577</v>
      </c>
      <c r="AQ310" s="13" t="s">
        <v>4575</v>
      </c>
      <c r="AR310" s="13" t="s">
        <v>4575</v>
      </c>
      <c r="AS310" s="13" t="s">
        <v>116</v>
      </c>
      <c r="AT310" s="13" t="s">
        <v>4515</v>
      </c>
      <c r="AU310" s="13" t="s">
        <v>4489</v>
      </c>
      <c r="AV310" s="13" t="s">
        <v>1127</v>
      </c>
      <c r="AW310" s="26"/>
      <c r="AX310" s="26"/>
      <c r="AY310" s="17" t="s">
        <v>4578</v>
      </c>
      <c r="AZ310" s="13" t="s">
        <v>4579</v>
      </c>
      <c r="BA310" s="13" t="s">
        <v>4579</v>
      </c>
      <c r="BB310" s="13" t="s">
        <v>4580</v>
      </c>
      <c r="BC310" s="13" t="s">
        <v>4581</v>
      </c>
      <c r="BD310" s="13">
        <f t="shared" si="11"/>
        <v>60</v>
      </c>
      <c r="BE310" s="17" t="s">
        <v>2453</v>
      </c>
      <c r="BF310" s="17" t="s">
        <v>1133</v>
      </c>
      <c r="BG310" s="17" t="s">
        <v>4361</v>
      </c>
      <c r="BH310" s="31" t="s">
        <v>4573</v>
      </c>
      <c r="BI310" s="17"/>
      <c r="BJ310" s="17" t="s">
        <v>4520</v>
      </c>
      <c r="BK310" s="17"/>
      <c r="BL310" s="17"/>
      <c r="BM310" s="17"/>
      <c r="BN310" s="17" t="s">
        <v>1163</v>
      </c>
      <c r="BO310" s="17" t="s">
        <v>4497</v>
      </c>
      <c r="BP310" s="17"/>
      <c r="BQ310" s="17"/>
      <c r="BR310" s="17"/>
      <c r="BS310" s="17" t="s">
        <v>127</v>
      </c>
      <c r="BT310" s="17" t="s">
        <v>1166</v>
      </c>
      <c r="BU310" s="17" t="s">
        <v>129</v>
      </c>
      <c r="BV310" s="17"/>
      <c r="BW310" s="17"/>
      <c r="BX310" s="13" t="s">
        <v>4582</v>
      </c>
      <c r="BY310" s="13" t="s">
        <v>4286</v>
      </c>
      <c r="DA310" s="13" t="s">
        <v>10348</v>
      </c>
      <c r="DB310" s="13" t="s">
        <v>10348</v>
      </c>
    </row>
    <row r="311" spans="1:106" s="13" customFormat="1" ht="12.75" customHeight="1" x14ac:dyDescent="0.2">
      <c r="A311" s="13" t="s">
        <v>102</v>
      </c>
      <c r="B311" s="13" t="s">
        <v>103</v>
      </c>
      <c r="D311" s="13" t="s">
        <v>4273</v>
      </c>
      <c r="E311" s="13" t="s">
        <v>4274</v>
      </c>
      <c r="F311" s="13" t="s">
        <v>4273</v>
      </c>
      <c r="H311" s="13" t="s">
        <v>227</v>
      </c>
      <c r="J311" s="13" t="s">
        <v>106</v>
      </c>
      <c r="W311" s="13">
        <v>403</v>
      </c>
      <c r="X311" s="13">
        <v>403</v>
      </c>
      <c r="Y311" s="13" t="s">
        <v>107</v>
      </c>
      <c r="Z311" s="13" t="s">
        <v>108</v>
      </c>
      <c r="AA311" s="13" t="s">
        <v>107</v>
      </c>
      <c r="AB311" s="13" t="s">
        <v>4583</v>
      </c>
      <c r="AC311" s="13" t="s">
        <v>4583</v>
      </c>
      <c r="AD311" s="17">
        <v>496038</v>
      </c>
      <c r="AE311" s="35" t="s">
        <v>112</v>
      </c>
      <c r="AF311" s="13">
        <v>496038</v>
      </c>
      <c r="AG311" s="32" t="s">
        <v>4583</v>
      </c>
      <c r="AH311" s="35" t="s">
        <v>4584</v>
      </c>
      <c r="AL311" s="13" t="s">
        <v>4585</v>
      </c>
      <c r="AN311" s="13">
        <v>329</v>
      </c>
      <c r="AO311" s="13" t="s">
        <v>4586</v>
      </c>
      <c r="AQ311" s="13" t="s">
        <v>4583</v>
      </c>
      <c r="AR311" s="13" t="s">
        <v>4583</v>
      </c>
      <c r="AS311" s="13" t="s">
        <v>116</v>
      </c>
      <c r="AT311" s="13" t="s">
        <v>4537</v>
      </c>
      <c r="AU311" s="13" t="s">
        <v>4489</v>
      </c>
      <c r="AV311" s="13" t="s">
        <v>1127</v>
      </c>
      <c r="AW311" s="26"/>
      <c r="AX311" s="26"/>
      <c r="AY311" s="17" t="s">
        <v>4587</v>
      </c>
      <c r="AZ311" s="13" t="s">
        <v>4588</v>
      </c>
      <c r="BA311" s="13" t="s">
        <v>4588</v>
      </c>
      <c r="BB311" s="13" t="s">
        <v>4589</v>
      </c>
      <c r="BC311" s="13" t="s">
        <v>4590</v>
      </c>
      <c r="BD311" s="13">
        <f t="shared" si="11"/>
        <v>60</v>
      </c>
      <c r="BE311" s="17" t="s">
        <v>2453</v>
      </c>
      <c r="BF311" s="17" t="s">
        <v>1133</v>
      </c>
      <c r="BG311" s="17" t="s">
        <v>4361</v>
      </c>
      <c r="BH311" s="31" t="s">
        <v>4573</v>
      </c>
      <c r="BI311" s="17"/>
      <c r="BJ311" s="17" t="s">
        <v>4542</v>
      </c>
      <c r="BK311" s="17"/>
      <c r="BL311" s="17"/>
      <c r="BM311" s="17"/>
      <c r="BN311" s="17" t="s">
        <v>1163</v>
      </c>
      <c r="BO311" s="17" t="s">
        <v>4497</v>
      </c>
      <c r="BP311" s="17"/>
      <c r="BQ311" s="17"/>
      <c r="BR311" s="17"/>
      <c r="BS311" s="17" t="s">
        <v>127</v>
      </c>
      <c r="BT311" s="17" t="s">
        <v>1166</v>
      </c>
      <c r="BU311" s="17" t="s">
        <v>129</v>
      </c>
      <c r="BV311" s="17"/>
      <c r="BW311" s="17"/>
      <c r="BX311" s="13" t="s">
        <v>4591</v>
      </c>
      <c r="BY311" s="13" t="s">
        <v>4286</v>
      </c>
      <c r="DA311" s="13" t="s">
        <v>10348</v>
      </c>
      <c r="DB311" s="13" t="s">
        <v>10348</v>
      </c>
    </row>
    <row r="312" spans="1:106" s="13" customFormat="1" ht="12.75" customHeight="1" x14ac:dyDescent="0.2">
      <c r="A312" s="13" t="s">
        <v>102</v>
      </c>
      <c r="B312" s="13" t="s">
        <v>103</v>
      </c>
      <c r="D312" s="13" t="s">
        <v>4273</v>
      </c>
      <c r="E312" s="13" t="s">
        <v>4274</v>
      </c>
      <c r="F312" s="13" t="s">
        <v>4273</v>
      </c>
      <c r="H312" s="13" t="s">
        <v>227</v>
      </c>
      <c r="J312" s="13" t="s">
        <v>106</v>
      </c>
      <c r="W312" s="13">
        <v>404</v>
      </c>
      <c r="X312" s="13">
        <v>404</v>
      </c>
      <c r="Y312" s="13" t="s">
        <v>107</v>
      </c>
      <c r="Z312" s="13" t="s">
        <v>108</v>
      </c>
      <c r="AA312" s="13" t="s">
        <v>107</v>
      </c>
      <c r="AB312" s="13" t="s">
        <v>4592</v>
      </c>
      <c r="AC312" s="13" t="s">
        <v>4592</v>
      </c>
      <c r="AD312" s="17">
        <v>496064</v>
      </c>
      <c r="AE312" s="35" t="s">
        <v>112</v>
      </c>
      <c r="AF312" s="13">
        <v>496064</v>
      </c>
      <c r="AG312" s="32" t="s">
        <v>4592</v>
      </c>
      <c r="AH312" s="35" t="s">
        <v>4593</v>
      </c>
      <c r="AL312" s="13" t="s">
        <v>4594</v>
      </c>
      <c r="AN312" s="13">
        <v>329</v>
      </c>
      <c r="AO312" s="13" t="s">
        <v>4595</v>
      </c>
      <c r="AQ312" s="13" t="s">
        <v>4592</v>
      </c>
      <c r="AR312" s="13" t="s">
        <v>4592</v>
      </c>
      <c r="AS312" s="13" t="s">
        <v>116</v>
      </c>
      <c r="AT312" s="13" t="s">
        <v>4596</v>
      </c>
      <c r="AU312" s="13" t="s">
        <v>4597</v>
      </c>
      <c r="AV312" s="13" t="s">
        <v>1127</v>
      </c>
      <c r="AW312" s="26"/>
      <c r="AX312" s="26"/>
      <c r="AY312" s="17" t="s">
        <v>4598</v>
      </c>
      <c r="AZ312" s="13" t="s">
        <v>4599</v>
      </c>
      <c r="BA312" s="13" t="s">
        <v>4599</v>
      </c>
      <c r="BB312" s="13" t="s">
        <v>4600</v>
      </c>
      <c r="BC312" s="13" t="s">
        <v>4601</v>
      </c>
      <c r="BD312" s="13">
        <f t="shared" si="11"/>
        <v>59</v>
      </c>
      <c r="BE312" s="17" t="s">
        <v>2453</v>
      </c>
      <c r="BF312" s="17" t="s">
        <v>1133</v>
      </c>
      <c r="BG312" s="17" t="s">
        <v>4602</v>
      </c>
      <c r="BH312" s="31" t="s">
        <v>4603</v>
      </c>
      <c r="BI312" s="17" t="s">
        <v>4117</v>
      </c>
      <c r="BJ312" s="17" t="s">
        <v>4604</v>
      </c>
      <c r="BK312" s="17"/>
      <c r="BL312" s="17"/>
      <c r="BM312" s="17"/>
      <c r="BN312" s="17" t="s">
        <v>1163</v>
      </c>
      <c r="BO312" s="17" t="s">
        <v>4605</v>
      </c>
      <c r="BP312" s="17"/>
      <c r="BQ312" s="17"/>
      <c r="BR312" s="17"/>
      <c r="BS312" s="17" t="s">
        <v>127</v>
      </c>
      <c r="BT312" s="17" t="s">
        <v>1166</v>
      </c>
      <c r="BU312" s="17" t="s">
        <v>129</v>
      </c>
      <c r="BV312" s="17"/>
      <c r="BW312" s="17"/>
      <c r="BX312" s="13" t="s">
        <v>4606</v>
      </c>
      <c r="BY312" s="13" t="s">
        <v>4286</v>
      </c>
      <c r="DA312" s="13" t="s">
        <v>10348</v>
      </c>
      <c r="DB312" s="13" t="s">
        <v>10348</v>
      </c>
    </row>
    <row r="313" spans="1:106" s="13" customFormat="1" ht="12.75" customHeight="1" x14ac:dyDescent="0.2">
      <c r="A313" s="13" t="s">
        <v>102</v>
      </c>
      <c r="B313" s="13" t="s">
        <v>103</v>
      </c>
      <c r="D313" s="13" t="s">
        <v>4273</v>
      </c>
      <c r="E313" s="13" t="s">
        <v>4274</v>
      </c>
      <c r="F313" s="13" t="s">
        <v>4273</v>
      </c>
      <c r="H313" s="13" t="s">
        <v>227</v>
      </c>
      <c r="J313" s="13" t="s">
        <v>106</v>
      </c>
      <c r="W313" s="13">
        <v>405</v>
      </c>
      <c r="X313" s="13">
        <v>405</v>
      </c>
      <c r="Y313" s="13" t="s">
        <v>107</v>
      </c>
      <c r="Z313" s="13" t="s">
        <v>108</v>
      </c>
      <c r="AA313" s="13" t="s">
        <v>107</v>
      </c>
      <c r="AB313" s="13" t="s">
        <v>4607</v>
      </c>
      <c r="AC313" s="13" t="s">
        <v>4607</v>
      </c>
      <c r="AD313" s="17">
        <v>496065</v>
      </c>
      <c r="AE313" s="35" t="s">
        <v>112</v>
      </c>
      <c r="AF313" s="13">
        <v>496065</v>
      </c>
      <c r="AG313" s="32" t="s">
        <v>4607</v>
      </c>
      <c r="AH313" s="35" t="s">
        <v>4608</v>
      </c>
      <c r="AL313" s="13" t="s">
        <v>4609</v>
      </c>
      <c r="AN313" s="13">
        <v>329</v>
      </c>
      <c r="AO313" s="13" t="s">
        <v>4610</v>
      </c>
      <c r="AQ313" s="13" t="s">
        <v>4607</v>
      </c>
      <c r="AR313" s="13" t="s">
        <v>4607</v>
      </c>
      <c r="AS313" s="13" t="s">
        <v>116</v>
      </c>
      <c r="AT313" s="13" t="s">
        <v>4611</v>
      </c>
      <c r="AU313" s="13" t="s">
        <v>4597</v>
      </c>
      <c r="AV313" s="13" t="s">
        <v>1127</v>
      </c>
      <c r="AW313" s="26"/>
      <c r="AX313" s="26"/>
      <c r="AY313" s="17" t="s">
        <v>4612</v>
      </c>
      <c r="AZ313" s="13" t="s">
        <v>4613</v>
      </c>
      <c r="BA313" s="13" t="s">
        <v>4613</v>
      </c>
      <c r="BB313" s="13" t="s">
        <v>4614</v>
      </c>
      <c r="BC313" s="13" t="s">
        <v>4615</v>
      </c>
      <c r="BD313" s="13">
        <f t="shared" si="11"/>
        <v>59</v>
      </c>
      <c r="BE313" s="17" t="s">
        <v>2453</v>
      </c>
      <c r="BF313" s="17" t="s">
        <v>1133</v>
      </c>
      <c r="BG313" s="17" t="s">
        <v>4602</v>
      </c>
      <c r="BH313" s="31" t="s">
        <v>4616</v>
      </c>
      <c r="BI313" s="17" t="s">
        <v>4117</v>
      </c>
      <c r="BJ313" s="17" t="s">
        <v>4617</v>
      </c>
      <c r="BK313" s="17"/>
      <c r="BL313" s="17"/>
      <c r="BM313" s="17"/>
      <c r="BN313" s="17" t="s">
        <v>1163</v>
      </c>
      <c r="BO313" s="17" t="s">
        <v>4605</v>
      </c>
      <c r="BP313" s="17"/>
      <c r="BQ313" s="17"/>
      <c r="BR313" s="17"/>
      <c r="BS313" s="17" t="s">
        <v>127</v>
      </c>
      <c r="BT313" s="17" t="s">
        <v>1166</v>
      </c>
      <c r="BU313" s="17" t="s">
        <v>129</v>
      </c>
      <c r="BV313" s="17"/>
      <c r="BW313" s="17"/>
      <c r="BX313" s="13" t="s">
        <v>4618</v>
      </c>
      <c r="BY313" s="13" t="s">
        <v>4286</v>
      </c>
      <c r="DA313" s="13" t="s">
        <v>10348</v>
      </c>
      <c r="DB313" s="13" t="s">
        <v>10348</v>
      </c>
    </row>
    <row r="314" spans="1:106" s="13" customFormat="1" ht="12.75" customHeight="1" x14ac:dyDescent="0.2">
      <c r="A314" s="13" t="s">
        <v>102</v>
      </c>
      <c r="B314" s="13" t="s">
        <v>103</v>
      </c>
      <c r="D314" s="13" t="s">
        <v>4273</v>
      </c>
      <c r="E314" s="13" t="s">
        <v>4274</v>
      </c>
      <c r="F314" s="13" t="s">
        <v>4273</v>
      </c>
      <c r="H314" s="13" t="s">
        <v>227</v>
      </c>
      <c r="J314" s="13" t="s">
        <v>106</v>
      </c>
      <c r="W314" s="13">
        <v>406</v>
      </c>
      <c r="X314" s="13">
        <v>406</v>
      </c>
      <c r="Y314" s="13" t="s">
        <v>107</v>
      </c>
      <c r="Z314" s="13" t="s">
        <v>108</v>
      </c>
      <c r="AA314" s="13" t="s">
        <v>107</v>
      </c>
      <c r="AB314" s="13" t="s">
        <v>4619</v>
      </c>
      <c r="AC314" s="13" t="s">
        <v>4619</v>
      </c>
      <c r="AD314" s="17">
        <v>496066</v>
      </c>
      <c r="AE314" s="35" t="s">
        <v>112</v>
      </c>
      <c r="AF314" s="13">
        <v>496066</v>
      </c>
      <c r="AG314" s="32" t="s">
        <v>4619</v>
      </c>
      <c r="AH314" s="35" t="s">
        <v>4620</v>
      </c>
      <c r="AL314" s="13" t="s">
        <v>4621</v>
      </c>
      <c r="AN314" s="13">
        <v>329</v>
      </c>
      <c r="AO314" s="13" t="s">
        <v>4622</v>
      </c>
      <c r="AQ314" s="13" t="s">
        <v>4619</v>
      </c>
      <c r="AR314" s="13" t="s">
        <v>4619</v>
      </c>
      <c r="AS314" s="13" t="s">
        <v>116</v>
      </c>
      <c r="AT314" s="13" t="s">
        <v>4623</v>
      </c>
      <c r="AU314" s="13" t="s">
        <v>4597</v>
      </c>
      <c r="AV314" s="13" t="s">
        <v>1127</v>
      </c>
      <c r="AW314" s="26"/>
      <c r="AX314" s="26"/>
      <c r="AY314" s="17" t="s">
        <v>4624</v>
      </c>
      <c r="AZ314" s="13" t="s">
        <v>4625</v>
      </c>
      <c r="BA314" s="13" t="s">
        <v>4625</v>
      </c>
      <c r="BB314" s="13" t="s">
        <v>4626</v>
      </c>
      <c r="BC314" s="13" t="s">
        <v>4627</v>
      </c>
      <c r="BD314" s="13">
        <f t="shared" si="11"/>
        <v>59</v>
      </c>
      <c r="BE314" s="17" t="s">
        <v>2453</v>
      </c>
      <c r="BF314" s="17" t="s">
        <v>1133</v>
      </c>
      <c r="BG314" s="17" t="s">
        <v>4602</v>
      </c>
      <c r="BH314" s="31" t="s">
        <v>4628</v>
      </c>
      <c r="BI314" s="17" t="s">
        <v>4117</v>
      </c>
      <c r="BJ314" s="17" t="s">
        <v>4629</v>
      </c>
      <c r="BK314" s="17"/>
      <c r="BL314" s="17"/>
      <c r="BM314" s="17"/>
      <c r="BN314" s="17" t="s">
        <v>1163</v>
      </c>
      <c r="BO314" s="17" t="s">
        <v>4605</v>
      </c>
      <c r="BP314" s="17"/>
      <c r="BQ314" s="17"/>
      <c r="BR314" s="17"/>
      <c r="BS314" s="17" t="s">
        <v>127</v>
      </c>
      <c r="BT314" s="17" t="s">
        <v>1166</v>
      </c>
      <c r="BU314" s="17" t="s">
        <v>129</v>
      </c>
      <c r="BV314" s="17"/>
      <c r="BW314" s="17"/>
      <c r="BX314" s="13" t="s">
        <v>4630</v>
      </c>
      <c r="BY314" s="13" t="s">
        <v>4286</v>
      </c>
      <c r="DA314" s="13" t="s">
        <v>10348</v>
      </c>
      <c r="DB314" s="13" t="s">
        <v>10348</v>
      </c>
    </row>
    <row r="315" spans="1:106" s="13" customFormat="1" ht="12.75" customHeight="1" x14ac:dyDescent="0.2">
      <c r="A315" s="13" t="s">
        <v>102</v>
      </c>
      <c r="B315" s="13" t="s">
        <v>103</v>
      </c>
      <c r="D315" s="13" t="s">
        <v>4273</v>
      </c>
      <c r="E315" s="13" t="s">
        <v>4274</v>
      </c>
      <c r="F315" s="13" t="s">
        <v>4273</v>
      </c>
      <c r="H315" s="13" t="s">
        <v>227</v>
      </c>
      <c r="J315" s="13" t="s">
        <v>106</v>
      </c>
      <c r="W315" s="13">
        <v>407</v>
      </c>
      <c r="X315" s="13">
        <v>407</v>
      </c>
      <c r="Y315" s="13" t="s">
        <v>107</v>
      </c>
      <c r="Z315" s="13" t="s">
        <v>108</v>
      </c>
      <c r="AA315" s="13" t="s">
        <v>107</v>
      </c>
      <c r="AB315" s="13" t="s">
        <v>4631</v>
      </c>
      <c r="AC315" s="13" t="s">
        <v>4631</v>
      </c>
      <c r="AD315" s="17">
        <v>496067</v>
      </c>
      <c r="AE315" s="35" t="s">
        <v>112</v>
      </c>
      <c r="AF315" s="13">
        <v>496067</v>
      </c>
      <c r="AG315" s="32" t="s">
        <v>4631</v>
      </c>
      <c r="AH315" s="35" t="s">
        <v>4632</v>
      </c>
      <c r="AL315" s="13" t="s">
        <v>4633</v>
      </c>
      <c r="AN315" s="13">
        <v>329</v>
      </c>
      <c r="AO315" s="13" t="s">
        <v>4634</v>
      </c>
      <c r="AQ315" s="13" t="s">
        <v>4631</v>
      </c>
      <c r="AR315" s="13" t="s">
        <v>4631</v>
      </c>
      <c r="AS315" s="13" t="s">
        <v>116</v>
      </c>
      <c r="AT315" s="13" t="s">
        <v>4635</v>
      </c>
      <c r="AU315" s="13" t="s">
        <v>4597</v>
      </c>
      <c r="AV315" s="13" t="s">
        <v>1127</v>
      </c>
      <c r="AW315" s="26"/>
      <c r="AX315" s="26"/>
      <c r="AY315" s="17" t="s">
        <v>4636</v>
      </c>
      <c r="AZ315" s="13" t="s">
        <v>4637</v>
      </c>
      <c r="BA315" s="13" t="s">
        <v>4637</v>
      </c>
      <c r="BB315" s="13" t="s">
        <v>4638</v>
      </c>
      <c r="BC315" s="13" t="s">
        <v>4639</v>
      </c>
      <c r="BD315" s="13">
        <f t="shared" si="11"/>
        <v>59</v>
      </c>
      <c r="BE315" s="17" t="s">
        <v>2453</v>
      </c>
      <c r="BF315" s="17" t="s">
        <v>1133</v>
      </c>
      <c r="BG315" s="17" t="s">
        <v>4602</v>
      </c>
      <c r="BH315" s="31" t="s">
        <v>4628</v>
      </c>
      <c r="BI315" s="17" t="s">
        <v>4117</v>
      </c>
      <c r="BJ315" s="17" t="s">
        <v>4640</v>
      </c>
      <c r="BK315" s="17"/>
      <c r="BL315" s="17"/>
      <c r="BM315" s="17"/>
      <c r="BN315" s="17" t="s">
        <v>1163</v>
      </c>
      <c r="BO315" s="17" t="s">
        <v>4605</v>
      </c>
      <c r="BP315" s="17"/>
      <c r="BQ315" s="17"/>
      <c r="BR315" s="17"/>
      <c r="BS315" s="17" t="s">
        <v>127</v>
      </c>
      <c r="BT315" s="17" t="s">
        <v>1166</v>
      </c>
      <c r="BU315" s="17" t="s">
        <v>129</v>
      </c>
      <c r="BV315" s="17"/>
      <c r="BW315" s="17"/>
      <c r="BX315" s="13" t="s">
        <v>4641</v>
      </c>
      <c r="BY315" s="13" t="s">
        <v>4286</v>
      </c>
      <c r="DA315" s="13" t="s">
        <v>10348</v>
      </c>
      <c r="DB315" s="13" t="s">
        <v>10348</v>
      </c>
    </row>
    <row r="316" spans="1:106" s="13" customFormat="1" ht="12.75" customHeight="1" x14ac:dyDescent="0.2">
      <c r="A316" s="13" t="s">
        <v>102</v>
      </c>
      <c r="B316" s="13" t="s">
        <v>103</v>
      </c>
      <c r="D316" s="13" t="s">
        <v>4273</v>
      </c>
      <c r="E316" s="13" t="s">
        <v>471</v>
      </c>
      <c r="F316" s="13" t="s">
        <v>4273</v>
      </c>
      <c r="H316" s="13" t="s">
        <v>227</v>
      </c>
      <c r="J316" s="13" t="s">
        <v>106</v>
      </c>
      <c r="W316" s="13">
        <v>408</v>
      </c>
      <c r="X316" s="13">
        <v>408</v>
      </c>
      <c r="Y316" s="13" t="s">
        <v>107</v>
      </c>
      <c r="Z316" s="13" t="s">
        <v>108</v>
      </c>
      <c r="AA316" s="13" t="s">
        <v>107</v>
      </c>
      <c r="AB316" s="13" t="s">
        <v>4642</v>
      </c>
      <c r="AC316" s="13" t="s">
        <v>4642</v>
      </c>
      <c r="AD316" s="17">
        <v>496122</v>
      </c>
      <c r="AE316" s="35" t="s">
        <v>112</v>
      </c>
      <c r="AF316" s="13">
        <v>496122</v>
      </c>
      <c r="AG316" s="32" t="s">
        <v>4642</v>
      </c>
      <c r="AH316" s="35" t="s">
        <v>4643</v>
      </c>
      <c r="AL316" s="13" t="s">
        <v>4644</v>
      </c>
      <c r="AN316" s="13">
        <v>329</v>
      </c>
      <c r="AO316" s="13" t="s">
        <v>4645</v>
      </c>
      <c r="AQ316" s="13" t="s">
        <v>4642</v>
      </c>
      <c r="AR316" s="13" t="s">
        <v>4642</v>
      </c>
      <c r="AS316" s="13" t="s">
        <v>116</v>
      </c>
      <c r="AT316" s="13" t="s">
        <v>4646</v>
      </c>
      <c r="AU316" s="13" t="s">
        <v>4647</v>
      </c>
      <c r="AV316" s="13" t="s">
        <v>1127</v>
      </c>
      <c r="AW316" s="26"/>
      <c r="AX316" s="26"/>
      <c r="AY316" s="17" t="s">
        <v>4648</v>
      </c>
      <c r="AZ316" s="13" t="s">
        <v>4649</v>
      </c>
      <c r="BA316" s="13" t="s">
        <v>4649</v>
      </c>
      <c r="BB316" s="13" t="s">
        <v>4650</v>
      </c>
      <c r="BC316" s="13" t="s">
        <v>4651</v>
      </c>
      <c r="BD316" s="13">
        <f t="shared" si="11"/>
        <v>58</v>
      </c>
      <c r="BE316" s="17" t="s">
        <v>2453</v>
      </c>
      <c r="BF316" s="17" t="s">
        <v>1133</v>
      </c>
      <c r="BG316" s="17" t="s">
        <v>4652</v>
      </c>
      <c r="BH316" s="31" t="s">
        <v>2598</v>
      </c>
      <c r="BI316" s="17"/>
      <c r="BJ316" s="17" t="s">
        <v>4520</v>
      </c>
      <c r="BK316" s="17"/>
      <c r="BL316" s="17"/>
      <c r="BM316" s="17"/>
      <c r="BN316" s="17" t="s">
        <v>1163</v>
      </c>
      <c r="BO316" s="17" t="s">
        <v>4497</v>
      </c>
      <c r="BP316" s="17"/>
      <c r="BQ316" s="17"/>
      <c r="BR316" s="17"/>
      <c r="BS316" s="17" t="s">
        <v>127</v>
      </c>
      <c r="BT316" s="17"/>
      <c r="BU316" s="17" t="s">
        <v>129</v>
      </c>
      <c r="BV316" s="17"/>
      <c r="BW316" s="17" t="s">
        <v>4653</v>
      </c>
      <c r="BX316" s="13" t="s">
        <v>4654</v>
      </c>
      <c r="DA316" s="13" t="s">
        <v>10348</v>
      </c>
      <c r="DB316" s="13" t="s">
        <v>10348</v>
      </c>
    </row>
    <row r="317" spans="1:106" s="13" customFormat="1" ht="12.75" customHeight="1" x14ac:dyDescent="0.2">
      <c r="A317" s="13" t="s">
        <v>102</v>
      </c>
      <c r="B317" s="13" t="s">
        <v>103</v>
      </c>
      <c r="D317" s="13" t="s">
        <v>4273</v>
      </c>
      <c r="E317" s="13" t="s">
        <v>471</v>
      </c>
      <c r="F317" s="13" t="s">
        <v>4273</v>
      </c>
      <c r="H317" s="13" t="s">
        <v>227</v>
      </c>
      <c r="J317" s="13" t="s">
        <v>106</v>
      </c>
      <c r="W317" s="13">
        <v>409</v>
      </c>
      <c r="X317" s="13">
        <v>409</v>
      </c>
      <c r="Y317" s="13" t="s">
        <v>107</v>
      </c>
      <c r="Z317" s="13" t="s">
        <v>108</v>
      </c>
      <c r="AA317" s="13" t="s">
        <v>107</v>
      </c>
      <c r="AB317" s="13" t="s">
        <v>4655</v>
      </c>
      <c r="AC317" s="13" t="s">
        <v>4655</v>
      </c>
      <c r="AD317" s="17">
        <v>496123</v>
      </c>
      <c r="AE317" s="35" t="s">
        <v>112</v>
      </c>
      <c r="AF317" s="13">
        <v>496123</v>
      </c>
      <c r="AG317" s="32" t="s">
        <v>4655</v>
      </c>
      <c r="AH317" s="35" t="s">
        <v>4656</v>
      </c>
      <c r="AL317" s="13" t="s">
        <v>4657</v>
      </c>
      <c r="AN317" s="13">
        <v>329</v>
      </c>
      <c r="AO317" s="13" t="s">
        <v>4658</v>
      </c>
      <c r="AQ317" s="13" t="s">
        <v>4655</v>
      </c>
      <c r="AR317" s="13" t="s">
        <v>4655</v>
      </c>
      <c r="AS317" s="13" t="s">
        <v>116</v>
      </c>
      <c r="AT317" s="13" t="s">
        <v>4659</v>
      </c>
      <c r="AU317" s="13" t="s">
        <v>4647</v>
      </c>
      <c r="AV317" s="13" t="s">
        <v>1127</v>
      </c>
      <c r="AW317" s="26"/>
      <c r="AX317" s="26"/>
      <c r="AY317" s="17" t="s">
        <v>4660</v>
      </c>
      <c r="AZ317" s="13" t="s">
        <v>4661</v>
      </c>
      <c r="BA317" s="13" t="s">
        <v>4661</v>
      </c>
      <c r="BB317" s="13" t="s">
        <v>4662</v>
      </c>
      <c r="BC317" s="13" t="s">
        <v>4663</v>
      </c>
      <c r="BD317" s="13">
        <f t="shared" si="11"/>
        <v>58</v>
      </c>
      <c r="BE317" s="17" t="s">
        <v>2453</v>
      </c>
      <c r="BF317" s="17" t="s">
        <v>1133</v>
      </c>
      <c r="BG317" s="17" t="s">
        <v>4652</v>
      </c>
      <c r="BH317" s="31" t="s">
        <v>2598</v>
      </c>
      <c r="BI317" s="17"/>
      <c r="BJ317" s="17" t="s">
        <v>4531</v>
      </c>
      <c r="BK317" s="17"/>
      <c r="BL317" s="17"/>
      <c r="BM317" s="17"/>
      <c r="BN317" s="17" t="s">
        <v>1163</v>
      </c>
      <c r="BO317" s="17" t="s">
        <v>4497</v>
      </c>
      <c r="BP317" s="17"/>
      <c r="BQ317" s="17"/>
      <c r="BR317" s="17"/>
      <c r="BS317" s="17" t="s">
        <v>127</v>
      </c>
      <c r="BT317" s="17"/>
      <c r="BU317" s="17" t="s">
        <v>129</v>
      </c>
      <c r="BV317" s="17"/>
      <c r="BW317" s="17" t="s">
        <v>4653</v>
      </c>
      <c r="BX317" s="13" t="s">
        <v>4664</v>
      </c>
      <c r="DA317" s="13" t="s">
        <v>10348</v>
      </c>
      <c r="DB317" s="13" t="s">
        <v>10348</v>
      </c>
    </row>
    <row r="318" spans="1:106" s="13" customFormat="1" ht="12.75" customHeight="1" x14ac:dyDescent="0.2">
      <c r="A318" s="13" t="s">
        <v>102</v>
      </c>
      <c r="B318" s="13" t="s">
        <v>103</v>
      </c>
      <c r="D318" s="13" t="s">
        <v>4273</v>
      </c>
      <c r="E318" s="13" t="s">
        <v>4274</v>
      </c>
      <c r="F318" s="13" t="s">
        <v>4273</v>
      </c>
      <c r="H318" s="13" t="s">
        <v>227</v>
      </c>
      <c r="J318" s="13" t="s">
        <v>106</v>
      </c>
      <c r="W318" s="13">
        <v>410</v>
      </c>
      <c r="X318" s="13">
        <v>410</v>
      </c>
      <c r="Y318" s="13" t="s">
        <v>107</v>
      </c>
      <c r="Z318" s="13" t="s">
        <v>108</v>
      </c>
      <c r="AA318" s="13" t="s">
        <v>107</v>
      </c>
      <c r="AB318" s="13" t="s">
        <v>4665</v>
      </c>
      <c r="AC318" s="13" t="s">
        <v>4665</v>
      </c>
      <c r="AD318" s="17">
        <v>496124</v>
      </c>
      <c r="AE318" s="35" t="s">
        <v>112</v>
      </c>
      <c r="AF318" s="13">
        <v>496124</v>
      </c>
      <c r="AG318" s="32" t="s">
        <v>4665</v>
      </c>
      <c r="AH318" s="35" t="s">
        <v>4666</v>
      </c>
      <c r="AL318" s="13" t="s">
        <v>4667</v>
      </c>
      <c r="AN318" s="13">
        <v>329</v>
      </c>
      <c r="AO318" s="13" t="s">
        <v>4668</v>
      </c>
      <c r="AQ318" s="13" t="s">
        <v>4665</v>
      </c>
      <c r="AR318" s="13" t="s">
        <v>4665</v>
      </c>
      <c r="AS318" s="13" t="s">
        <v>116</v>
      </c>
      <c r="AT318" s="13" t="s">
        <v>4669</v>
      </c>
      <c r="AU318" s="13" t="s">
        <v>4647</v>
      </c>
      <c r="AV318" s="13" t="s">
        <v>1127</v>
      </c>
      <c r="AW318" s="26"/>
      <c r="AX318" s="26"/>
      <c r="AY318" s="17" t="s">
        <v>4670</v>
      </c>
      <c r="AZ318" s="13" t="s">
        <v>4671</v>
      </c>
      <c r="BA318" s="13" t="s">
        <v>4671</v>
      </c>
      <c r="BB318" s="13" t="s">
        <v>4672</v>
      </c>
      <c r="BC318" s="13" t="s">
        <v>4673</v>
      </c>
      <c r="BD318" s="13">
        <f t="shared" si="11"/>
        <v>58</v>
      </c>
      <c r="BE318" s="17" t="s">
        <v>2453</v>
      </c>
      <c r="BF318" s="17" t="s">
        <v>1133</v>
      </c>
      <c r="BG318" s="17" t="s">
        <v>4652</v>
      </c>
      <c r="BH318" s="31" t="s">
        <v>2598</v>
      </c>
      <c r="BI318" s="17"/>
      <c r="BJ318" s="17" t="s">
        <v>4542</v>
      </c>
      <c r="BK318" s="17"/>
      <c r="BL318" s="17"/>
      <c r="BM318" s="17"/>
      <c r="BN318" s="17" t="s">
        <v>1163</v>
      </c>
      <c r="BO318" s="17" t="s">
        <v>4497</v>
      </c>
      <c r="BP318" s="17"/>
      <c r="BQ318" s="17"/>
      <c r="BR318" s="17"/>
      <c r="BS318" s="17" t="s">
        <v>127</v>
      </c>
      <c r="BT318" s="17"/>
      <c r="BU318" s="17" t="s">
        <v>129</v>
      </c>
      <c r="BV318" s="17"/>
      <c r="BW318" s="17" t="s">
        <v>4653</v>
      </c>
      <c r="BX318" s="13" t="s">
        <v>4674</v>
      </c>
      <c r="BY318" s="13" t="s">
        <v>4286</v>
      </c>
      <c r="DA318" s="13" t="s">
        <v>10348</v>
      </c>
      <c r="DB318" s="13" t="s">
        <v>10348</v>
      </c>
    </row>
    <row r="319" spans="1:106" s="13" customFormat="1" ht="12.75" customHeight="1" x14ac:dyDescent="0.2">
      <c r="A319" s="13" t="s">
        <v>102</v>
      </c>
      <c r="B319" s="13" t="s">
        <v>103</v>
      </c>
      <c r="D319" s="13" t="s">
        <v>4273</v>
      </c>
      <c r="E319" s="13" t="s">
        <v>4274</v>
      </c>
      <c r="F319" s="13" t="s">
        <v>4273</v>
      </c>
      <c r="H319" s="13" t="s">
        <v>227</v>
      </c>
      <c r="J319" s="13" t="s">
        <v>106</v>
      </c>
      <c r="W319" s="13">
        <v>411</v>
      </c>
      <c r="X319" s="13">
        <v>411</v>
      </c>
      <c r="Y319" s="13" t="s">
        <v>107</v>
      </c>
      <c r="Z319" s="13" t="s">
        <v>108</v>
      </c>
      <c r="AA319" s="13" t="s">
        <v>107</v>
      </c>
      <c r="AB319" s="13" t="s">
        <v>4675</v>
      </c>
      <c r="AC319" s="13" t="s">
        <v>4675</v>
      </c>
      <c r="AD319" s="17">
        <v>496125</v>
      </c>
      <c r="AE319" s="35" t="s">
        <v>112</v>
      </c>
      <c r="AF319" s="13">
        <v>496125</v>
      </c>
      <c r="AG319" s="32" t="s">
        <v>4675</v>
      </c>
      <c r="AH319" s="35" t="s">
        <v>4676</v>
      </c>
      <c r="AL319" s="13" t="s">
        <v>4677</v>
      </c>
      <c r="AN319" s="13">
        <v>329</v>
      </c>
      <c r="AO319" s="13" t="s">
        <v>4678</v>
      </c>
      <c r="AQ319" s="13" t="s">
        <v>4675</v>
      </c>
      <c r="AR319" s="13" t="s">
        <v>4675</v>
      </c>
      <c r="AS319" s="13" t="s">
        <v>116</v>
      </c>
      <c r="AT319" s="13" t="s">
        <v>4679</v>
      </c>
      <c r="AU319" s="13" t="s">
        <v>4647</v>
      </c>
      <c r="AV319" s="13" t="s">
        <v>1127</v>
      </c>
      <c r="AW319" s="26"/>
      <c r="AX319" s="26"/>
      <c r="AY319" s="17" t="s">
        <v>4680</v>
      </c>
      <c r="AZ319" s="13" t="s">
        <v>4681</v>
      </c>
      <c r="BA319" s="13" t="s">
        <v>4681</v>
      </c>
      <c r="BB319" s="13" t="s">
        <v>4682</v>
      </c>
      <c r="BC319" s="13" t="s">
        <v>4683</v>
      </c>
      <c r="BD319" s="13">
        <f t="shared" si="11"/>
        <v>58</v>
      </c>
      <c r="BE319" s="17" t="s">
        <v>2453</v>
      </c>
      <c r="BF319" s="17" t="s">
        <v>1133</v>
      </c>
      <c r="BG319" s="17" t="s">
        <v>4652</v>
      </c>
      <c r="BH319" s="31" t="s">
        <v>2598</v>
      </c>
      <c r="BI319" s="17"/>
      <c r="BJ319" s="17" t="s">
        <v>4553</v>
      </c>
      <c r="BK319" s="17"/>
      <c r="BL319" s="17"/>
      <c r="BM319" s="17"/>
      <c r="BN319" s="17" t="s">
        <v>1163</v>
      </c>
      <c r="BO319" s="17" t="s">
        <v>4497</v>
      </c>
      <c r="BP319" s="17"/>
      <c r="BQ319" s="17"/>
      <c r="BR319" s="17"/>
      <c r="BS319" s="17" t="s">
        <v>127</v>
      </c>
      <c r="BT319" s="17"/>
      <c r="BU319" s="17" t="s">
        <v>129</v>
      </c>
      <c r="BV319" s="17"/>
      <c r="BW319" s="17" t="s">
        <v>4653</v>
      </c>
      <c r="BX319" s="13" t="s">
        <v>4684</v>
      </c>
      <c r="BY319" s="13" t="s">
        <v>4286</v>
      </c>
      <c r="DA319" s="13" t="s">
        <v>10348</v>
      </c>
      <c r="DB319" s="13" t="s">
        <v>10348</v>
      </c>
    </row>
    <row r="320" spans="1:106" s="13" customFormat="1" ht="12.75" customHeight="1" x14ac:dyDescent="0.2">
      <c r="A320" s="13" t="s">
        <v>102</v>
      </c>
      <c r="B320" s="13" t="s">
        <v>103</v>
      </c>
      <c r="D320" s="13" t="s">
        <v>4273</v>
      </c>
      <c r="E320" s="13" t="s">
        <v>4274</v>
      </c>
      <c r="F320" s="13" t="s">
        <v>4273</v>
      </c>
      <c r="H320" s="13" t="s">
        <v>227</v>
      </c>
      <c r="J320" s="13" t="s">
        <v>106</v>
      </c>
      <c r="W320" s="13">
        <v>412</v>
      </c>
      <c r="X320" s="13">
        <v>412</v>
      </c>
      <c r="Y320" s="13" t="s">
        <v>107</v>
      </c>
      <c r="Z320" s="13" t="s">
        <v>108</v>
      </c>
      <c r="AA320" s="13" t="s">
        <v>107</v>
      </c>
      <c r="AB320" s="13" t="s">
        <v>4685</v>
      </c>
      <c r="AC320" s="13" t="s">
        <v>4685</v>
      </c>
      <c r="AD320" s="17">
        <v>496126</v>
      </c>
      <c r="AE320" s="35" t="s">
        <v>112</v>
      </c>
      <c r="AF320" s="13">
        <v>496126</v>
      </c>
      <c r="AG320" s="32" t="s">
        <v>4685</v>
      </c>
      <c r="AH320" s="35" t="s">
        <v>4686</v>
      </c>
      <c r="AL320" s="13" t="s">
        <v>4687</v>
      </c>
      <c r="AN320" s="13">
        <v>329</v>
      </c>
      <c r="AO320" s="13" t="s">
        <v>4688</v>
      </c>
      <c r="AQ320" s="13" t="s">
        <v>4685</v>
      </c>
      <c r="AR320" s="13" t="s">
        <v>4685</v>
      </c>
      <c r="AS320" s="13" t="s">
        <v>116</v>
      </c>
      <c r="AT320" s="13" t="s">
        <v>4689</v>
      </c>
      <c r="AU320" s="13" t="s">
        <v>4647</v>
      </c>
      <c r="AV320" s="13" t="s">
        <v>1127</v>
      </c>
      <c r="AW320" s="26"/>
      <c r="AX320" s="26"/>
      <c r="AY320" s="17" t="s">
        <v>4690</v>
      </c>
      <c r="AZ320" s="13" t="s">
        <v>4691</v>
      </c>
      <c r="BA320" s="13" t="s">
        <v>4691</v>
      </c>
      <c r="BB320" s="13" t="s">
        <v>4692</v>
      </c>
      <c r="BC320" s="13" t="s">
        <v>4693</v>
      </c>
      <c r="BD320" s="13">
        <f t="shared" si="11"/>
        <v>60</v>
      </c>
      <c r="BE320" s="17" t="s">
        <v>2453</v>
      </c>
      <c r="BF320" s="17" t="s">
        <v>1133</v>
      </c>
      <c r="BG320" s="17" t="s">
        <v>4652</v>
      </c>
      <c r="BH320" s="31" t="s">
        <v>4603</v>
      </c>
      <c r="BI320" s="17" t="s">
        <v>4117</v>
      </c>
      <c r="BJ320" s="17" t="s">
        <v>4604</v>
      </c>
      <c r="BK320" s="17"/>
      <c r="BL320" s="17"/>
      <c r="BM320" s="17"/>
      <c r="BN320" s="17" t="s">
        <v>1163</v>
      </c>
      <c r="BO320" s="17" t="s">
        <v>4497</v>
      </c>
      <c r="BP320" s="17"/>
      <c r="BQ320" s="17"/>
      <c r="BR320" s="17"/>
      <c r="BS320" s="17" t="s">
        <v>127</v>
      </c>
      <c r="BT320" s="17"/>
      <c r="BU320" s="17" t="s">
        <v>129</v>
      </c>
      <c r="BV320" s="17"/>
      <c r="BW320" s="17" t="s">
        <v>4653</v>
      </c>
      <c r="BX320" s="13" t="s">
        <v>4694</v>
      </c>
      <c r="BY320" s="13" t="s">
        <v>4286</v>
      </c>
      <c r="DA320" s="13" t="s">
        <v>10348</v>
      </c>
      <c r="DB320" s="13" t="s">
        <v>10348</v>
      </c>
    </row>
    <row r="321" spans="1:106" s="13" customFormat="1" ht="12.75" customHeight="1" x14ac:dyDescent="0.2">
      <c r="A321" s="13" t="s">
        <v>102</v>
      </c>
      <c r="B321" s="13" t="s">
        <v>103</v>
      </c>
      <c r="D321" s="13" t="s">
        <v>4273</v>
      </c>
      <c r="E321" s="13" t="s">
        <v>4274</v>
      </c>
      <c r="F321" s="13" t="s">
        <v>4273</v>
      </c>
      <c r="H321" s="13" t="s">
        <v>227</v>
      </c>
      <c r="J321" s="13" t="s">
        <v>106</v>
      </c>
      <c r="W321" s="13">
        <v>413</v>
      </c>
      <c r="X321" s="13">
        <v>413</v>
      </c>
      <c r="Y321" s="13" t="s">
        <v>107</v>
      </c>
      <c r="Z321" s="13" t="s">
        <v>108</v>
      </c>
      <c r="AA321" s="13" t="s">
        <v>107</v>
      </c>
      <c r="AB321" s="13" t="s">
        <v>4695</v>
      </c>
      <c r="AC321" s="13" t="s">
        <v>4695</v>
      </c>
      <c r="AD321" s="17">
        <v>496127</v>
      </c>
      <c r="AE321" s="35" t="s">
        <v>112</v>
      </c>
      <c r="AF321" s="13">
        <v>496127</v>
      </c>
      <c r="AG321" s="32" t="s">
        <v>4695</v>
      </c>
      <c r="AH321" s="35" t="s">
        <v>4696</v>
      </c>
      <c r="AL321" s="13" t="s">
        <v>4697</v>
      </c>
      <c r="AN321" s="13">
        <v>329</v>
      </c>
      <c r="AO321" s="13" t="s">
        <v>4698</v>
      </c>
      <c r="AQ321" s="13" t="s">
        <v>4695</v>
      </c>
      <c r="AR321" s="13" t="s">
        <v>4695</v>
      </c>
      <c r="AS321" s="13" t="s">
        <v>116</v>
      </c>
      <c r="AT321" s="13" t="s">
        <v>4699</v>
      </c>
      <c r="AU321" s="13" t="s">
        <v>4700</v>
      </c>
      <c r="AV321" s="13" t="s">
        <v>1127</v>
      </c>
      <c r="AW321" s="26"/>
      <c r="AX321" s="26"/>
      <c r="AY321" s="17" t="s">
        <v>4701</v>
      </c>
      <c r="AZ321" s="13" t="s">
        <v>4702</v>
      </c>
      <c r="BA321" s="13" t="s">
        <v>4702</v>
      </c>
      <c r="BB321" s="13" t="s">
        <v>4703</v>
      </c>
      <c r="BC321" s="13" t="s">
        <v>4704</v>
      </c>
      <c r="BD321" s="13">
        <f t="shared" si="11"/>
        <v>60</v>
      </c>
      <c r="BE321" s="17" t="s">
        <v>2453</v>
      </c>
      <c r="BF321" s="17" t="s">
        <v>1133</v>
      </c>
      <c r="BG321" s="17" t="s">
        <v>4652</v>
      </c>
      <c r="BH321" s="31" t="s">
        <v>4705</v>
      </c>
      <c r="BI321" s="17" t="s">
        <v>4117</v>
      </c>
      <c r="BJ321" s="17" t="s">
        <v>4617</v>
      </c>
      <c r="BK321" s="17"/>
      <c r="BL321" s="17"/>
      <c r="BM321" s="17"/>
      <c r="BN321" s="17" t="s">
        <v>1163</v>
      </c>
      <c r="BO321" s="17" t="s">
        <v>4497</v>
      </c>
      <c r="BP321" s="17"/>
      <c r="BQ321" s="17"/>
      <c r="BR321" s="17"/>
      <c r="BS321" s="17" t="s">
        <v>127</v>
      </c>
      <c r="BT321" s="17"/>
      <c r="BU321" s="17" t="s">
        <v>129</v>
      </c>
      <c r="BV321" s="17"/>
      <c r="BW321" s="17" t="s">
        <v>4653</v>
      </c>
      <c r="BX321" s="13" t="s">
        <v>4706</v>
      </c>
      <c r="BY321" s="13" t="s">
        <v>4286</v>
      </c>
      <c r="DA321" s="13" t="s">
        <v>10348</v>
      </c>
      <c r="DB321" s="13" t="s">
        <v>10348</v>
      </c>
    </row>
    <row r="322" spans="1:106" s="13" customFormat="1" ht="12.75" customHeight="1" x14ac:dyDescent="0.2">
      <c r="A322" s="13" t="s">
        <v>102</v>
      </c>
      <c r="B322" s="13" t="s">
        <v>103</v>
      </c>
      <c r="D322" s="13" t="s">
        <v>4273</v>
      </c>
      <c r="E322" s="13" t="s">
        <v>4274</v>
      </c>
      <c r="F322" s="13" t="s">
        <v>4273</v>
      </c>
      <c r="H322" s="13" t="s">
        <v>227</v>
      </c>
      <c r="J322" s="13" t="s">
        <v>106</v>
      </c>
      <c r="W322" s="13">
        <v>414</v>
      </c>
      <c r="X322" s="13">
        <v>414</v>
      </c>
      <c r="Y322" s="13" t="s">
        <v>107</v>
      </c>
      <c r="Z322" s="13" t="s">
        <v>108</v>
      </c>
      <c r="AA322" s="13" t="s">
        <v>107</v>
      </c>
      <c r="AB322" s="13" t="s">
        <v>4707</v>
      </c>
      <c r="AC322" s="13" t="s">
        <v>4707</v>
      </c>
      <c r="AD322" s="17">
        <v>496128</v>
      </c>
      <c r="AE322" s="35" t="s">
        <v>112</v>
      </c>
      <c r="AF322" s="13">
        <v>496128</v>
      </c>
      <c r="AG322" s="32" t="s">
        <v>4707</v>
      </c>
      <c r="AH322" s="35" t="s">
        <v>4708</v>
      </c>
      <c r="AL322" s="13" t="s">
        <v>4709</v>
      </c>
      <c r="AN322" s="13">
        <v>329</v>
      </c>
      <c r="AO322" s="13" t="s">
        <v>4710</v>
      </c>
      <c r="AQ322" s="13" t="s">
        <v>4707</v>
      </c>
      <c r="AR322" s="13" t="s">
        <v>4707</v>
      </c>
      <c r="AS322" s="13" t="s">
        <v>116</v>
      </c>
      <c r="AT322" s="13" t="s">
        <v>4711</v>
      </c>
      <c r="AU322" s="13" t="s">
        <v>4700</v>
      </c>
      <c r="AV322" s="13" t="s">
        <v>1127</v>
      </c>
      <c r="AW322" s="26"/>
      <c r="AX322" s="26"/>
      <c r="AY322" s="17" t="s">
        <v>4712</v>
      </c>
      <c r="AZ322" s="13" t="s">
        <v>4713</v>
      </c>
      <c r="BA322" s="13" t="s">
        <v>4713</v>
      </c>
      <c r="BB322" s="13" t="s">
        <v>4714</v>
      </c>
      <c r="BC322" s="13" t="s">
        <v>4715</v>
      </c>
      <c r="BD322" s="13">
        <f t="shared" si="11"/>
        <v>60</v>
      </c>
      <c r="BE322" s="17" t="s">
        <v>2453</v>
      </c>
      <c r="BF322" s="17" t="s">
        <v>1133</v>
      </c>
      <c r="BG322" s="17" t="s">
        <v>4652</v>
      </c>
      <c r="BH322" s="31" t="s">
        <v>2598</v>
      </c>
      <c r="BI322" s="17" t="s">
        <v>4117</v>
      </c>
      <c r="BJ322" s="17" t="s">
        <v>4629</v>
      </c>
      <c r="BK322" s="17"/>
      <c r="BL322" s="17"/>
      <c r="BM322" s="17"/>
      <c r="BN322" s="17" t="s">
        <v>1163</v>
      </c>
      <c r="BO322" s="17" t="s">
        <v>4497</v>
      </c>
      <c r="BP322" s="17"/>
      <c r="BQ322" s="17"/>
      <c r="BR322" s="17"/>
      <c r="BS322" s="17" t="s">
        <v>127</v>
      </c>
      <c r="BT322" s="17"/>
      <c r="BU322" s="17" t="s">
        <v>129</v>
      </c>
      <c r="BV322" s="17"/>
      <c r="BW322" s="17" t="s">
        <v>4653</v>
      </c>
      <c r="BX322" s="13" t="s">
        <v>4716</v>
      </c>
      <c r="BY322" s="13" t="s">
        <v>4286</v>
      </c>
      <c r="DA322" s="13" t="s">
        <v>10348</v>
      </c>
      <c r="DB322" s="13" t="s">
        <v>10348</v>
      </c>
    </row>
    <row r="323" spans="1:106" s="13" customFormat="1" ht="12.75" customHeight="1" x14ac:dyDescent="0.2">
      <c r="A323" s="13" t="s">
        <v>102</v>
      </c>
      <c r="B323" s="13" t="s">
        <v>103</v>
      </c>
      <c r="D323" s="13" t="s">
        <v>4273</v>
      </c>
      <c r="E323" s="13" t="s">
        <v>471</v>
      </c>
      <c r="F323" s="13" t="s">
        <v>4273</v>
      </c>
      <c r="H323" s="13" t="s">
        <v>227</v>
      </c>
      <c r="J323" s="13" t="s">
        <v>106</v>
      </c>
      <c r="W323" s="13">
        <v>415</v>
      </c>
      <c r="X323" s="13">
        <v>415</v>
      </c>
      <c r="Y323" s="13" t="s">
        <v>107</v>
      </c>
      <c r="Z323" s="13" t="s">
        <v>108</v>
      </c>
      <c r="AA323" s="13" t="s">
        <v>107</v>
      </c>
      <c r="AB323" s="13" t="s">
        <v>4717</v>
      </c>
      <c r="AC323" s="13" t="s">
        <v>4717</v>
      </c>
      <c r="AD323" s="17">
        <v>496129</v>
      </c>
      <c r="AE323" s="35" t="s">
        <v>112</v>
      </c>
      <c r="AF323" s="13">
        <v>496129</v>
      </c>
      <c r="AG323" s="32" t="s">
        <v>4717</v>
      </c>
      <c r="AH323" s="35" t="s">
        <v>4718</v>
      </c>
      <c r="AL323" s="13" t="s">
        <v>4719</v>
      </c>
      <c r="AN323" s="13">
        <v>329</v>
      </c>
      <c r="AO323" s="13" t="s">
        <v>4720</v>
      </c>
      <c r="AQ323" s="13" t="s">
        <v>4717</v>
      </c>
      <c r="AR323" s="13" t="s">
        <v>4717</v>
      </c>
      <c r="AS323" s="13" t="s">
        <v>116</v>
      </c>
      <c r="AT323" s="13" t="s">
        <v>4721</v>
      </c>
      <c r="AU323" s="13" t="s">
        <v>4647</v>
      </c>
      <c r="AV323" s="13" t="s">
        <v>1127</v>
      </c>
      <c r="AW323" s="26"/>
      <c r="AX323" s="26"/>
      <c r="AY323" s="17" t="s">
        <v>4722</v>
      </c>
      <c r="AZ323" s="13" t="s">
        <v>4723</v>
      </c>
      <c r="BA323" s="13" t="s">
        <v>4723</v>
      </c>
      <c r="BB323" s="13" t="s">
        <v>4724</v>
      </c>
      <c r="BC323" s="13" t="s">
        <v>4725</v>
      </c>
      <c r="BD323" s="13">
        <f t="shared" si="11"/>
        <v>60</v>
      </c>
      <c r="BE323" s="17" t="s">
        <v>2453</v>
      </c>
      <c r="BF323" s="17" t="s">
        <v>1133</v>
      </c>
      <c r="BG323" s="17" t="s">
        <v>4652</v>
      </c>
      <c r="BH323" s="31" t="s">
        <v>2598</v>
      </c>
      <c r="BI323" s="17" t="s">
        <v>4117</v>
      </c>
      <c r="BJ323" s="17" t="s">
        <v>4640</v>
      </c>
      <c r="BK323" s="17"/>
      <c r="BL323" s="17"/>
      <c r="BM323" s="17"/>
      <c r="BN323" s="17" t="s">
        <v>1163</v>
      </c>
      <c r="BO323" s="17" t="s">
        <v>4497</v>
      </c>
      <c r="BP323" s="17"/>
      <c r="BQ323" s="17"/>
      <c r="BR323" s="17"/>
      <c r="BS323" s="17" t="s">
        <v>127</v>
      </c>
      <c r="BT323" s="17"/>
      <c r="BU323" s="17" t="s">
        <v>129</v>
      </c>
      <c r="BV323" s="17"/>
      <c r="BW323" s="17" t="s">
        <v>4653</v>
      </c>
      <c r="BX323" s="13" t="s">
        <v>4726</v>
      </c>
      <c r="DA323" s="13" t="s">
        <v>10348</v>
      </c>
      <c r="DB323" s="13" t="s">
        <v>10348</v>
      </c>
    </row>
    <row r="324" spans="1:106" s="13" customFormat="1" ht="12.75" customHeight="1" x14ac:dyDescent="0.2">
      <c r="A324" s="13" t="s">
        <v>102</v>
      </c>
      <c r="B324" s="13" t="s">
        <v>103</v>
      </c>
      <c r="D324" s="13" t="s">
        <v>4273</v>
      </c>
      <c r="E324" s="13" t="s">
        <v>4274</v>
      </c>
      <c r="F324" s="13" t="s">
        <v>4273</v>
      </c>
      <c r="H324" s="13" t="s">
        <v>227</v>
      </c>
      <c r="J324" s="13" t="s">
        <v>106</v>
      </c>
      <c r="W324" s="13">
        <v>416</v>
      </c>
      <c r="X324" s="13">
        <v>416</v>
      </c>
      <c r="Y324" s="13" t="s">
        <v>107</v>
      </c>
      <c r="Z324" s="13" t="s">
        <v>108</v>
      </c>
      <c r="AA324" s="13" t="s">
        <v>107</v>
      </c>
      <c r="AB324" s="13" t="s">
        <v>4727</v>
      </c>
      <c r="AC324" s="13" t="s">
        <v>4727</v>
      </c>
      <c r="AD324" s="17">
        <v>496133</v>
      </c>
      <c r="AE324" s="35" t="s">
        <v>112</v>
      </c>
      <c r="AF324" s="13">
        <v>496133</v>
      </c>
      <c r="AG324" s="32" t="s">
        <v>4727</v>
      </c>
      <c r="AH324" s="35" t="s">
        <v>4728</v>
      </c>
      <c r="AL324" s="13" t="s">
        <v>4729</v>
      </c>
      <c r="AN324" s="13">
        <v>329</v>
      </c>
      <c r="AO324" s="13" t="s">
        <v>4730</v>
      </c>
      <c r="AQ324" s="13" t="s">
        <v>4727</v>
      </c>
      <c r="AR324" s="13" t="s">
        <v>4727</v>
      </c>
      <c r="AS324" s="13" t="s">
        <v>116</v>
      </c>
      <c r="AT324" s="13" t="s">
        <v>4731</v>
      </c>
      <c r="AU324" s="13" t="s">
        <v>4732</v>
      </c>
      <c r="AV324" s="13" t="s">
        <v>1127</v>
      </c>
      <c r="AW324" s="26"/>
      <c r="AX324" s="26"/>
      <c r="AY324" s="17" t="s">
        <v>4733</v>
      </c>
      <c r="AZ324" s="13" t="s">
        <v>4734</v>
      </c>
      <c r="BA324" s="13" t="s">
        <v>4734</v>
      </c>
      <c r="BB324" s="13" t="s">
        <v>4735</v>
      </c>
      <c r="BC324" s="13" t="s">
        <v>4736</v>
      </c>
      <c r="BD324" s="13">
        <f t="shared" si="11"/>
        <v>54</v>
      </c>
      <c r="BE324" s="17" t="s">
        <v>2453</v>
      </c>
      <c r="BF324" s="17" t="s">
        <v>1133</v>
      </c>
      <c r="BG324" s="17" t="s">
        <v>4737</v>
      </c>
      <c r="BH324" s="31" t="s">
        <v>4738</v>
      </c>
      <c r="BI324" s="17"/>
      <c r="BJ324" s="17" t="s">
        <v>4531</v>
      </c>
      <c r="BK324" s="17"/>
      <c r="BL324" s="17"/>
      <c r="BM324" s="17"/>
      <c r="BN324" s="17"/>
      <c r="BO324" s="17" t="s">
        <v>4739</v>
      </c>
      <c r="BP324" s="17"/>
      <c r="BQ324" s="17"/>
      <c r="BR324" s="17"/>
      <c r="BS324" s="17" t="s">
        <v>127</v>
      </c>
      <c r="BT324" s="17"/>
      <c r="BU324" s="17" t="s">
        <v>129</v>
      </c>
      <c r="BV324" s="17"/>
      <c r="BW324" s="17"/>
      <c r="BX324" s="13" t="s">
        <v>4740</v>
      </c>
      <c r="BY324" s="13" t="s">
        <v>4286</v>
      </c>
      <c r="DA324" s="13" t="s">
        <v>10348</v>
      </c>
      <c r="DB324" s="13" t="s">
        <v>10348</v>
      </c>
    </row>
    <row r="325" spans="1:106" s="13" customFormat="1" ht="12.75" customHeight="1" x14ac:dyDescent="0.2">
      <c r="A325" s="13" t="s">
        <v>102</v>
      </c>
      <c r="B325" s="13" t="s">
        <v>103</v>
      </c>
      <c r="D325" s="13" t="s">
        <v>4273</v>
      </c>
      <c r="E325" s="13" t="s">
        <v>4274</v>
      </c>
      <c r="F325" s="13" t="s">
        <v>4273</v>
      </c>
      <c r="H325" s="13" t="s">
        <v>227</v>
      </c>
      <c r="J325" s="13" t="s">
        <v>106</v>
      </c>
      <c r="W325" s="13">
        <v>417</v>
      </c>
      <c r="X325" s="13">
        <v>417</v>
      </c>
      <c r="Y325" s="13" t="s">
        <v>107</v>
      </c>
      <c r="Z325" s="13" t="s">
        <v>108</v>
      </c>
      <c r="AA325" s="13" t="s">
        <v>107</v>
      </c>
      <c r="AB325" s="13" t="s">
        <v>4741</v>
      </c>
      <c r="AC325" s="13" t="s">
        <v>4741</v>
      </c>
      <c r="AD325" s="17">
        <v>496134</v>
      </c>
      <c r="AE325" s="35" t="s">
        <v>112</v>
      </c>
      <c r="AF325" s="13">
        <v>496134</v>
      </c>
      <c r="AG325" s="32" t="s">
        <v>4741</v>
      </c>
      <c r="AH325" s="35" t="s">
        <v>4742</v>
      </c>
      <c r="AL325" s="13" t="s">
        <v>4743</v>
      </c>
      <c r="AN325" s="13">
        <v>329</v>
      </c>
      <c r="AO325" s="13" t="s">
        <v>4744</v>
      </c>
      <c r="AQ325" s="13" t="s">
        <v>4741</v>
      </c>
      <c r="AR325" s="13" t="s">
        <v>4741</v>
      </c>
      <c r="AS325" s="13" t="s">
        <v>116</v>
      </c>
      <c r="AT325" s="13" t="s">
        <v>4745</v>
      </c>
      <c r="AU325" s="13" t="s">
        <v>4746</v>
      </c>
      <c r="AV325" s="13" t="s">
        <v>1127</v>
      </c>
      <c r="AW325" s="26"/>
      <c r="AX325" s="26"/>
      <c r="AY325" s="17" t="s">
        <v>4747</v>
      </c>
      <c r="AZ325" s="13" t="s">
        <v>4748</v>
      </c>
      <c r="BA325" s="13" t="s">
        <v>4748</v>
      </c>
      <c r="BB325" s="13" t="s">
        <v>4749</v>
      </c>
      <c r="BC325" s="13" t="s">
        <v>4750</v>
      </c>
      <c r="BD325" s="13">
        <f t="shared" ref="BD325:BD356" si="12">LEN(SUBSTITUTE(BC325, ", "," "))</f>
        <v>54</v>
      </c>
      <c r="BE325" s="17" t="s">
        <v>2453</v>
      </c>
      <c r="BF325" s="17" t="s">
        <v>1133</v>
      </c>
      <c r="BG325" s="17" t="s">
        <v>4737</v>
      </c>
      <c r="BH325" s="31" t="s">
        <v>4738</v>
      </c>
      <c r="BI325" s="17"/>
      <c r="BJ325" s="17" t="s">
        <v>4542</v>
      </c>
      <c r="BK325" s="17"/>
      <c r="BL325" s="17"/>
      <c r="BM325" s="17"/>
      <c r="BN325" s="17"/>
      <c r="BO325" s="17" t="s">
        <v>4739</v>
      </c>
      <c r="BP325" s="17"/>
      <c r="BQ325" s="17"/>
      <c r="BR325" s="17"/>
      <c r="BS325" s="17" t="s">
        <v>127</v>
      </c>
      <c r="BT325" s="17"/>
      <c r="BU325" s="17" t="s">
        <v>129</v>
      </c>
      <c r="BV325" s="17"/>
      <c r="BW325" s="17"/>
      <c r="BX325" s="13" t="s">
        <v>4751</v>
      </c>
      <c r="BY325" s="13" t="s">
        <v>4286</v>
      </c>
      <c r="DA325" s="13" t="s">
        <v>10348</v>
      </c>
      <c r="DB325" s="13" t="s">
        <v>10348</v>
      </c>
    </row>
    <row r="326" spans="1:106" s="13" customFormat="1" ht="12.75" customHeight="1" x14ac:dyDescent="0.2">
      <c r="A326" s="13" t="s">
        <v>102</v>
      </c>
      <c r="B326" s="13" t="s">
        <v>103</v>
      </c>
      <c r="D326" s="13" t="s">
        <v>4273</v>
      </c>
      <c r="E326" s="13" t="s">
        <v>4274</v>
      </c>
      <c r="F326" s="13" t="s">
        <v>4273</v>
      </c>
      <c r="H326" s="13" t="s">
        <v>227</v>
      </c>
      <c r="J326" s="13" t="s">
        <v>106</v>
      </c>
      <c r="W326" s="13">
        <v>418</v>
      </c>
      <c r="X326" s="13">
        <v>418</v>
      </c>
      <c r="Y326" s="13" t="s">
        <v>107</v>
      </c>
      <c r="Z326" s="13" t="s">
        <v>108</v>
      </c>
      <c r="AA326" s="13" t="s">
        <v>107</v>
      </c>
      <c r="AB326" s="13" t="s">
        <v>4752</v>
      </c>
      <c r="AC326" s="13" t="s">
        <v>4752</v>
      </c>
      <c r="AD326" s="17">
        <v>496135</v>
      </c>
      <c r="AE326" s="35" t="s">
        <v>112</v>
      </c>
      <c r="AF326" s="13">
        <v>496135</v>
      </c>
      <c r="AG326" s="32" t="s">
        <v>4752</v>
      </c>
      <c r="AH326" s="35" t="s">
        <v>4753</v>
      </c>
      <c r="AL326" s="13" t="s">
        <v>4754</v>
      </c>
      <c r="AN326" s="13">
        <v>329</v>
      </c>
      <c r="AO326" s="13" t="s">
        <v>4755</v>
      </c>
      <c r="AQ326" s="13" t="s">
        <v>4752</v>
      </c>
      <c r="AR326" s="13" t="s">
        <v>4752</v>
      </c>
      <c r="AS326" s="13" t="s">
        <v>116</v>
      </c>
      <c r="AT326" s="13" t="s">
        <v>4756</v>
      </c>
      <c r="AU326" s="13" t="s">
        <v>4746</v>
      </c>
      <c r="AV326" s="13" t="s">
        <v>1127</v>
      </c>
      <c r="AW326" s="26"/>
      <c r="AX326" s="26"/>
      <c r="AY326" s="17" t="s">
        <v>4757</v>
      </c>
      <c r="AZ326" s="13" t="s">
        <v>4758</v>
      </c>
      <c r="BA326" s="13" t="s">
        <v>4758</v>
      </c>
      <c r="BB326" s="13" t="s">
        <v>4759</v>
      </c>
      <c r="BC326" s="13" t="s">
        <v>4760</v>
      </c>
      <c r="BD326" s="13">
        <f t="shared" si="12"/>
        <v>56</v>
      </c>
      <c r="BE326" s="17" t="s">
        <v>2453</v>
      </c>
      <c r="BF326" s="17" t="s">
        <v>1133</v>
      </c>
      <c r="BG326" s="17" t="s">
        <v>4737</v>
      </c>
      <c r="BH326" s="31" t="s">
        <v>4738</v>
      </c>
      <c r="BI326" s="17"/>
      <c r="BJ326" s="17" t="s">
        <v>4761</v>
      </c>
      <c r="BK326" s="17"/>
      <c r="BL326" s="17"/>
      <c r="BM326" s="17"/>
      <c r="BN326" s="17"/>
      <c r="BO326" s="17" t="s">
        <v>4739</v>
      </c>
      <c r="BP326" s="17"/>
      <c r="BQ326" s="17"/>
      <c r="BR326" s="17"/>
      <c r="BS326" s="17" t="s">
        <v>127</v>
      </c>
      <c r="BT326" s="17"/>
      <c r="BU326" s="17" t="s">
        <v>129</v>
      </c>
      <c r="BV326" s="17"/>
      <c r="BW326" s="17"/>
      <c r="BX326" s="13" t="s">
        <v>4762</v>
      </c>
      <c r="BY326" s="13" t="s">
        <v>4286</v>
      </c>
      <c r="DA326" s="13" t="s">
        <v>10348</v>
      </c>
      <c r="DB326" s="13" t="s">
        <v>10348</v>
      </c>
    </row>
    <row r="327" spans="1:106" s="13" customFormat="1" ht="12.75" customHeight="1" x14ac:dyDescent="0.2">
      <c r="A327" s="13" t="s">
        <v>102</v>
      </c>
      <c r="B327" s="13" t="s">
        <v>103</v>
      </c>
      <c r="D327" s="13" t="s">
        <v>4273</v>
      </c>
      <c r="E327" s="13" t="s">
        <v>4274</v>
      </c>
      <c r="F327" s="13" t="s">
        <v>4273</v>
      </c>
      <c r="H327" s="13" t="s">
        <v>227</v>
      </c>
      <c r="J327" s="13" t="s">
        <v>106</v>
      </c>
      <c r="W327" s="13">
        <v>419</v>
      </c>
      <c r="X327" s="13">
        <v>419</v>
      </c>
      <c r="Y327" s="13" t="s">
        <v>107</v>
      </c>
      <c r="Z327" s="13" t="s">
        <v>108</v>
      </c>
      <c r="AA327" s="13" t="s">
        <v>107</v>
      </c>
      <c r="AB327" s="13" t="s">
        <v>4763</v>
      </c>
      <c r="AC327" s="13" t="s">
        <v>4763</v>
      </c>
      <c r="AD327" s="17">
        <v>496136</v>
      </c>
      <c r="AE327" s="35" t="s">
        <v>112</v>
      </c>
      <c r="AF327" s="13">
        <v>496136</v>
      </c>
      <c r="AG327" s="32" t="s">
        <v>4763</v>
      </c>
      <c r="AH327" s="35" t="s">
        <v>4764</v>
      </c>
      <c r="AL327" s="13" t="s">
        <v>4765</v>
      </c>
      <c r="AN327" s="13">
        <v>329</v>
      </c>
      <c r="AO327" s="13" t="s">
        <v>4766</v>
      </c>
      <c r="AQ327" s="13" t="s">
        <v>4763</v>
      </c>
      <c r="AR327" s="13" t="s">
        <v>4763</v>
      </c>
      <c r="AS327" s="13" t="s">
        <v>116</v>
      </c>
      <c r="AT327" s="13" t="s">
        <v>4767</v>
      </c>
      <c r="AU327" s="13" t="s">
        <v>4746</v>
      </c>
      <c r="AV327" s="13" t="s">
        <v>1127</v>
      </c>
      <c r="AW327" s="26"/>
      <c r="AX327" s="26"/>
      <c r="AY327" s="17" t="s">
        <v>4768</v>
      </c>
      <c r="AZ327" s="13" t="s">
        <v>4769</v>
      </c>
      <c r="BA327" s="13" t="s">
        <v>4769</v>
      </c>
      <c r="BB327" s="13" t="s">
        <v>4770</v>
      </c>
      <c r="BC327" s="13" t="s">
        <v>4771</v>
      </c>
      <c r="BD327" s="13">
        <f t="shared" si="12"/>
        <v>54</v>
      </c>
      <c r="BE327" s="17" t="s">
        <v>2453</v>
      </c>
      <c r="BF327" s="17" t="s">
        <v>1133</v>
      </c>
      <c r="BG327" s="17" t="s">
        <v>4737</v>
      </c>
      <c r="BH327" s="31" t="s">
        <v>4738</v>
      </c>
      <c r="BI327" s="17"/>
      <c r="BJ327" s="17" t="s">
        <v>4553</v>
      </c>
      <c r="BK327" s="17"/>
      <c r="BL327" s="17"/>
      <c r="BM327" s="17"/>
      <c r="BN327" s="17"/>
      <c r="BO327" s="17" t="s">
        <v>4739</v>
      </c>
      <c r="BP327" s="17"/>
      <c r="BQ327" s="17"/>
      <c r="BR327" s="17"/>
      <c r="BS327" s="17" t="s">
        <v>127</v>
      </c>
      <c r="BT327" s="17"/>
      <c r="BU327" s="17" t="s">
        <v>129</v>
      </c>
      <c r="BV327" s="17"/>
      <c r="BW327" s="17"/>
      <c r="BX327" s="13" t="s">
        <v>4772</v>
      </c>
      <c r="BY327" s="13" t="s">
        <v>4286</v>
      </c>
      <c r="DA327" s="13" t="s">
        <v>10348</v>
      </c>
      <c r="DB327" s="13" t="s">
        <v>10348</v>
      </c>
    </row>
    <row r="328" spans="1:106" s="13" customFormat="1" ht="12.75" customHeight="1" x14ac:dyDescent="0.2">
      <c r="A328" s="13" t="s">
        <v>102</v>
      </c>
      <c r="B328" s="13" t="s">
        <v>103</v>
      </c>
      <c r="D328" s="13" t="s">
        <v>4273</v>
      </c>
      <c r="E328" s="13" t="s">
        <v>4274</v>
      </c>
      <c r="F328" s="13" t="s">
        <v>4273</v>
      </c>
      <c r="H328" s="13" t="s">
        <v>7712</v>
      </c>
      <c r="J328" s="13" t="s">
        <v>106</v>
      </c>
      <c r="W328" s="13">
        <v>420</v>
      </c>
      <c r="X328" s="13">
        <v>420</v>
      </c>
      <c r="Y328" s="13" t="s">
        <v>107</v>
      </c>
      <c r="Z328" s="13" t="s">
        <v>108</v>
      </c>
      <c r="AA328" s="13" t="s">
        <v>107</v>
      </c>
      <c r="AB328" s="13" t="s">
        <v>4773</v>
      </c>
      <c r="AC328" s="13" t="s">
        <v>4773</v>
      </c>
      <c r="AD328" s="17">
        <v>496141</v>
      </c>
      <c r="AE328" s="35" t="s">
        <v>112</v>
      </c>
      <c r="AF328" s="13">
        <v>496141</v>
      </c>
      <c r="AG328" s="32" t="s">
        <v>4773</v>
      </c>
      <c r="AH328" s="35" t="s">
        <v>4774</v>
      </c>
      <c r="AL328" s="13" t="s">
        <v>4775</v>
      </c>
      <c r="AN328" s="13">
        <v>329</v>
      </c>
      <c r="AO328" s="13" t="s">
        <v>4776</v>
      </c>
      <c r="AQ328" s="13" t="s">
        <v>4773</v>
      </c>
      <c r="AR328" s="13" t="s">
        <v>4773</v>
      </c>
      <c r="AS328" s="13" t="s">
        <v>116</v>
      </c>
      <c r="AT328" s="13" t="s">
        <v>4777</v>
      </c>
      <c r="AU328" s="13" t="s">
        <v>4778</v>
      </c>
      <c r="AV328" s="13" t="s">
        <v>1127</v>
      </c>
      <c r="AW328" s="26"/>
      <c r="AX328" s="26"/>
      <c r="AY328" s="17" t="s">
        <v>4779</v>
      </c>
      <c r="AZ328" s="13" t="s">
        <v>4780</v>
      </c>
      <c r="BA328" s="13" t="s">
        <v>4780</v>
      </c>
      <c r="BB328" s="13" t="s">
        <v>4781</v>
      </c>
      <c r="BC328" s="13" t="s">
        <v>4782</v>
      </c>
      <c r="BD328" s="13">
        <f t="shared" si="12"/>
        <v>51</v>
      </c>
      <c r="BE328" s="17" t="s">
        <v>2453</v>
      </c>
      <c r="BF328" s="17" t="s">
        <v>1133</v>
      </c>
      <c r="BG328" s="17" t="s">
        <v>4783</v>
      </c>
      <c r="BH328" s="31" t="s">
        <v>4738</v>
      </c>
      <c r="BI328" s="17"/>
      <c r="BJ328" s="17" t="s">
        <v>4509</v>
      </c>
      <c r="BK328" s="17"/>
      <c r="BL328" s="17"/>
      <c r="BM328" s="17"/>
      <c r="BN328" s="17" t="s">
        <v>1163</v>
      </c>
      <c r="BO328" s="17" t="s">
        <v>4497</v>
      </c>
      <c r="BP328" s="17"/>
      <c r="BQ328" s="17"/>
      <c r="BR328" s="17"/>
      <c r="BS328" s="17" t="s">
        <v>127</v>
      </c>
      <c r="BT328" s="17"/>
      <c r="BU328" s="17" t="s">
        <v>129</v>
      </c>
      <c r="BV328" s="17"/>
      <c r="BW328" s="17">
        <v>3</v>
      </c>
      <c r="BX328" s="13" t="s">
        <v>4784</v>
      </c>
      <c r="BY328" s="13" t="s">
        <v>4286</v>
      </c>
      <c r="DA328" s="13" t="s">
        <v>10348</v>
      </c>
      <c r="DB328" s="13" t="s">
        <v>10348</v>
      </c>
    </row>
    <row r="329" spans="1:106" s="13" customFormat="1" ht="12.75" customHeight="1" x14ac:dyDescent="0.2">
      <c r="A329" s="13" t="s">
        <v>102</v>
      </c>
      <c r="B329" s="13" t="s">
        <v>103</v>
      </c>
      <c r="D329" s="13" t="s">
        <v>4273</v>
      </c>
      <c r="E329" s="13" t="s">
        <v>4274</v>
      </c>
      <c r="F329" s="13" t="s">
        <v>4273</v>
      </c>
      <c r="H329" s="13" t="s">
        <v>7712</v>
      </c>
      <c r="J329" s="13" t="s">
        <v>106</v>
      </c>
      <c r="W329" s="13">
        <v>421</v>
      </c>
      <c r="X329" s="13">
        <v>421</v>
      </c>
      <c r="Y329" s="13" t="s">
        <v>107</v>
      </c>
      <c r="Z329" s="13" t="s">
        <v>108</v>
      </c>
      <c r="AA329" s="13" t="s">
        <v>107</v>
      </c>
      <c r="AB329" s="13" t="s">
        <v>4785</v>
      </c>
      <c r="AC329" s="13" t="s">
        <v>4785</v>
      </c>
      <c r="AD329" s="17">
        <v>496142</v>
      </c>
      <c r="AE329" s="35" t="s">
        <v>112</v>
      </c>
      <c r="AF329" s="13">
        <v>496142</v>
      </c>
      <c r="AG329" s="32" t="s">
        <v>4785</v>
      </c>
      <c r="AH329" s="35" t="s">
        <v>4786</v>
      </c>
      <c r="AL329" s="13" t="s">
        <v>4787</v>
      </c>
      <c r="AN329" s="13">
        <v>329</v>
      </c>
      <c r="AO329" s="13" t="s">
        <v>4788</v>
      </c>
      <c r="AQ329" s="13" t="s">
        <v>4785</v>
      </c>
      <c r="AR329" s="13" t="s">
        <v>4785</v>
      </c>
      <c r="AS329" s="13" t="s">
        <v>116</v>
      </c>
      <c r="AT329" s="13" t="s">
        <v>4789</v>
      </c>
      <c r="AU329" s="13" t="s">
        <v>4778</v>
      </c>
      <c r="AV329" s="13" t="s">
        <v>1127</v>
      </c>
      <c r="AW329" s="26"/>
      <c r="AX329" s="26"/>
      <c r="AY329" s="17" t="s">
        <v>4790</v>
      </c>
      <c r="AZ329" s="13" t="s">
        <v>4791</v>
      </c>
      <c r="BA329" s="13" t="s">
        <v>4791</v>
      </c>
      <c r="BB329" s="13" t="s">
        <v>4792</v>
      </c>
      <c r="BC329" s="13" t="s">
        <v>4793</v>
      </c>
      <c r="BD329" s="13">
        <f t="shared" si="12"/>
        <v>51</v>
      </c>
      <c r="BE329" s="17" t="s">
        <v>2453</v>
      </c>
      <c r="BF329" s="17" t="s">
        <v>1133</v>
      </c>
      <c r="BG329" s="17" t="s">
        <v>4783</v>
      </c>
      <c r="BH329" s="31" t="s">
        <v>4738</v>
      </c>
      <c r="BI329" s="17"/>
      <c r="BJ329" s="17" t="s">
        <v>4520</v>
      </c>
      <c r="BK329" s="17"/>
      <c r="BL329" s="17"/>
      <c r="BM329" s="17"/>
      <c r="BN329" s="17" t="s">
        <v>1163</v>
      </c>
      <c r="BO329" s="17" t="s">
        <v>4497</v>
      </c>
      <c r="BP329" s="17"/>
      <c r="BQ329" s="17"/>
      <c r="BR329" s="17"/>
      <c r="BS329" s="17" t="s">
        <v>127</v>
      </c>
      <c r="BT329" s="17"/>
      <c r="BU329" s="17" t="s">
        <v>129</v>
      </c>
      <c r="BV329" s="17"/>
      <c r="BW329" s="17">
        <v>3</v>
      </c>
      <c r="BX329" s="13" t="s">
        <v>4794</v>
      </c>
      <c r="BY329" s="13" t="s">
        <v>4286</v>
      </c>
      <c r="DA329" s="13" t="s">
        <v>10348</v>
      </c>
      <c r="DB329" s="13" t="s">
        <v>10348</v>
      </c>
    </row>
    <row r="330" spans="1:106" s="13" customFormat="1" ht="12.75" customHeight="1" x14ac:dyDescent="0.2">
      <c r="A330" s="13" t="s">
        <v>102</v>
      </c>
      <c r="B330" s="13" t="s">
        <v>103</v>
      </c>
      <c r="D330" s="13" t="s">
        <v>4273</v>
      </c>
      <c r="E330" s="13" t="s">
        <v>4274</v>
      </c>
      <c r="F330" s="13" t="s">
        <v>4273</v>
      </c>
      <c r="H330" s="13" t="s">
        <v>7712</v>
      </c>
      <c r="J330" s="13" t="s">
        <v>106</v>
      </c>
      <c r="W330" s="13">
        <v>422</v>
      </c>
      <c r="X330" s="13">
        <v>422</v>
      </c>
      <c r="Y330" s="13" t="s">
        <v>107</v>
      </c>
      <c r="Z330" s="13" t="s">
        <v>108</v>
      </c>
      <c r="AA330" s="13" t="s">
        <v>107</v>
      </c>
      <c r="AB330" s="13" t="s">
        <v>4795</v>
      </c>
      <c r="AC330" s="13" t="s">
        <v>4795</v>
      </c>
      <c r="AD330" s="17">
        <v>496150</v>
      </c>
      <c r="AE330" s="35" t="s">
        <v>112</v>
      </c>
      <c r="AF330" s="13">
        <v>496150</v>
      </c>
      <c r="AG330" s="32" t="s">
        <v>4795</v>
      </c>
      <c r="AH330" s="35" t="s">
        <v>4796</v>
      </c>
      <c r="AL330" s="13" t="s">
        <v>4797</v>
      </c>
      <c r="AN330" s="13">
        <v>329</v>
      </c>
      <c r="AO330" s="13" t="s">
        <v>4798</v>
      </c>
      <c r="AQ330" s="13" t="s">
        <v>4795</v>
      </c>
      <c r="AR330" s="13" t="s">
        <v>4795</v>
      </c>
      <c r="AS330" s="13" t="s">
        <v>116</v>
      </c>
      <c r="AT330" s="13" t="s">
        <v>4799</v>
      </c>
      <c r="AU330" s="13" t="s">
        <v>4800</v>
      </c>
      <c r="AV330" s="13" t="s">
        <v>1127</v>
      </c>
      <c r="AW330" s="26"/>
      <c r="AX330" s="26"/>
      <c r="AY330" s="17" t="s">
        <v>4801</v>
      </c>
      <c r="AZ330" s="13" t="s">
        <v>4802</v>
      </c>
      <c r="BA330" s="13" t="s">
        <v>4802</v>
      </c>
      <c r="BB330" s="13" t="s">
        <v>4803</v>
      </c>
      <c r="BC330" s="13" t="s">
        <v>4804</v>
      </c>
      <c r="BD330" s="13">
        <f t="shared" si="12"/>
        <v>59</v>
      </c>
      <c r="BE330" s="17" t="s">
        <v>2453</v>
      </c>
      <c r="BF330" s="17" t="s">
        <v>1133</v>
      </c>
      <c r="BG330" s="17" t="s">
        <v>4737</v>
      </c>
      <c r="BH330" s="31" t="s">
        <v>4616</v>
      </c>
      <c r="BI330" s="17"/>
      <c r="BJ330" s="17" t="s">
        <v>4496</v>
      </c>
      <c r="BK330" s="17"/>
      <c r="BL330" s="17"/>
      <c r="BM330" s="17"/>
      <c r="BN330" s="17" t="s">
        <v>1163</v>
      </c>
      <c r="BO330" s="17" t="s">
        <v>4805</v>
      </c>
      <c r="BP330" s="17"/>
      <c r="BQ330" s="17"/>
      <c r="BR330" s="17"/>
      <c r="BS330" s="17" t="s">
        <v>127</v>
      </c>
      <c r="BT330" s="17"/>
      <c r="BU330" s="17" t="s">
        <v>129</v>
      </c>
      <c r="BV330" s="17"/>
      <c r="BW330" s="17"/>
      <c r="BX330" s="13" t="s">
        <v>4806</v>
      </c>
      <c r="BY330" s="13" t="s">
        <v>4286</v>
      </c>
      <c r="DA330" s="13" t="s">
        <v>10348</v>
      </c>
      <c r="DB330" s="13" t="s">
        <v>10348</v>
      </c>
    </row>
    <row r="331" spans="1:106" s="13" customFormat="1" ht="12.75" customHeight="1" x14ac:dyDescent="0.2">
      <c r="A331" s="13" t="s">
        <v>102</v>
      </c>
      <c r="B331" s="13" t="s">
        <v>103</v>
      </c>
      <c r="D331" s="13" t="s">
        <v>4273</v>
      </c>
      <c r="E331" s="13" t="s">
        <v>4274</v>
      </c>
      <c r="F331" s="13" t="s">
        <v>4273</v>
      </c>
      <c r="H331" s="13" t="s">
        <v>7712</v>
      </c>
      <c r="J331" s="13" t="s">
        <v>106</v>
      </c>
      <c r="W331" s="13">
        <v>423</v>
      </c>
      <c r="X331" s="13">
        <v>423</v>
      </c>
      <c r="Y331" s="13" t="s">
        <v>107</v>
      </c>
      <c r="Z331" s="13" t="s">
        <v>108</v>
      </c>
      <c r="AA331" s="13" t="s">
        <v>107</v>
      </c>
      <c r="AB331" s="13" t="s">
        <v>4807</v>
      </c>
      <c r="AC331" s="13" t="s">
        <v>4807</v>
      </c>
      <c r="AD331" s="17">
        <v>496151</v>
      </c>
      <c r="AE331" s="35" t="s">
        <v>112</v>
      </c>
      <c r="AF331" s="13">
        <v>496151</v>
      </c>
      <c r="AG331" s="32" t="s">
        <v>4807</v>
      </c>
      <c r="AH331" s="35" t="s">
        <v>4808</v>
      </c>
      <c r="AL331" s="13" t="s">
        <v>4809</v>
      </c>
      <c r="AN331" s="13">
        <v>329</v>
      </c>
      <c r="AO331" s="13" t="s">
        <v>4810</v>
      </c>
      <c r="AQ331" s="13" t="s">
        <v>4807</v>
      </c>
      <c r="AR331" s="13" t="s">
        <v>4807</v>
      </c>
      <c r="AS331" s="13" t="s">
        <v>116</v>
      </c>
      <c r="AT331" s="13" t="s">
        <v>4811</v>
      </c>
      <c r="AU331" s="13" t="s">
        <v>4812</v>
      </c>
      <c r="AV331" s="13" t="s">
        <v>1127</v>
      </c>
      <c r="AW331" s="26"/>
      <c r="AX331" s="26"/>
      <c r="AY331" s="17" t="s">
        <v>4813</v>
      </c>
      <c r="AZ331" s="13" t="s">
        <v>4814</v>
      </c>
      <c r="BA331" s="13" t="s">
        <v>4814</v>
      </c>
      <c r="BB331" s="13" t="s">
        <v>4815</v>
      </c>
      <c r="BC331" s="13" t="s">
        <v>4816</v>
      </c>
      <c r="BD331" s="13">
        <f t="shared" si="12"/>
        <v>59</v>
      </c>
      <c r="BE331" s="17" t="s">
        <v>2453</v>
      </c>
      <c r="BF331" s="17" t="s">
        <v>1133</v>
      </c>
      <c r="BG331" s="17" t="s">
        <v>4737</v>
      </c>
      <c r="BH331" s="31" t="s">
        <v>4738</v>
      </c>
      <c r="BI331" s="17"/>
      <c r="BJ331" s="17" t="s">
        <v>4509</v>
      </c>
      <c r="BK331" s="17"/>
      <c r="BL331" s="17"/>
      <c r="BM331" s="17"/>
      <c r="BN331" s="17" t="s">
        <v>1163</v>
      </c>
      <c r="BO331" s="17" t="s">
        <v>4805</v>
      </c>
      <c r="BP331" s="17"/>
      <c r="BQ331" s="17"/>
      <c r="BR331" s="17"/>
      <c r="BS331" s="17" t="s">
        <v>127</v>
      </c>
      <c r="BT331" s="17"/>
      <c r="BU331" s="17" t="s">
        <v>129</v>
      </c>
      <c r="BV331" s="17"/>
      <c r="BW331" s="17"/>
      <c r="BX331" s="13" t="s">
        <v>4817</v>
      </c>
      <c r="BY331" s="13" t="s">
        <v>4286</v>
      </c>
      <c r="DA331" s="13" t="s">
        <v>10348</v>
      </c>
      <c r="DB331" s="13" t="s">
        <v>10348</v>
      </c>
    </row>
    <row r="332" spans="1:106" s="13" customFormat="1" ht="12.75" customHeight="1" x14ac:dyDescent="0.2">
      <c r="A332" s="13" t="s">
        <v>102</v>
      </c>
      <c r="B332" s="13" t="s">
        <v>103</v>
      </c>
      <c r="D332" s="13" t="s">
        <v>4273</v>
      </c>
      <c r="E332" s="13" t="s">
        <v>4274</v>
      </c>
      <c r="F332" s="13" t="s">
        <v>4273</v>
      </c>
      <c r="H332" s="13" t="s">
        <v>7712</v>
      </c>
      <c r="J332" s="13" t="s">
        <v>106</v>
      </c>
      <c r="W332" s="13">
        <v>424</v>
      </c>
      <c r="X332" s="13">
        <v>424</v>
      </c>
      <c r="Y332" s="13" t="s">
        <v>107</v>
      </c>
      <c r="Z332" s="13" t="s">
        <v>108</v>
      </c>
      <c r="AA332" s="13" t="s">
        <v>107</v>
      </c>
      <c r="AB332" s="13" t="s">
        <v>4818</v>
      </c>
      <c r="AC332" s="13" t="s">
        <v>4818</v>
      </c>
      <c r="AD332" s="17">
        <v>496152</v>
      </c>
      <c r="AE332" s="35" t="s">
        <v>112</v>
      </c>
      <c r="AF332" s="13">
        <v>496152</v>
      </c>
      <c r="AG332" s="32" t="s">
        <v>4818</v>
      </c>
      <c r="AH332" s="35" t="s">
        <v>4819</v>
      </c>
      <c r="AL332" s="13" t="s">
        <v>4820</v>
      </c>
      <c r="AN332" s="13">
        <v>329</v>
      </c>
      <c r="AO332" s="13" t="s">
        <v>4821</v>
      </c>
      <c r="AQ332" s="13" t="s">
        <v>4818</v>
      </c>
      <c r="AR332" s="13" t="s">
        <v>4818</v>
      </c>
      <c r="AS332" s="13" t="s">
        <v>116</v>
      </c>
      <c r="AT332" s="13" t="s">
        <v>4822</v>
      </c>
      <c r="AU332" s="13" t="s">
        <v>4812</v>
      </c>
      <c r="AV332" s="13" t="s">
        <v>1127</v>
      </c>
      <c r="AW332" s="26"/>
      <c r="AX332" s="26"/>
      <c r="AY332" s="17" t="s">
        <v>4823</v>
      </c>
      <c r="AZ332" s="13" t="s">
        <v>4824</v>
      </c>
      <c r="BA332" s="13" t="s">
        <v>4824</v>
      </c>
      <c r="BB332" s="13" t="s">
        <v>4825</v>
      </c>
      <c r="BC332" s="13" t="s">
        <v>4826</v>
      </c>
      <c r="BD332" s="13">
        <f t="shared" si="12"/>
        <v>59</v>
      </c>
      <c r="BE332" s="17" t="s">
        <v>2453</v>
      </c>
      <c r="BF332" s="17" t="s">
        <v>1133</v>
      </c>
      <c r="BG332" s="17" t="s">
        <v>4737</v>
      </c>
      <c r="BH332" s="31" t="s">
        <v>4738</v>
      </c>
      <c r="BI332" s="17"/>
      <c r="BJ332" s="17" t="s">
        <v>4520</v>
      </c>
      <c r="BK332" s="17"/>
      <c r="BL332" s="17"/>
      <c r="BM332" s="17"/>
      <c r="BN332" s="17" t="s">
        <v>1163</v>
      </c>
      <c r="BO332" s="17" t="s">
        <v>4805</v>
      </c>
      <c r="BP332" s="17"/>
      <c r="BQ332" s="17"/>
      <c r="BR332" s="17"/>
      <c r="BS332" s="17" t="s">
        <v>127</v>
      </c>
      <c r="BT332" s="17"/>
      <c r="BU332" s="17" t="s">
        <v>129</v>
      </c>
      <c r="BV332" s="17"/>
      <c r="BW332" s="17"/>
      <c r="BX332" s="13" t="s">
        <v>4827</v>
      </c>
      <c r="BY332" s="13" t="s">
        <v>4286</v>
      </c>
      <c r="DA332" s="13" t="s">
        <v>10348</v>
      </c>
      <c r="DB332" s="13" t="s">
        <v>10348</v>
      </c>
    </row>
    <row r="333" spans="1:106" s="13" customFormat="1" ht="12.75" customHeight="1" x14ac:dyDescent="0.2">
      <c r="A333" s="13" t="s">
        <v>102</v>
      </c>
      <c r="B333" s="13" t="s">
        <v>103</v>
      </c>
      <c r="D333" s="13" t="s">
        <v>4273</v>
      </c>
      <c r="E333" s="13" t="s">
        <v>4274</v>
      </c>
      <c r="F333" s="13" t="s">
        <v>4273</v>
      </c>
      <c r="H333" s="13" t="s">
        <v>7712</v>
      </c>
      <c r="J333" s="13" t="s">
        <v>106</v>
      </c>
      <c r="W333" s="13">
        <v>425</v>
      </c>
      <c r="X333" s="13">
        <v>425</v>
      </c>
      <c r="Y333" s="13" t="s">
        <v>107</v>
      </c>
      <c r="Z333" s="13" t="s">
        <v>108</v>
      </c>
      <c r="AA333" s="13" t="s">
        <v>107</v>
      </c>
      <c r="AB333" s="13" t="s">
        <v>4828</v>
      </c>
      <c r="AC333" s="13" t="s">
        <v>4828</v>
      </c>
      <c r="AD333" s="17">
        <v>496153</v>
      </c>
      <c r="AE333" s="35" t="s">
        <v>112</v>
      </c>
      <c r="AF333" s="13">
        <v>496153</v>
      </c>
      <c r="AG333" s="32" t="s">
        <v>4828</v>
      </c>
      <c r="AH333" s="35" t="s">
        <v>4829</v>
      </c>
      <c r="AL333" s="13" t="s">
        <v>4830</v>
      </c>
      <c r="AN333" s="13">
        <v>329</v>
      </c>
      <c r="AO333" s="13" t="s">
        <v>4831</v>
      </c>
      <c r="AQ333" s="13" t="s">
        <v>4828</v>
      </c>
      <c r="AR333" s="13" t="s">
        <v>4828</v>
      </c>
      <c r="AS333" s="13" t="s">
        <v>116</v>
      </c>
      <c r="AT333" s="13" t="s">
        <v>4832</v>
      </c>
      <c r="AU333" s="13" t="s">
        <v>4832</v>
      </c>
      <c r="AV333" s="13" t="s">
        <v>1127</v>
      </c>
      <c r="AW333" s="26"/>
      <c r="AX333" s="26"/>
      <c r="AY333" s="17" t="s">
        <v>4833</v>
      </c>
      <c r="AZ333" s="13" t="s">
        <v>4834</v>
      </c>
      <c r="BA333" s="13" t="s">
        <v>4834</v>
      </c>
      <c r="BB333" s="13" t="s">
        <v>4835</v>
      </c>
      <c r="BC333" s="13" t="s">
        <v>4836</v>
      </c>
      <c r="BD333" s="13">
        <f t="shared" si="12"/>
        <v>59</v>
      </c>
      <c r="BE333" s="17" t="s">
        <v>2453</v>
      </c>
      <c r="BF333" s="17" t="s">
        <v>1133</v>
      </c>
      <c r="BG333" s="17" t="s">
        <v>4737</v>
      </c>
      <c r="BH333" s="31" t="s">
        <v>4738</v>
      </c>
      <c r="BI333" s="17"/>
      <c r="BJ333" s="17" t="s">
        <v>4531</v>
      </c>
      <c r="BK333" s="17"/>
      <c r="BL333" s="17"/>
      <c r="BM333" s="17"/>
      <c r="BN333" s="17" t="s">
        <v>1163</v>
      </c>
      <c r="BO333" s="17" t="s">
        <v>4805</v>
      </c>
      <c r="BP333" s="17"/>
      <c r="BQ333" s="17"/>
      <c r="BR333" s="17"/>
      <c r="BS333" s="17" t="s">
        <v>127</v>
      </c>
      <c r="BT333" s="17"/>
      <c r="BU333" s="17" t="s">
        <v>129</v>
      </c>
      <c r="BV333" s="17"/>
      <c r="BW333" s="17"/>
      <c r="BX333" s="13" t="s">
        <v>4837</v>
      </c>
      <c r="BY333" s="13" t="s">
        <v>4286</v>
      </c>
      <c r="DA333" s="13" t="s">
        <v>10348</v>
      </c>
      <c r="DB333" s="13" t="s">
        <v>10348</v>
      </c>
    </row>
    <row r="334" spans="1:106" s="13" customFormat="1" ht="12.75" customHeight="1" x14ac:dyDescent="0.2">
      <c r="A334" s="13" t="s">
        <v>102</v>
      </c>
      <c r="B334" s="13" t="s">
        <v>103</v>
      </c>
      <c r="D334" s="13" t="s">
        <v>4273</v>
      </c>
      <c r="E334" s="13" t="s">
        <v>4274</v>
      </c>
      <c r="F334" s="13" t="s">
        <v>4273</v>
      </c>
      <c r="H334" s="13" t="s">
        <v>7712</v>
      </c>
      <c r="J334" s="13" t="s">
        <v>106</v>
      </c>
      <c r="W334" s="13">
        <v>426</v>
      </c>
      <c r="X334" s="13">
        <v>426</v>
      </c>
      <c r="Y334" s="13" t="s">
        <v>107</v>
      </c>
      <c r="Z334" s="13" t="s">
        <v>108</v>
      </c>
      <c r="AA334" s="13" t="s">
        <v>107</v>
      </c>
      <c r="AB334" s="13" t="s">
        <v>4838</v>
      </c>
      <c r="AC334" s="13" t="s">
        <v>4838</v>
      </c>
      <c r="AD334" s="17">
        <v>496154</v>
      </c>
      <c r="AE334" s="35" t="s">
        <v>112</v>
      </c>
      <c r="AF334" s="13">
        <v>496154</v>
      </c>
      <c r="AG334" s="32" t="s">
        <v>4838</v>
      </c>
      <c r="AH334" s="35" t="s">
        <v>4839</v>
      </c>
      <c r="AL334" s="13" t="s">
        <v>4840</v>
      </c>
      <c r="AN334" s="13">
        <v>329</v>
      </c>
      <c r="AO334" s="13" t="s">
        <v>4841</v>
      </c>
      <c r="AQ334" s="13" t="s">
        <v>4838</v>
      </c>
      <c r="AR334" s="13" t="s">
        <v>4838</v>
      </c>
      <c r="AS334" s="13" t="s">
        <v>116</v>
      </c>
      <c r="AT334" s="13" t="s">
        <v>4842</v>
      </c>
      <c r="AU334" s="13" t="s">
        <v>4812</v>
      </c>
      <c r="AV334" s="13" t="s">
        <v>1127</v>
      </c>
      <c r="AW334" s="26"/>
      <c r="AX334" s="26"/>
      <c r="AY334" s="17" t="s">
        <v>4843</v>
      </c>
      <c r="AZ334" s="13" t="s">
        <v>4844</v>
      </c>
      <c r="BA334" s="13" t="s">
        <v>4844</v>
      </c>
      <c r="BB334" s="13" t="s">
        <v>4845</v>
      </c>
      <c r="BC334" s="13" t="s">
        <v>4846</v>
      </c>
      <c r="BD334" s="13">
        <f t="shared" si="12"/>
        <v>59</v>
      </c>
      <c r="BE334" s="17" t="s">
        <v>2453</v>
      </c>
      <c r="BF334" s="17" t="s">
        <v>1133</v>
      </c>
      <c r="BG334" s="17" t="s">
        <v>4737</v>
      </c>
      <c r="BH334" s="31" t="s">
        <v>4738</v>
      </c>
      <c r="BI334" s="17"/>
      <c r="BJ334" s="17" t="s">
        <v>4542</v>
      </c>
      <c r="BK334" s="17"/>
      <c r="BL334" s="17"/>
      <c r="BM334" s="17"/>
      <c r="BN334" s="17" t="s">
        <v>1163</v>
      </c>
      <c r="BO334" s="17" t="s">
        <v>4805</v>
      </c>
      <c r="BP334" s="17"/>
      <c r="BQ334" s="17"/>
      <c r="BR334" s="17"/>
      <c r="BS334" s="17" t="s">
        <v>127</v>
      </c>
      <c r="BT334" s="17"/>
      <c r="BU334" s="17" t="s">
        <v>129</v>
      </c>
      <c r="BV334" s="17"/>
      <c r="BW334" s="17"/>
      <c r="BX334" s="13" t="s">
        <v>4847</v>
      </c>
      <c r="BY334" s="13" t="s">
        <v>4286</v>
      </c>
      <c r="DA334" s="13" t="s">
        <v>10348</v>
      </c>
      <c r="DB334" s="13" t="s">
        <v>10348</v>
      </c>
    </row>
    <row r="335" spans="1:106" s="13" customFormat="1" ht="12.75" customHeight="1" x14ac:dyDescent="0.2">
      <c r="A335" s="13" t="s">
        <v>102</v>
      </c>
      <c r="B335" s="13" t="s">
        <v>103</v>
      </c>
      <c r="D335" s="13" t="s">
        <v>4273</v>
      </c>
      <c r="E335" s="13" t="s">
        <v>4274</v>
      </c>
      <c r="F335" s="13" t="s">
        <v>4273</v>
      </c>
      <c r="H335" s="13" t="s">
        <v>7712</v>
      </c>
      <c r="J335" s="13" t="s">
        <v>106</v>
      </c>
      <c r="W335" s="13">
        <v>427</v>
      </c>
      <c r="X335" s="13">
        <v>427</v>
      </c>
      <c r="Y335" s="13" t="s">
        <v>107</v>
      </c>
      <c r="Z335" s="13" t="s">
        <v>108</v>
      </c>
      <c r="AA335" s="13" t="s">
        <v>107</v>
      </c>
      <c r="AB335" s="13" t="s">
        <v>4848</v>
      </c>
      <c r="AC335" s="13" t="s">
        <v>4848</v>
      </c>
      <c r="AD335" s="17">
        <v>496155</v>
      </c>
      <c r="AE335" s="35" t="s">
        <v>112</v>
      </c>
      <c r="AF335" s="13">
        <v>496155</v>
      </c>
      <c r="AG335" s="32" t="s">
        <v>4848</v>
      </c>
      <c r="AH335" s="35" t="s">
        <v>4849</v>
      </c>
      <c r="AL335" s="13" t="s">
        <v>4850</v>
      </c>
      <c r="AN335" s="13">
        <v>329</v>
      </c>
      <c r="AO335" s="13" t="s">
        <v>4851</v>
      </c>
      <c r="AQ335" s="13" t="s">
        <v>4848</v>
      </c>
      <c r="AR335" s="13" t="s">
        <v>4848</v>
      </c>
      <c r="AS335" s="13" t="s">
        <v>116</v>
      </c>
      <c r="AT335" s="13" t="s">
        <v>4852</v>
      </c>
      <c r="AU335" s="13" t="s">
        <v>4812</v>
      </c>
      <c r="AV335" s="13" t="s">
        <v>1127</v>
      </c>
      <c r="AW335" s="26"/>
      <c r="AX335" s="26"/>
      <c r="AY335" s="17" t="s">
        <v>4853</v>
      </c>
      <c r="AZ335" s="13" t="s">
        <v>4854</v>
      </c>
      <c r="BA335" s="13" t="s">
        <v>4854</v>
      </c>
      <c r="BB335" s="13" t="s">
        <v>4855</v>
      </c>
      <c r="BC335" s="13" t="s">
        <v>4856</v>
      </c>
      <c r="BD335" s="13">
        <f t="shared" si="12"/>
        <v>60</v>
      </c>
      <c r="BE335" s="17" t="s">
        <v>2453</v>
      </c>
      <c r="BF335" s="17" t="s">
        <v>1133</v>
      </c>
      <c r="BG335" s="17" t="s">
        <v>4737</v>
      </c>
      <c r="BH335" s="31" t="s">
        <v>4738</v>
      </c>
      <c r="BI335" s="17"/>
      <c r="BJ335" s="17" t="s">
        <v>4761</v>
      </c>
      <c r="BK335" s="17"/>
      <c r="BL335" s="17"/>
      <c r="BM335" s="17"/>
      <c r="BN335" s="17" t="s">
        <v>1163</v>
      </c>
      <c r="BO335" s="17" t="s">
        <v>4805</v>
      </c>
      <c r="BP335" s="17"/>
      <c r="BQ335" s="17"/>
      <c r="BR335" s="17"/>
      <c r="BS335" s="17" t="s">
        <v>127</v>
      </c>
      <c r="BT335" s="17"/>
      <c r="BU335" s="17" t="s">
        <v>129</v>
      </c>
      <c r="BV335" s="17"/>
      <c r="BW335" s="17"/>
      <c r="BX335" s="13" t="s">
        <v>4857</v>
      </c>
      <c r="BY335" s="13" t="s">
        <v>4286</v>
      </c>
      <c r="DA335" s="13" t="s">
        <v>10348</v>
      </c>
      <c r="DB335" s="13" t="s">
        <v>10348</v>
      </c>
    </row>
    <row r="336" spans="1:106" s="13" customFormat="1" ht="12.75" customHeight="1" x14ac:dyDescent="0.2">
      <c r="A336" s="13" t="s">
        <v>102</v>
      </c>
      <c r="B336" s="13" t="s">
        <v>103</v>
      </c>
      <c r="D336" s="13" t="s">
        <v>4273</v>
      </c>
      <c r="E336" s="13" t="s">
        <v>4274</v>
      </c>
      <c r="F336" s="13" t="s">
        <v>4273</v>
      </c>
      <c r="H336" s="13" t="s">
        <v>7712</v>
      </c>
      <c r="J336" s="13" t="s">
        <v>106</v>
      </c>
      <c r="W336" s="13">
        <v>428</v>
      </c>
      <c r="X336" s="13">
        <v>428</v>
      </c>
      <c r="Y336" s="13" t="s">
        <v>107</v>
      </c>
      <c r="Z336" s="13" t="s">
        <v>108</v>
      </c>
      <c r="AA336" s="13" t="s">
        <v>107</v>
      </c>
      <c r="AB336" s="13" t="s">
        <v>4858</v>
      </c>
      <c r="AC336" s="13" t="s">
        <v>4858</v>
      </c>
      <c r="AD336" s="17">
        <v>496156</v>
      </c>
      <c r="AE336" s="35" t="s">
        <v>112</v>
      </c>
      <c r="AF336" s="13">
        <v>496156</v>
      </c>
      <c r="AG336" s="32" t="s">
        <v>4858</v>
      </c>
      <c r="AH336" s="35" t="s">
        <v>4859</v>
      </c>
      <c r="AL336" s="13" t="s">
        <v>4860</v>
      </c>
      <c r="AN336" s="13">
        <v>329</v>
      </c>
      <c r="AO336" s="13" t="s">
        <v>4861</v>
      </c>
      <c r="AQ336" s="13" t="s">
        <v>4858</v>
      </c>
      <c r="AR336" s="13" t="s">
        <v>4858</v>
      </c>
      <c r="AS336" s="13" t="s">
        <v>116</v>
      </c>
      <c r="AT336" s="13" t="s">
        <v>4862</v>
      </c>
      <c r="AU336" s="13" t="s">
        <v>4863</v>
      </c>
      <c r="AV336" s="13" t="s">
        <v>1127</v>
      </c>
      <c r="AW336" s="26"/>
      <c r="AX336" s="26"/>
      <c r="AY336" s="17" t="s">
        <v>4864</v>
      </c>
      <c r="AZ336" s="13" t="s">
        <v>4865</v>
      </c>
      <c r="BA336" s="13" t="s">
        <v>4865</v>
      </c>
      <c r="BB336" s="13" t="s">
        <v>4866</v>
      </c>
      <c r="BC336" s="13" t="s">
        <v>4867</v>
      </c>
      <c r="BD336" s="13">
        <f t="shared" si="12"/>
        <v>59</v>
      </c>
      <c r="BE336" s="17" t="s">
        <v>2453</v>
      </c>
      <c r="BF336" s="17" t="s">
        <v>1133</v>
      </c>
      <c r="BG336" s="17" t="s">
        <v>4737</v>
      </c>
      <c r="BH336" s="31" t="s">
        <v>4738</v>
      </c>
      <c r="BI336" s="17"/>
      <c r="BJ336" s="17" t="s">
        <v>4553</v>
      </c>
      <c r="BK336" s="17"/>
      <c r="BL336" s="17"/>
      <c r="BM336" s="17"/>
      <c r="BN336" s="17" t="s">
        <v>1163</v>
      </c>
      <c r="BO336" s="17" t="s">
        <v>4805</v>
      </c>
      <c r="BP336" s="17"/>
      <c r="BQ336" s="17"/>
      <c r="BR336" s="17"/>
      <c r="BS336" s="17" t="s">
        <v>127</v>
      </c>
      <c r="BT336" s="17"/>
      <c r="BU336" s="17" t="s">
        <v>129</v>
      </c>
      <c r="BV336" s="17"/>
      <c r="BW336" s="17">
        <v>5</v>
      </c>
      <c r="BX336" s="13" t="s">
        <v>4868</v>
      </c>
      <c r="BY336" s="13" t="s">
        <v>4286</v>
      </c>
      <c r="DA336" s="13" t="s">
        <v>10348</v>
      </c>
      <c r="DB336" s="13" t="s">
        <v>10348</v>
      </c>
    </row>
    <row r="337" spans="1:106" s="13" customFormat="1" ht="12.75" customHeight="1" x14ac:dyDescent="0.2">
      <c r="A337" s="13" t="s">
        <v>102</v>
      </c>
      <c r="B337" s="13" t="s">
        <v>103</v>
      </c>
      <c r="D337" s="13" t="s">
        <v>4273</v>
      </c>
      <c r="E337" s="13" t="s">
        <v>471</v>
      </c>
      <c r="F337" s="13" t="s">
        <v>4273</v>
      </c>
      <c r="H337" s="13" t="s">
        <v>7712</v>
      </c>
      <c r="J337" s="13" t="s">
        <v>106</v>
      </c>
      <c r="W337" s="13">
        <v>429</v>
      </c>
      <c r="X337" s="13">
        <v>429</v>
      </c>
      <c r="Y337" s="13" t="s">
        <v>107</v>
      </c>
      <c r="Z337" s="13" t="s">
        <v>108</v>
      </c>
      <c r="AA337" s="13" t="s">
        <v>107</v>
      </c>
      <c r="AB337" s="13" t="s">
        <v>4869</v>
      </c>
      <c r="AC337" s="13" t="s">
        <v>4869</v>
      </c>
      <c r="AD337" s="17">
        <v>496164</v>
      </c>
      <c r="AE337" s="35" t="s">
        <v>112</v>
      </c>
      <c r="AF337" s="13">
        <v>496164</v>
      </c>
      <c r="AG337" s="32" t="s">
        <v>4869</v>
      </c>
      <c r="AH337" s="35" t="s">
        <v>4870</v>
      </c>
      <c r="AL337" s="13" t="s">
        <v>4871</v>
      </c>
      <c r="AN337" s="13">
        <v>329</v>
      </c>
      <c r="AO337" s="13" t="s">
        <v>4872</v>
      </c>
      <c r="AQ337" s="13" t="s">
        <v>4869</v>
      </c>
      <c r="AR337" s="13" t="s">
        <v>4869</v>
      </c>
      <c r="AS337" s="13" t="s">
        <v>116</v>
      </c>
      <c r="AT337" s="13" t="s">
        <v>4873</v>
      </c>
      <c r="AU337" s="13" t="s">
        <v>4874</v>
      </c>
      <c r="AV337" s="13" t="s">
        <v>1127</v>
      </c>
      <c r="AW337" s="26"/>
      <c r="AX337" s="26"/>
      <c r="AY337" s="17" t="s">
        <v>4875</v>
      </c>
      <c r="AZ337" s="13" t="s">
        <v>4876</v>
      </c>
      <c r="BA337" s="13" t="s">
        <v>4876</v>
      </c>
      <c r="BB337" s="13" t="s">
        <v>4877</v>
      </c>
      <c r="BC337" s="13" t="s">
        <v>4877</v>
      </c>
      <c r="BD337" s="13">
        <f t="shared" si="12"/>
        <v>42</v>
      </c>
      <c r="BE337" s="17" t="s">
        <v>2453</v>
      </c>
      <c r="BF337" s="17" t="s">
        <v>1133</v>
      </c>
      <c r="BG337" s="17"/>
      <c r="BH337" s="17"/>
      <c r="BI337" s="17"/>
      <c r="BJ337" s="17" t="s">
        <v>2767</v>
      </c>
      <c r="BK337" s="17"/>
      <c r="BL337" s="17"/>
      <c r="BM337" s="17"/>
      <c r="BN337" s="17" t="s">
        <v>1163</v>
      </c>
      <c r="BO337" s="17" t="s">
        <v>4497</v>
      </c>
      <c r="BP337" s="17"/>
      <c r="BQ337" s="17"/>
      <c r="BR337" s="17"/>
      <c r="BS337" s="17" t="s">
        <v>127</v>
      </c>
      <c r="BT337" s="17"/>
      <c r="BU337" s="17" t="s">
        <v>129</v>
      </c>
      <c r="BV337" s="17"/>
      <c r="BW337" s="17">
        <v>4</v>
      </c>
      <c r="BX337" s="13" t="s">
        <v>4878</v>
      </c>
      <c r="DA337" s="13" t="s">
        <v>10348</v>
      </c>
      <c r="DB337" s="13" t="s">
        <v>10348</v>
      </c>
    </row>
    <row r="338" spans="1:106" s="13" customFormat="1" ht="12.75" customHeight="1" x14ac:dyDescent="0.2">
      <c r="A338" s="13" t="s">
        <v>102</v>
      </c>
      <c r="B338" s="13" t="s">
        <v>103</v>
      </c>
      <c r="D338" s="13" t="s">
        <v>4273</v>
      </c>
      <c r="E338" s="13" t="s">
        <v>471</v>
      </c>
      <c r="F338" s="13" t="s">
        <v>4273</v>
      </c>
      <c r="H338" s="13" t="s">
        <v>7712</v>
      </c>
      <c r="J338" s="13" t="s">
        <v>106</v>
      </c>
      <c r="W338" s="13">
        <v>430</v>
      </c>
      <c r="X338" s="13">
        <v>430</v>
      </c>
      <c r="Y338" s="13" t="s">
        <v>107</v>
      </c>
      <c r="Z338" s="13" t="s">
        <v>108</v>
      </c>
      <c r="AA338" s="13" t="s">
        <v>107</v>
      </c>
      <c r="AB338" s="13" t="s">
        <v>4879</v>
      </c>
      <c r="AC338" s="13" t="s">
        <v>4879</v>
      </c>
      <c r="AD338" s="17">
        <v>496166</v>
      </c>
      <c r="AE338" s="35" t="s">
        <v>112</v>
      </c>
      <c r="AF338" s="13">
        <v>496166</v>
      </c>
      <c r="AG338" s="32" t="s">
        <v>4879</v>
      </c>
      <c r="AH338" s="35" t="s">
        <v>4880</v>
      </c>
      <c r="AL338" s="13" t="s">
        <v>4881</v>
      </c>
      <c r="AN338" s="13">
        <v>329</v>
      </c>
      <c r="AO338" s="13" t="s">
        <v>4882</v>
      </c>
      <c r="AQ338" s="13" t="s">
        <v>4879</v>
      </c>
      <c r="AR338" s="13" t="s">
        <v>4879</v>
      </c>
      <c r="AS338" s="13" t="s">
        <v>116</v>
      </c>
      <c r="AT338" s="13" t="s">
        <v>4883</v>
      </c>
      <c r="AU338" s="13" t="s">
        <v>4874</v>
      </c>
      <c r="AV338" s="13" t="s">
        <v>1127</v>
      </c>
      <c r="AW338" s="26"/>
      <c r="AX338" s="26"/>
      <c r="AY338" s="17" t="s">
        <v>4884</v>
      </c>
      <c r="AZ338" s="13" t="s">
        <v>4885</v>
      </c>
      <c r="BA338" s="13" t="s">
        <v>4885</v>
      </c>
      <c r="BB338" s="13" t="s">
        <v>4886</v>
      </c>
      <c r="BC338" s="13" t="s">
        <v>4886</v>
      </c>
      <c r="BD338" s="13">
        <f t="shared" si="12"/>
        <v>42</v>
      </c>
      <c r="BE338" s="17" t="s">
        <v>2453</v>
      </c>
      <c r="BF338" s="17" t="s">
        <v>1133</v>
      </c>
      <c r="BG338" s="17"/>
      <c r="BH338" s="17"/>
      <c r="BI338" s="17"/>
      <c r="BJ338" s="17" t="s">
        <v>2455</v>
      </c>
      <c r="BK338" s="17"/>
      <c r="BL338" s="17"/>
      <c r="BM338" s="17"/>
      <c r="BN338" s="17" t="s">
        <v>1163</v>
      </c>
      <c r="BO338" s="17" t="s">
        <v>4497</v>
      </c>
      <c r="BP338" s="17"/>
      <c r="BQ338" s="17"/>
      <c r="BR338" s="17"/>
      <c r="BS338" s="17" t="s">
        <v>127</v>
      </c>
      <c r="BT338" s="17"/>
      <c r="BU338" s="17" t="s">
        <v>129</v>
      </c>
      <c r="BV338" s="17"/>
      <c r="BW338" s="17"/>
      <c r="BX338" s="13" t="s">
        <v>4887</v>
      </c>
      <c r="DA338" s="13" t="s">
        <v>10348</v>
      </c>
      <c r="DB338" s="13" t="s">
        <v>10348</v>
      </c>
    </row>
    <row r="339" spans="1:106" s="13" customFormat="1" ht="12.75" customHeight="1" x14ac:dyDescent="0.2">
      <c r="A339" s="13" t="s">
        <v>102</v>
      </c>
      <c r="B339" s="13" t="s">
        <v>103</v>
      </c>
      <c r="D339" s="13" t="s">
        <v>4273</v>
      </c>
      <c r="E339" s="13" t="s">
        <v>471</v>
      </c>
      <c r="F339" s="13" t="s">
        <v>4273</v>
      </c>
      <c r="H339" s="13" t="s">
        <v>7712</v>
      </c>
      <c r="J339" s="13" t="s">
        <v>106</v>
      </c>
      <c r="W339" s="13">
        <v>431</v>
      </c>
      <c r="X339" s="13">
        <v>431</v>
      </c>
      <c r="Y339" s="13" t="s">
        <v>107</v>
      </c>
      <c r="Z339" s="13" t="s">
        <v>108</v>
      </c>
      <c r="AA339" s="13" t="s">
        <v>107</v>
      </c>
      <c r="AB339" s="13" t="s">
        <v>4888</v>
      </c>
      <c r="AC339" s="13" t="s">
        <v>4888</v>
      </c>
      <c r="AD339" s="17">
        <v>496168</v>
      </c>
      <c r="AE339" s="35" t="s">
        <v>112</v>
      </c>
      <c r="AF339" s="13">
        <v>496168</v>
      </c>
      <c r="AG339" s="32" t="s">
        <v>4888</v>
      </c>
      <c r="AH339" s="35" t="s">
        <v>4889</v>
      </c>
      <c r="AL339" s="13" t="s">
        <v>4890</v>
      </c>
      <c r="AN339" s="13">
        <v>329</v>
      </c>
      <c r="AO339" s="13" t="s">
        <v>4891</v>
      </c>
      <c r="AQ339" s="13" t="s">
        <v>4888</v>
      </c>
      <c r="AR339" s="13" t="s">
        <v>4888</v>
      </c>
      <c r="AS339" s="13" t="s">
        <v>116</v>
      </c>
      <c r="AT339" s="13" t="s">
        <v>4892</v>
      </c>
      <c r="AU339" s="13" t="s">
        <v>4874</v>
      </c>
      <c r="AV339" s="13" t="s">
        <v>1127</v>
      </c>
      <c r="AW339" s="26"/>
      <c r="AX339" s="26"/>
      <c r="AY339" s="17" t="s">
        <v>4893</v>
      </c>
      <c r="AZ339" s="13" t="s">
        <v>4894</v>
      </c>
      <c r="BA339" s="13" t="s">
        <v>4894</v>
      </c>
      <c r="BB339" s="13" t="s">
        <v>4895</v>
      </c>
      <c r="BC339" s="13" t="s">
        <v>4895</v>
      </c>
      <c r="BD339" s="13">
        <f t="shared" si="12"/>
        <v>42</v>
      </c>
      <c r="BE339" s="17" t="s">
        <v>2453</v>
      </c>
      <c r="BF339" s="17" t="s">
        <v>1133</v>
      </c>
      <c r="BG339" s="17"/>
      <c r="BH339" s="17"/>
      <c r="BI339" s="17"/>
      <c r="BJ339" s="17" t="s">
        <v>2644</v>
      </c>
      <c r="BK339" s="17"/>
      <c r="BL339" s="17"/>
      <c r="BM339" s="17"/>
      <c r="BN339" s="17" t="s">
        <v>1163</v>
      </c>
      <c r="BO339" s="17" t="s">
        <v>4497</v>
      </c>
      <c r="BP339" s="17"/>
      <c r="BQ339" s="17"/>
      <c r="BR339" s="17"/>
      <c r="BS339" s="17" t="s">
        <v>127</v>
      </c>
      <c r="BT339" s="17"/>
      <c r="BU339" s="17" t="s">
        <v>129</v>
      </c>
      <c r="BV339" s="17"/>
      <c r="BW339" s="17">
        <v>4</v>
      </c>
      <c r="BX339" s="13" t="s">
        <v>4896</v>
      </c>
      <c r="DA339" s="13" t="s">
        <v>10348</v>
      </c>
      <c r="DB339" s="13" t="s">
        <v>10348</v>
      </c>
    </row>
    <row r="340" spans="1:106" s="13" customFormat="1" ht="12.75" customHeight="1" x14ac:dyDescent="0.2">
      <c r="A340" s="13" t="s">
        <v>102</v>
      </c>
      <c r="B340" s="13" t="s">
        <v>103</v>
      </c>
      <c r="D340" s="13" t="s">
        <v>4273</v>
      </c>
      <c r="E340" s="13" t="s">
        <v>4274</v>
      </c>
      <c r="F340" s="13" t="s">
        <v>4273</v>
      </c>
      <c r="H340" s="13" t="s">
        <v>7712</v>
      </c>
      <c r="J340" s="13" t="s">
        <v>106</v>
      </c>
      <c r="W340" s="13">
        <v>432</v>
      </c>
      <c r="X340" s="13">
        <v>432</v>
      </c>
      <c r="Y340" s="13" t="s">
        <v>107</v>
      </c>
      <c r="Z340" s="13" t="s">
        <v>108</v>
      </c>
      <c r="AA340" s="13" t="s">
        <v>107</v>
      </c>
      <c r="AB340" s="13" t="s">
        <v>4897</v>
      </c>
      <c r="AC340" s="13" t="s">
        <v>4897</v>
      </c>
      <c r="AD340" s="17">
        <v>496181</v>
      </c>
      <c r="AE340" s="35" t="s">
        <v>112</v>
      </c>
      <c r="AF340" s="13">
        <v>496181</v>
      </c>
      <c r="AG340" s="32" t="s">
        <v>4897</v>
      </c>
      <c r="AH340" s="35" t="s">
        <v>4898</v>
      </c>
      <c r="AL340" s="13" t="s">
        <v>4899</v>
      </c>
      <c r="AN340" s="13">
        <v>329</v>
      </c>
      <c r="AO340" s="13" t="s">
        <v>4900</v>
      </c>
      <c r="AQ340" s="13" t="s">
        <v>4897</v>
      </c>
      <c r="AR340" s="13" t="s">
        <v>4897</v>
      </c>
      <c r="AS340" s="13" t="s">
        <v>116</v>
      </c>
      <c r="AT340" s="13" t="s">
        <v>4901</v>
      </c>
      <c r="AU340" s="13" t="s">
        <v>4902</v>
      </c>
      <c r="AV340" s="13" t="s">
        <v>1127</v>
      </c>
      <c r="AW340" s="26"/>
      <c r="AX340" s="26"/>
      <c r="AY340" s="17" t="s">
        <v>4903</v>
      </c>
      <c r="AZ340" s="13" t="s">
        <v>4904</v>
      </c>
      <c r="BA340" s="13" t="s">
        <v>4904</v>
      </c>
      <c r="BB340" s="13" t="s">
        <v>4905</v>
      </c>
      <c r="BC340" s="13" t="s">
        <v>4906</v>
      </c>
      <c r="BD340" s="13">
        <f t="shared" si="12"/>
        <v>58</v>
      </c>
      <c r="BE340" s="17" t="s">
        <v>2453</v>
      </c>
      <c r="BF340" s="17" t="s">
        <v>1133</v>
      </c>
      <c r="BG340" s="17" t="s">
        <v>4652</v>
      </c>
      <c r="BH340" s="31" t="s">
        <v>4705</v>
      </c>
      <c r="BI340" s="17"/>
      <c r="BJ340" s="17" t="s">
        <v>4509</v>
      </c>
      <c r="BK340" s="17"/>
      <c r="BL340" s="17"/>
      <c r="BM340" s="17"/>
      <c r="BN340" s="17" t="s">
        <v>1163</v>
      </c>
      <c r="BO340" s="17" t="s">
        <v>4497</v>
      </c>
      <c r="BP340" s="17"/>
      <c r="BQ340" s="17"/>
      <c r="BR340" s="17"/>
      <c r="BS340" s="17" t="s">
        <v>127</v>
      </c>
      <c r="BT340" s="17"/>
      <c r="BU340" s="17" t="s">
        <v>129</v>
      </c>
      <c r="BV340" s="17"/>
      <c r="BW340" s="17"/>
      <c r="BX340" s="13" t="s">
        <v>4907</v>
      </c>
      <c r="BY340" s="13" t="s">
        <v>4286</v>
      </c>
      <c r="DA340" s="13" t="s">
        <v>10348</v>
      </c>
      <c r="DB340" s="13" t="s">
        <v>10348</v>
      </c>
    </row>
    <row r="341" spans="1:106" s="13" customFormat="1" ht="12.75" customHeight="1" x14ac:dyDescent="0.2">
      <c r="A341" s="13" t="s">
        <v>102</v>
      </c>
      <c r="B341" s="13" t="s">
        <v>103</v>
      </c>
      <c r="D341" s="13" t="s">
        <v>4273</v>
      </c>
      <c r="E341" s="13" t="s">
        <v>4274</v>
      </c>
      <c r="F341" s="13" t="s">
        <v>4273</v>
      </c>
      <c r="H341" s="13" t="s">
        <v>7712</v>
      </c>
      <c r="J341" s="13" t="s">
        <v>106</v>
      </c>
      <c r="W341" s="13">
        <v>433</v>
      </c>
      <c r="X341" s="13">
        <v>433</v>
      </c>
      <c r="Y341" s="13" t="s">
        <v>107</v>
      </c>
      <c r="Z341" s="13" t="s">
        <v>108</v>
      </c>
      <c r="AA341" s="13" t="s">
        <v>107</v>
      </c>
      <c r="AB341" s="13" t="s">
        <v>4908</v>
      </c>
      <c r="AC341" s="13" t="s">
        <v>4908</v>
      </c>
      <c r="AD341" s="17">
        <v>496182</v>
      </c>
      <c r="AE341" s="35" t="s">
        <v>112</v>
      </c>
      <c r="AF341" s="13">
        <v>496182</v>
      </c>
      <c r="AG341" s="32" t="s">
        <v>4908</v>
      </c>
      <c r="AH341" s="35" t="s">
        <v>4909</v>
      </c>
      <c r="AL341" s="13" t="s">
        <v>4910</v>
      </c>
      <c r="AN341" s="13">
        <v>329</v>
      </c>
      <c r="AO341" s="13" t="s">
        <v>4911</v>
      </c>
      <c r="AQ341" s="13" t="s">
        <v>4908</v>
      </c>
      <c r="AR341" s="13" t="s">
        <v>4908</v>
      </c>
      <c r="AS341" s="13" t="s">
        <v>116</v>
      </c>
      <c r="AT341" s="13" t="s">
        <v>4912</v>
      </c>
      <c r="AU341" s="13" t="s">
        <v>4913</v>
      </c>
      <c r="AV341" s="13" t="s">
        <v>1127</v>
      </c>
      <c r="AW341" s="26"/>
      <c r="AX341" s="26"/>
      <c r="AY341" s="17" t="s">
        <v>4914</v>
      </c>
      <c r="AZ341" s="13" t="s">
        <v>4915</v>
      </c>
      <c r="BA341" s="13" t="s">
        <v>4915</v>
      </c>
      <c r="BB341" s="13" t="s">
        <v>4916</v>
      </c>
      <c r="BC341" s="13" t="s">
        <v>4917</v>
      </c>
      <c r="BD341" s="13">
        <f t="shared" si="12"/>
        <v>58</v>
      </c>
      <c r="BE341" s="17" t="s">
        <v>2453</v>
      </c>
      <c r="BF341" s="17" t="s">
        <v>1133</v>
      </c>
      <c r="BG341" s="17" t="s">
        <v>4652</v>
      </c>
      <c r="BH341" s="31" t="s">
        <v>4738</v>
      </c>
      <c r="BI341" s="17"/>
      <c r="BJ341" s="17" t="s">
        <v>4520</v>
      </c>
      <c r="BK341" s="17"/>
      <c r="BL341" s="17"/>
      <c r="BM341" s="17"/>
      <c r="BN341" s="17" t="s">
        <v>1163</v>
      </c>
      <c r="BO341" s="17" t="s">
        <v>4497</v>
      </c>
      <c r="BP341" s="17"/>
      <c r="BQ341" s="17"/>
      <c r="BR341" s="17"/>
      <c r="BS341" s="17" t="s">
        <v>127</v>
      </c>
      <c r="BT341" s="17"/>
      <c r="BU341" s="17" t="s">
        <v>129</v>
      </c>
      <c r="BV341" s="17"/>
      <c r="BW341" s="17">
        <v>5</v>
      </c>
      <c r="BX341" s="13" t="s">
        <v>4918</v>
      </c>
      <c r="BY341" s="13" t="s">
        <v>4286</v>
      </c>
      <c r="DA341" s="13" t="s">
        <v>10348</v>
      </c>
      <c r="DB341" s="13" t="s">
        <v>10348</v>
      </c>
    </row>
    <row r="342" spans="1:106" s="13" customFormat="1" ht="12.75" customHeight="1" x14ac:dyDescent="0.2">
      <c r="A342" s="13" t="s">
        <v>102</v>
      </c>
      <c r="B342" s="13" t="s">
        <v>103</v>
      </c>
      <c r="D342" s="13" t="s">
        <v>4273</v>
      </c>
      <c r="E342" s="13" t="s">
        <v>4274</v>
      </c>
      <c r="F342" s="13" t="s">
        <v>4273</v>
      </c>
      <c r="H342" s="13" t="s">
        <v>7712</v>
      </c>
      <c r="J342" s="13" t="s">
        <v>106</v>
      </c>
      <c r="W342" s="13">
        <v>434</v>
      </c>
      <c r="X342" s="13">
        <v>434</v>
      </c>
      <c r="Y342" s="13" t="s">
        <v>107</v>
      </c>
      <c r="Z342" s="13" t="s">
        <v>108</v>
      </c>
      <c r="AA342" s="13" t="s">
        <v>107</v>
      </c>
      <c r="AB342" s="13" t="s">
        <v>4919</v>
      </c>
      <c r="AC342" s="13" t="s">
        <v>4919</v>
      </c>
      <c r="AD342" s="17">
        <v>496183</v>
      </c>
      <c r="AE342" s="35" t="s">
        <v>112</v>
      </c>
      <c r="AF342" s="13">
        <v>496183</v>
      </c>
      <c r="AG342" s="32" t="s">
        <v>4919</v>
      </c>
      <c r="AH342" s="35" t="s">
        <v>4920</v>
      </c>
      <c r="AL342" s="13" t="s">
        <v>4921</v>
      </c>
      <c r="AN342" s="13">
        <v>329</v>
      </c>
      <c r="AO342" s="13" t="s">
        <v>4922</v>
      </c>
      <c r="AQ342" s="13" t="s">
        <v>4919</v>
      </c>
      <c r="AR342" s="13" t="s">
        <v>4919</v>
      </c>
      <c r="AS342" s="13" t="s">
        <v>116</v>
      </c>
      <c r="AT342" s="13" t="s">
        <v>4923</v>
      </c>
      <c r="AU342" s="13" t="s">
        <v>4913</v>
      </c>
      <c r="AV342" s="13" t="s">
        <v>1127</v>
      </c>
      <c r="AW342" s="26"/>
      <c r="AX342" s="26"/>
      <c r="AY342" s="17" t="s">
        <v>4924</v>
      </c>
      <c r="AZ342" s="13" t="s">
        <v>4925</v>
      </c>
      <c r="BA342" s="13" t="s">
        <v>4925</v>
      </c>
      <c r="BB342" s="13" t="s">
        <v>4926</v>
      </c>
      <c r="BC342" s="13" t="s">
        <v>4927</v>
      </c>
      <c r="BD342" s="13">
        <f t="shared" si="12"/>
        <v>58</v>
      </c>
      <c r="BE342" s="17" t="s">
        <v>2453</v>
      </c>
      <c r="BF342" s="17" t="s">
        <v>1133</v>
      </c>
      <c r="BG342" s="17" t="s">
        <v>4652</v>
      </c>
      <c r="BH342" s="31" t="s">
        <v>4738</v>
      </c>
      <c r="BI342" s="17"/>
      <c r="BJ342" s="17" t="s">
        <v>4531</v>
      </c>
      <c r="BK342" s="17"/>
      <c r="BL342" s="17"/>
      <c r="BM342" s="17"/>
      <c r="BN342" s="17" t="s">
        <v>1163</v>
      </c>
      <c r="BO342" s="17" t="s">
        <v>4497</v>
      </c>
      <c r="BP342" s="17"/>
      <c r="BQ342" s="17"/>
      <c r="BR342" s="17"/>
      <c r="BS342" s="17" t="s">
        <v>127</v>
      </c>
      <c r="BT342" s="17"/>
      <c r="BU342" s="17" t="s">
        <v>129</v>
      </c>
      <c r="BV342" s="17"/>
      <c r="BW342" s="17">
        <v>5</v>
      </c>
      <c r="BX342" s="13" t="s">
        <v>4928</v>
      </c>
      <c r="BY342" s="13" t="s">
        <v>4286</v>
      </c>
      <c r="DA342" s="13" t="s">
        <v>10348</v>
      </c>
      <c r="DB342" s="13" t="s">
        <v>10348</v>
      </c>
    </row>
    <row r="343" spans="1:106" s="13" customFormat="1" ht="12.75" customHeight="1" x14ac:dyDescent="0.2">
      <c r="A343" s="13" t="s">
        <v>102</v>
      </c>
      <c r="B343" s="13" t="s">
        <v>103</v>
      </c>
      <c r="D343" s="13" t="s">
        <v>4273</v>
      </c>
      <c r="E343" s="13" t="s">
        <v>471</v>
      </c>
      <c r="F343" s="13" t="s">
        <v>4273</v>
      </c>
      <c r="H343" s="13" t="s">
        <v>7712</v>
      </c>
      <c r="J343" s="13" t="s">
        <v>106</v>
      </c>
      <c r="W343" s="13">
        <v>435</v>
      </c>
      <c r="X343" s="13">
        <v>435</v>
      </c>
      <c r="Y343" s="13" t="s">
        <v>107</v>
      </c>
      <c r="Z343" s="13" t="s">
        <v>108</v>
      </c>
      <c r="AA343" s="13" t="s">
        <v>107</v>
      </c>
      <c r="AB343" s="13" t="s">
        <v>4929</v>
      </c>
      <c r="AC343" s="13" t="s">
        <v>4929</v>
      </c>
      <c r="AD343" s="17">
        <v>496185</v>
      </c>
      <c r="AE343" s="35" t="s">
        <v>112</v>
      </c>
      <c r="AF343" s="13">
        <v>496185</v>
      </c>
      <c r="AG343" s="32" t="s">
        <v>4929</v>
      </c>
      <c r="AH343" s="35" t="s">
        <v>4930</v>
      </c>
      <c r="AL343" s="13" t="s">
        <v>4931</v>
      </c>
      <c r="AN343" s="13">
        <v>329</v>
      </c>
      <c r="AO343" s="13" t="s">
        <v>4932</v>
      </c>
      <c r="AQ343" s="13" t="s">
        <v>4929</v>
      </c>
      <c r="AR343" s="13" t="s">
        <v>4929</v>
      </c>
      <c r="AS343" s="13" t="s">
        <v>116</v>
      </c>
      <c r="AT343" s="13" t="s">
        <v>4933</v>
      </c>
      <c r="AU343" s="13" t="s">
        <v>4913</v>
      </c>
      <c r="AV343" s="13" t="s">
        <v>1127</v>
      </c>
      <c r="AW343" s="26"/>
      <c r="AX343" s="26"/>
      <c r="AY343" s="17" t="s">
        <v>4934</v>
      </c>
      <c r="AZ343" s="13" t="s">
        <v>4935</v>
      </c>
      <c r="BA343" s="13" t="s">
        <v>4935</v>
      </c>
      <c r="BB343" s="13" t="s">
        <v>4936</v>
      </c>
      <c r="BC343" s="13" t="s">
        <v>4937</v>
      </c>
      <c r="BD343" s="13">
        <f t="shared" si="12"/>
        <v>58</v>
      </c>
      <c r="BE343" s="17" t="s">
        <v>2453</v>
      </c>
      <c r="BF343" s="17" t="s">
        <v>1133</v>
      </c>
      <c r="BG343" s="17" t="s">
        <v>4652</v>
      </c>
      <c r="BH343" s="31" t="s">
        <v>4738</v>
      </c>
      <c r="BI343" s="17"/>
      <c r="BJ343" s="17" t="s">
        <v>4553</v>
      </c>
      <c r="BK343" s="17"/>
      <c r="BL343" s="17"/>
      <c r="BM343" s="17"/>
      <c r="BN343" s="17" t="s">
        <v>1163</v>
      </c>
      <c r="BO343" s="17" t="s">
        <v>4497</v>
      </c>
      <c r="BP343" s="17"/>
      <c r="BQ343" s="17"/>
      <c r="BR343" s="17"/>
      <c r="BS343" s="17" t="s">
        <v>127</v>
      </c>
      <c r="BT343" s="17"/>
      <c r="BU343" s="17" t="s">
        <v>129</v>
      </c>
      <c r="BV343" s="17"/>
      <c r="BW343" s="17">
        <v>5</v>
      </c>
      <c r="BX343" s="13" t="s">
        <v>4938</v>
      </c>
      <c r="DA343" s="13" t="s">
        <v>10348</v>
      </c>
      <c r="DB343" s="13" t="s">
        <v>10348</v>
      </c>
    </row>
    <row r="344" spans="1:106" s="13" customFormat="1" ht="12.75" customHeight="1" x14ac:dyDescent="0.2">
      <c r="A344" s="13" t="s">
        <v>102</v>
      </c>
      <c r="B344" s="13" t="s">
        <v>103</v>
      </c>
      <c r="D344" s="13" t="s">
        <v>4273</v>
      </c>
      <c r="E344" s="13" t="s">
        <v>471</v>
      </c>
      <c r="F344" s="13" t="s">
        <v>4273</v>
      </c>
      <c r="H344" s="13" t="s">
        <v>7712</v>
      </c>
      <c r="J344" s="13" t="s">
        <v>106</v>
      </c>
      <c r="W344" s="13">
        <v>437</v>
      </c>
      <c r="X344" s="13">
        <v>437</v>
      </c>
      <c r="Y344" s="13" t="s">
        <v>107</v>
      </c>
      <c r="Z344" s="13" t="s">
        <v>108</v>
      </c>
      <c r="AA344" s="13" t="s">
        <v>107</v>
      </c>
      <c r="AB344" s="13" t="s">
        <v>4948</v>
      </c>
      <c r="AC344" s="13" t="s">
        <v>4948</v>
      </c>
      <c r="AD344" s="17">
        <v>496193</v>
      </c>
      <c r="AE344" s="35" t="s">
        <v>112</v>
      </c>
      <c r="AF344" s="13">
        <v>496193</v>
      </c>
      <c r="AG344" s="32" t="s">
        <v>4948</v>
      </c>
      <c r="AH344" s="35" t="s">
        <v>4949</v>
      </c>
      <c r="AL344" s="13" t="s">
        <v>4950</v>
      </c>
      <c r="AN344" s="13">
        <v>329</v>
      </c>
      <c r="AO344" s="13" t="s">
        <v>4951</v>
      </c>
      <c r="AQ344" s="13" t="s">
        <v>4948</v>
      </c>
      <c r="AR344" s="13" t="s">
        <v>4948</v>
      </c>
      <c r="AS344" s="13" t="s">
        <v>116</v>
      </c>
      <c r="AT344" s="13" t="s">
        <v>4952</v>
      </c>
      <c r="AU344" s="13" t="s">
        <v>4953</v>
      </c>
      <c r="AV344" s="13" t="s">
        <v>1127</v>
      </c>
      <c r="AW344" s="26"/>
      <c r="AX344" s="26"/>
      <c r="AY344" s="17" t="s">
        <v>4954</v>
      </c>
      <c r="AZ344" s="13" t="s">
        <v>4955</v>
      </c>
      <c r="BA344" s="13" t="s">
        <v>4955</v>
      </c>
      <c r="BB344" s="13" t="s">
        <v>4956</v>
      </c>
      <c r="BC344" s="13" t="s">
        <v>4956</v>
      </c>
      <c r="BD344" s="13">
        <f t="shared" si="12"/>
        <v>42</v>
      </c>
      <c r="BE344" s="17" t="s">
        <v>2453</v>
      </c>
      <c r="BF344" s="17" t="s">
        <v>1133</v>
      </c>
      <c r="BG344" s="17" t="s">
        <v>4463</v>
      </c>
      <c r="BH344" s="17"/>
      <c r="BI344" s="17"/>
      <c r="BJ344" s="17" t="s">
        <v>2644</v>
      </c>
      <c r="BK344" s="17"/>
      <c r="BL344" s="17"/>
      <c r="BM344" s="17"/>
      <c r="BN344" s="17"/>
      <c r="BO344" s="17" t="s">
        <v>4364</v>
      </c>
      <c r="BP344" s="17"/>
      <c r="BQ344" s="17"/>
      <c r="BR344" s="17"/>
      <c r="BS344" s="17" t="s">
        <v>127</v>
      </c>
      <c r="BT344" s="17"/>
      <c r="BU344" s="17" t="s">
        <v>129</v>
      </c>
      <c r="BV344" s="17"/>
      <c r="BW344" s="17"/>
      <c r="BX344" s="13" t="s">
        <v>4957</v>
      </c>
      <c r="DA344" s="13" t="s">
        <v>10348</v>
      </c>
      <c r="DB344" s="13" t="s">
        <v>10348</v>
      </c>
    </row>
    <row r="345" spans="1:106" s="13" customFormat="1" ht="12.75" customHeight="1" x14ac:dyDescent="0.2">
      <c r="A345" s="13" t="s">
        <v>102</v>
      </c>
      <c r="B345" s="13" t="s">
        <v>103</v>
      </c>
      <c r="D345" s="13" t="s">
        <v>4273</v>
      </c>
      <c r="E345" s="13" t="s">
        <v>4274</v>
      </c>
      <c r="F345" s="13" t="s">
        <v>4273</v>
      </c>
      <c r="H345" s="13" t="s">
        <v>7712</v>
      </c>
      <c r="J345" s="13" t="s">
        <v>106</v>
      </c>
      <c r="W345" s="13">
        <v>438</v>
      </c>
      <c r="X345" s="13">
        <v>438</v>
      </c>
      <c r="Y345" s="13" t="s">
        <v>107</v>
      </c>
      <c r="Z345" s="13" t="s">
        <v>108</v>
      </c>
      <c r="AA345" s="13" t="s">
        <v>107</v>
      </c>
      <c r="AB345" s="13" t="s">
        <v>4958</v>
      </c>
      <c r="AC345" s="13" t="s">
        <v>4958</v>
      </c>
      <c r="AD345" s="17">
        <v>496308</v>
      </c>
      <c r="AE345" s="35" t="s">
        <v>112</v>
      </c>
      <c r="AF345" s="13">
        <v>496308</v>
      </c>
      <c r="AG345" s="32" t="s">
        <v>4958</v>
      </c>
      <c r="AH345" s="35" t="s">
        <v>4959</v>
      </c>
      <c r="AL345" s="13" t="s">
        <v>4960</v>
      </c>
      <c r="AN345" s="13">
        <v>329</v>
      </c>
      <c r="AO345" s="13" t="s">
        <v>4961</v>
      </c>
      <c r="AQ345" s="13" t="s">
        <v>4958</v>
      </c>
      <c r="AR345" s="13" t="s">
        <v>4958</v>
      </c>
      <c r="AS345" s="13" t="s">
        <v>116</v>
      </c>
      <c r="AT345" s="13" t="s">
        <v>4962</v>
      </c>
      <c r="AU345" s="13" t="s">
        <v>4963</v>
      </c>
      <c r="AV345" s="13" t="s">
        <v>1127</v>
      </c>
      <c r="AW345" s="26"/>
      <c r="AX345" s="26"/>
      <c r="AY345" s="17" t="s">
        <v>4964</v>
      </c>
      <c r="AZ345" s="13" t="s">
        <v>4965</v>
      </c>
      <c r="BA345" s="13" t="s">
        <v>4965</v>
      </c>
      <c r="BB345" s="13" t="s">
        <v>4966</v>
      </c>
      <c r="BC345" s="13" t="s">
        <v>4967</v>
      </c>
      <c r="BD345" s="13">
        <f t="shared" si="12"/>
        <v>58</v>
      </c>
      <c r="BE345" s="17" t="s">
        <v>2453</v>
      </c>
      <c r="BF345" s="17" t="s">
        <v>1133</v>
      </c>
      <c r="BG345" s="17" t="s">
        <v>4652</v>
      </c>
      <c r="BH345" s="31" t="s">
        <v>4603</v>
      </c>
      <c r="BI345" s="17"/>
      <c r="BJ345" s="17" t="s">
        <v>4496</v>
      </c>
      <c r="BK345" s="17"/>
      <c r="BL345" s="17"/>
      <c r="BM345" s="17"/>
      <c r="BN345" s="17" t="s">
        <v>1163</v>
      </c>
      <c r="BO345" s="17" t="s">
        <v>4968</v>
      </c>
      <c r="BP345" s="17"/>
      <c r="BQ345" s="17"/>
      <c r="BR345" s="17"/>
      <c r="BS345" s="17" t="s">
        <v>127</v>
      </c>
      <c r="BT345" s="17"/>
      <c r="BU345" s="17" t="s">
        <v>129</v>
      </c>
      <c r="BV345" s="17"/>
      <c r="BW345" s="17"/>
      <c r="BX345" s="13" t="s">
        <v>4969</v>
      </c>
      <c r="BY345" s="13" t="s">
        <v>4286</v>
      </c>
      <c r="DA345" s="13" t="s">
        <v>10348</v>
      </c>
      <c r="DB345" s="13" t="s">
        <v>10348</v>
      </c>
    </row>
    <row r="346" spans="1:106" s="13" customFormat="1" ht="12.75" customHeight="1" x14ac:dyDescent="0.2">
      <c r="A346" s="13" t="s">
        <v>102</v>
      </c>
      <c r="B346" s="13" t="s">
        <v>103</v>
      </c>
      <c r="D346" s="13" t="s">
        <v>4273</v>
      </c>
      <c r="E346" s="13" t="s">
        <v>4274</v>
      </c>
      <c r="F346" s="13" t="s">
        <v>4273</v>
      </c>
      <c r="H346" s="13" t="s">
        <v>7712</v>
      </c>
      <c r="J346" s="13" t="s">
        <v>106</v>
      </c>
      <c r="W346" s="13">
        <v>439</v>
      </c>
      <c r="X346" s="13">
        <v>439</v>
      </c>
      <c r="Y346" s="13" t="s">
        <v>107</v>
      </c>
      <c r="Z346" s="13" t="s">
        <v>108</v>
      </c>
      <c r="AA346" s="13" t="s">
        <v>107</v>
      </c>
      <c r="AB346" s="13" t="s">
        <v>4970</v>
      </c>
      <c r="AC346" s="13" t="s">
        <v>4970</v>
      </c>
      <c r="AD346" s="17">
        <v>496309</v>
      </c>
      <c r="AE346" s="35" t="s">
        <v>112</v>
      </c>
      <c r="AF346" s="13">
        <v>496309</v>
      </c>
      <c r="AG346" s="32" t="s">
        <v>4970</v>
      </c>
      <c r="AH346" s="35" t="s">
        <v>4971</v>
      </c>
      <c r="AL346" s="13" t="s">
        <v>4972</v>
      </c>
      <c r="AN346" s="13">
        <v>329</v>
      </c>
      <c r="AO346" s="13" t="s">
        <v>4973</v>
      </c>
      <c r="AQ346" s="13" t="s">
        <v>4970</v>
      </c>
      <c r="AR346" s="13" t="s">
        <v>4970</v>
      </c>
      <c r="AS346" s="13" t="s">
        <v>116</v>
      </c>
      <c r="AT346" s="13" t="s">
        <v>4974</v>
      </c>
      <c r="AU346" s="13" t="s">
        <v>4963</v>
      </c>
      <c r="AV346" s="13" t="s">
        <v>1127</v>
      </c>
      <c r="AW346" s="26"/>
      <c r="AX346" s="26"/>
      <c r="AY346" s="17" t="s">
        <v>4975</v>
      </c>
      <c r="AZ346" s="13" t="s">
        <v>4976</v>
      </c>
      <c r="BA346" s="13" t="s">
        <v>4976</v>
      </c>
      <c r="BB346" s="13" t="s">
        <v>4977</v>
      </c>
      <c r="BC346" s="13" t="s">
        <v>4978</v>
      </c>
      <c r="BD346" s="13">
        <f t="shared" si="12"/>
        <v>58</v>
      </c>
      <c r="BE346" s="17" t="s">
        <v>2453</v>
      </c>
      <c r="BF346" s="17" t="s">
        <v>1133</v>
      </c>
      <c r="BG346" s="17" t="s">
        <v>4652</v>
      </c>
      <c r="BH346" s="31" t="s">
        <v>4603</v>
      </c>
      <c r="BI346" s="17"/>
      <c r="BJ346" s="17" t="s">
        <v>4509</v>
      </c>
      <c r="BK346" s="17"/>
      <c r="BL346" s="17"/>
      <c r="BM346" s="17"/>
      <c r="BN346" s="17" t="s">
        <v>1163</v>
      </c>
      <c r="BO346" s="17" t="s">
        <v>4968</v>
      </c>
      <c r="BP346" s="17"/>
      <c r="BQ346" s="17"/>
      <c r="BR346" s="17"/>
      <c r="BS346" s="17" t="s">
        <v>127</v>
      </c>
      <c r="BT346" s="17"/>
      <c r="BU346" s="17" t="s">
        <v>129</v>
      </c>
      <c r="BV346" s="17"/>
      <c r="BW346" s="17"/>
      <c r="BX346" s="13" t="s">
        <v>4979</v>
      </c>
      <c r="BY346" s="13" t="s">
        <v>4286</v>
      </c>
      <c r="DA346" s="13" t="s">
        <v>10348</v>
      </c>
      <c r="DB346" s="13" t="s">
        <v>10348</v>
      </c>
    </row>
    <row r="347" spans="1:106" s="13" customFormat="1" ht="12.75" customHeight="1" x14ac:dyDescent="0.2">
      <c r="A347" s="13" t="s">
        <v>102</v>
      </c>
      <c r="B347" s="13" t="s">
        <v>103</v>
      </c>
      <c r="D347" s="13" t="s">
        <v>4273</v>
      </c>
      <c r="E347" s="13" t="s">
        <v>4274</v>
      </c>
      <c r="F347" s="13" t="s">
        <v>4273</v>
      </c>
      <c r="H347" s="13" t="s">
        <v>7712</v>
      </c>
      <c r="J347" s="13" t="s">
        <v>106</v>
      </c>
      <c r="W347" s="13">
        <v>440</v>
      </c>
      <c r="X347" s="13">
        <v>440</v>
      </c>
      <c r="Y347" s="13" t="s">
        <v>107</v>
      </c>
      <c r="Z347" s="13" t="s">
        <v>108</v>
      </c>
      <c r="AA347" s="13" t="s">
        <v>107</v>
      </c>
      <c r="AB347" s="13" t="s">
        <v>4980</v>
      </c>
      <c r="AC347" s="13" t="s">
        <v>4980</v>
      </c>
      <c r="AD347" s="17">
        <v>496310</v>
      </c>
      <c r="AE347" s="35" t="s">
        <v>112</v>
      </c>
      <c r="AF347" s="13">
        <v>496310</v>
      </c>
      <c r="AG347" s="32" t="s">
        <v>4980</v>
      </c>
      <c r="AH347" s="35" t="s">
        <v>4981</v>
      </c>
      <c r="AL347" s="13" t="s">
        <v>4982</v>
      </c>
      <c r="AN347" s="13">
        <v>329</v>
      </c>
      <c r="AO347" s="13" t="s">
        <v>4983</v>
      </c>
      <c r="AQ347" s="13" t="s">
        <v>4980</v>
      </c>
      <c r="AR347" s="13" t="s">
        <v>4980</v>
      </c>
      <c r="AS347" s="13" t="s">
        <v>116</v>
      </c>
      <c r="AT347" s="13" t="s">
        <v>4984</v>
      </c>
      <c r="AU347" s="13" t="s">
        <v>4963</v>
      </c>
      <c r="AV347" s="13" t="s">
        <v>1127</v>
      </c>
      <c r="AW347" s="26"/>
      <c r="AX347" s="26"/>
      <c r="AY347" s="17" t="s">
        <v>4985</v>
      </c>
      <c r="AZ347" s="13" t="s">
        <v>4986</v>
      </c>
      <c r="BA347" s="13" t="s">
        <v>4986</v>
      </c>
      <c r="BB347" s="13" t="s">
        <v>4987</v>
      </c>
      <c r="BC347" s="13" t="s">
        <v>4988</v>
      </c>
      <c r="BD347" s="13">
        <f t="shared" si="12"/>
        <v>58</v>
      </c>
      <c r="BE347" s="17" t="s">
        <v>2453</v>
      </c>
      <c r="BF347" s="17" t="s">
        <v>1133</v>
      </c>
      <c r="BG347" s="17" t="s">
        <v>4652</v>
      </c>
      <c r="BH347" s="31" t="s">
        <v>4603</v>
      </c>
      <c r="BI347" s="17"/>
      <c r="BJ347" s="17" t="s">
        <v>4520</v>
      </c>
      <c r="BK347" s="17"/>
      <c r="BL347" s="17"/>
      <c r="BM347" s="17"/>
      <c r="BN347" s="17" t="s">
        <v>1163</v>
      </c>
      <c r="BO347" s="17" t="s">
        <v>4968</v>
      </c>
      <c r="BP347" s="17"/>
      <c r="BQ347" s="17"/>
      <c r="BR347" s="17"/>
      <c r="BS347" s="17" t="s">
        <v>127</v>
      </c>
      <c r="BT347" s="17"/>
      <c r="BU347" s="17" t="s">
        <v>129</v>
      </c>
      <c r="BV347" s="17"/>
      <c r="BW347" s="17"/>
      <c r="BX347" s="13" t="s">
        <v>4989</v>
      </c>
      <c r="BY347" s="13" t="s">
        <v>4286</v>
      </c>
      <c r="DA347" s="13" t="s">
        <v>10348</v>
      </c>
      <c r="DB347" s="13" t="s">
        <v>10348</v>
      </c>
    </row>
    <row r="348" spans="1:106" s="13" customFormat="1" ht="12.75" customHeight="1" x14ac:dyDescent="0.2">
      <c r="A348" s="13" t="s">
        <v>102</v>
      </c>
      <c r="B348" s="13" t="s">
        <v>103</v>
      </c>
      <c r="D348" s="13" t="s">
        <v>4273</v>
      </c>
      <c r="E348" s="13" t="s">
        <v>4274</v>
      </c>
      <c r="F348" s="13" t="s">
        <v>4273</v>
      </c>
      <c r="H348" s="13" t="s">
        <v>7712</v>
      </c>
      <c r="J348" s="13" t="s">
        <v>106</v>
      </c>
      <c r="W348" s="13">
        <v>441</v>
      </c>
      <c r="X348" s="13">
        <v>441</v>
      </c>
      <c r="Y348" s="13" t="s">
        <v>107</v>
      </c>
      <c r="Z348" s="13" t="s">
        <v>108</v>
      </c>
      <c r="AA348" s="13" t="s">
        <v>107</v>
      </c>
      <c r="AB348" s="13" t="s">
        <v>4990</v>
      </c>
      <c r="AC348" s="13" t="s">
        <v>4990</v>
      </c>
      <c r="AD348" s="17">
        <v>496311</v>
      </c>
      <c r="AE348" s="35" t="s">
        <v>112</v>
      </c>
      <c r="AF348" s="13">
        <v>496311</v>
      </c>
      <c r="AG348" s="32" t="s">
        <v>4990</v>
      </c>
      <c r="AH348" s="35" t="s">
        <v>4991</v>
      </c>
      <c r="AL348" s="13" t="s">
        <v>4992</v>
      </c>
      <c r="AN348" s="13">
        <v>329</v>
      </c>
      <c r="AO348" s="13" t="s">
        <v>4993</v>
      </c>
      <c r="AQ348" s="13" t="s">
        <v>4990</v>
      </c>
      <c r="AR348" s="13" t="s">
        <v>4990</v>
      </c>
      <c r="AS348" s="13" t="s">
        <v>116</v>
      </c>
      <c r="AT348" s="13" t="s">
        <v>4994</v>
      </c>
      <c r="AU348" s="13" t="s">
        <v>4963</v>
      </c>
      <c r="AV348" s="13" t="s">
        <v>1127</v>
      </c>
      <c r="AW348" s="26"/>
      <c r="AX348" s="26"/>
      <c r="AY348" s="17" t="s">
        <v>4995</v>
      </c>
      <c r="AZ348" s="13" t="s">
        <v>4996</v>
      </c>
      <c r="BA348" s="13" t="s">
        <v>4996</v>
      </c>
      <c r="BB348" s="13" t="s">
        <v>4997</v>
      </c>
      <c r="BC348" s="13" t="s">
        <v>4998</v>
      </c>
      <c r="BD348" s="13">
        <f t="shared" si="12"/>
        <v>58</v>
      </c>
      <c r="BE348" s="17" t="s">
        <v>2453</v>
      </c>
      <c r="BF348" s="17" t="s">
        <v>1133</v>
      </c>
      <c r="BG348" s="17" t="s">
        <v>4652</v>
      </c>
      <c r="BH348" s="31" t="s">
        <v>4603</v>
      </c>
      <c r="BI348" s="17"/>
      <c r="BJ348" s="17" t="s">
        <v>4531</v>
      </c>
      <c r="BK348" s="17"/>
      <c r="BL348" s="17"/>
      <c r="BM348" s="17"/>
      <c r="BN348" s="17" t="s">
        <v>1163</v>
      </c>
      <c r="BO348" s="17" t="s">
        <v>4968</v>
      </c>
      <c r="BP348" s="17"/>
      <c r="BQ348" s="17"/>
      <c r="BR348" s="17"/>
      <c r="BS348" s="17" t="s">
        <v>127</v>
      </c>
      <c r="BT348" s="17"/>
      <c r="BU348" s="17" t="s">
        <v>129</v>
      </c>
      <c r="BV348" s="17"/>
      <c r="BW348" s="17"/>
      <c r="BX348" s="13" t="s">
        <v>4999</v>
      </c>
      <c r="BY348" s="13" t="s">
        <v>4286</v>
      </c>
      <c r="DA348" s="13" t="s">
        <v>10348</v>
      </c>
      <c r="DB348" s="13" t="s">
        <v>10348</v>
      </c>
    </row>
    <row r="349" spans="1:106" s="13" customFormat="1" ht="12.75" customHeight="1" x14ac:dyDescent="0.2">
      <c r="A349" s="13" t="s">
        <v>102</v>
      </c>
      <c r="B349" s="13" t="s">
        <v>103</v>
      </c>
      <c r="D349" s="13" t="s">
        <v>4273</v>
      </c>
      <c r="E349" s="13" t="s">
        <v>4274</v>
      </c>
      <c r="F349" s="13" t="s">
        <v>4273</v>
      </c>
      <c r="H349" s="13" t="s">
        <v>7712</v>
      </c>
      <c r="J349" s="13" t="s">
        <v>106</v>
      </c>
      <c r="W349" s="13">
        <v>442</v>
      </c>
      <c r="X349" s="13">
        <v>442</v>
      </c>
      <c r="Y349" s="13" t="s">
        <v>107</v>
      </c>
      <c r="Z349" s="13" t="s">
        <v>108</v>
      </c>
      <c r="AA349" s="13" t="s">
        <v>107</v>
      </c>
      <c r="AB349" s="13" t="s">
        <v>5000</v>
      </c>
      <c r="AC349" s="13" t="s">
        <v>5000</v>
      </c>
      <c r="AD349" s="17">
        <v>496312</v>
      </c>
      <c r="AE349" s="35" t="s">
        <v>112</v>
      </c>
      <c r="AF349" s="13">
        <v>496312</v>
      </c>
      <c r="AG349" s="32" t="s">
        <v>5000</v>
      </c>
      <c r="AH349" s="35" t="s">
        <v>5001</v>
      </c>
      <c r="AL349" s="13" t="s">
        <v>5002</v>
      </c>
      <c r="AN349" s="13">
        <v>329</v>
      </c>
      <c r="AO349" s="13" t="s">
        <v>5003</v>
      </c>
      <c r="AQ349" s="13" t="s">
        <v>5000</v>
      </c>
      <c r="AR349" s="13" t="s">
        <v>5000</v>
      </c>
      <c r="AS349" s="13" t="s">
        <v>116</v>
      </c>
      <c r="AT349" s="13" t="s">
        <v>5004</v>
      </c>
      <c r="AU349" s="13" t="s">
        <v>4963</v>
      </c>
      <c r="AV349" s="13" t="s">
        <v>1127</v>
      </c>
      <c r="AW349" s="26"/>
      <c r="AX349" s="26"/>
      <c r="AY349" s="17" t="s">
        <v>5005</v>
      </c>
      <c r="AZ349" s="13" t="s">
        <v>5006</v>
      </c>
      <c r="BA349" s="13" t="s">
        <v>5006</v>
      </c>
      <c r="BB349" s="13" t="s">
        <v>5007</v>
      </c>
      <c r="BC349" s="13" t="s">
        <v>5008</v>
      </c>
      <c r="BD349" s="13">
        <f t="shared" si="12"/>
        <v>58</v>
      </c>
      <c r="BE349" s="17" t="s">
        <v>2453</v>
      </c>
      <c r="BF349" s="17" t="s">
        <v>1133</v>
      </c>
      <c r="BG349" s="17" t="s">
        <v>4652</v>
      </c>
      <c r="BH349" s="31" t="s">
        <v>4603</v>
      </c>
      <c r="BI349" s="17"/>
      <c r="BJ349" s="17" t="s">
        <v>4542</v>
      </c>
      <c r="BK349" s="17"/>
      <c r="BL349" s="17"/>
      <c r="BM349" s="17"/>
      <c r="BN349" s="17" t="s">
        <v>1163</v>
      </c>
      <c r="BO349" s="17" t="s">
        <v>4968</v>
      </c>
      <c r="BP349" s="17"/>
      <c r="BQ349" s="17"/>
      <c r="BR349" s="17"/>
      <c r="BS349" s="17" t="s">
        <v>127</v>
      </c>
      <c r="BT349" s="17"/>
      <c r="BU349" s="17" t="s">
        <v>129</v>
      </c>
      <c r="BV349" s="17"/>
      <c r="BW349" s="17"/>
      <c r="BX349" s="13" t="s">
        <v>5009</v>
      </c>
      <c r="BY349" s="13" t="s">
        <v>4286</v>
      </c>
      <c r="DA349" s="13" t="s">
        <v>10348</v>
      </c>
      <c r="DB349" s="13" t="s">
        <v>10348</v>
      </c>
    </row>
    <row r="350" spans="1:106" s="13" customFormat="1" ht="12.75" customHeight="1" x14ac:dyDescent="0.2">
      <c r="A350" s="13" t="s">
        <v>102</v>
      </c>
      <c r="B350" s="13" t="s">
        <v>103</v>
      </c>
      <c r="D350" s="13" t="s">
        <v>4273</v>
      </c>
      <c r="E350" s="13" t="s">
        <v>471</v>
      </c>
      <c r="F350" s="13" t="s">
        <v>4273</v>
      </c>
      <c r="H350" s="13" t="s">
        <v>7712</v>
      </c>
      <c r="J350" s="13" t="s">
        <v>106</v>
      </c>
      <c r="W350" s="13">
        <v>443</v>
      </c>
      <c r="X350" s="13">
        <v>443</v>
      </c>
      <c r="Y350" s="13" t="s">
        <v>107</v>
      </c>
      <c r="Z350" s="13" t="s">
        <v>108</v>
      </c>
      <c r="AA350" s="13" t="s">
        <v>107</v>
      </c>
      <c r="AB350" s="13" t="s">
        <v>5010</v>
      </c>
      <c r="AC350" s="13" t="s">
        <v>5010</v>
      </c>
      <c r="AD350" s="17">
        <v>496455</v>
      </c>
      <c r="AE350" s="35" t="s">
        <v>112</v>
      </c>
      <c r="AF350" s="13">
        <v>496455</v>
      </c>
      <c r="AG350" s="32" t="s">
        <v>5010</v>
      </c>
      <c r="AH350" s="35" t="s">
        <v>5011</v>
      </c>
      <c r="AL350" s="13" t="s">
        <v>5012</v>
      </c>
      <c r="AN350" s="13">
        <v>329</v>
      </c>
      <c r="AO350" s="13" t="s">
        <v>5013</v>
      </c>
      <c r="AQ350" s="13" t="s">
        <v>5010</v>
      </c>
      <c r="AR350" s="13" t="s">
        <v>5010</v>
      </c>
      <c r="AS350" s="13" t="s">
        <v>116</v>
      </c>
      <c r="AT350" s="13" t="s">
        <v>5014</v>
      </c>
      <c r="AU350" s="13" t="s">
        <v>5015</v>
      </c>
      <c r="AV350" s="13" t="s">
        <v>1127</v>
      </c>
      <c r="AW350" s="26"/>
      <c r="AX350" s="26"/>
      <c r="AY350" s="17" t="s">
        <v>5016</v>
      </c>
      <c r="AZ350" s="13" t="s">
        <v>5017</v>
      </c>
      <c r="BA350" s="13" t="s">
        <v>5017</v>
      </c>
      <c r="BB350" s="13" t="s">
        <v>5018</v>
      </c>
      <c r="BC350" s="13" t="s">
        <v>5018</v>
      </c>
      <c r="BD350" s="13">
        <f t="shared" si="12"/>
        <v>46</v>
      </c>
      <c r="BE350" s="17" t="s">
        <v>2453</v>
      </c>
      <c r="BF350" s="17" t="s">
        <v>1133</v>
      </c>
      <c r="BG350" s="17" t="s">
        <v>4463</v>
      </c>
      <c r="BH350" s="17"/>
      <c r="BI350" s="17"/>
      <c r="BJ350" s="17" t="s">
        <v>2517</v>
      </c>
      <c r="BK350" s="17"/>
      <c r="BL350" s="17"/>
      <c r="BM350" s="17"/>
      <c r="BN350" s="17"/>
      <c r="BO350" s="17" t="s">
        <v>5019</v>
      </c>
      <c r="BP350" s="17"/>
      <c r="BQ350" s="17"/>
      <c r="BR350" s="17"/>
      <c r="BS350" s="17" t="s">
        <v>127</v>
      </c>
      <c r="BT350" s="17"/>
      <c r="BU350" s="17" t="s">
        <v>129</v>
      </c>
      <c r="BV350" s="17"/>
      <c r="BW350" s="17"/>
      <c r="BX350" s="13" t="s">
        <v>5020</v>
      </c>
      <c r="DA350" s="13" t="s">
        <v>10348</v>
      </c>
      <c r="DB350" s="13" t="s">
        <v>10348</v>
      </c>
    </row>
    <row r="351" spans="1:106" s="13" customFormat="1" ht="12.75" customHeight="1" x14ac:dyDescent="0.2">
      <c r="A351" s="13" t="s">
        <v>102</v>
      </c>
      <c r="B351" s="13" t="s">
        <v>103</v>
      </c>
      <c r="D351" s="13" t="s">
        <v>4273</v>
      </c>
      <c r="E351" s="13" t="s">
        <v>471</v>
      </c>
      <c r="F351" s="13" t="s">
        <v>4273</v>
      </c>
      <c r="H351" s="13" t="s">
        <v>7712</v>
      </c>
      <c r="J351" s="13" t="s">
        <v>106</v>
      </c>
      <c r="W351" s="13">
        <v>444</v>
      </c>
      <c r="X351" s="13">
        <v>444</v>
      </c>
      <c r="Y351" s="13" t="s">
        <v>107</v>
      </c>
      <c r="Z351" s="13" t="s">
        <v>108</v>
      </c>
      <c r="AA351" s="13" t="s">
        <v>107</v>
      </c>
      <c r="AB351" s="13" t="s">
        <v>5021</v>
      </c>
      <c r="AC351" s="13" t="s">
        <v>5021</v>
      </c>
      <c r="AD351" s="17">
        <v>496458</v>
      </c>
      <c r="AE351" s="35" t="s">
        <v>112</v>
      </c>
      <c r="AF351" s="13">
        <v>496458</v>
      </c>
      <c r="AG351" s="32" t="s">
        <v>5021</v>
      </c>
      <c r="AH351" s="35" t="s">
        <v>5022</v>
      </c>
      <c r="AL351" s="13" t="s">
        <v>5023</v>
      </c>
      <c r="AN351" s="13">
        <v>329</v>
      </c>
      <c r="AO351" s="13" t="s">
        <v>5024</v>
      </c>
      <c r="AQ351" s="13" t="s">
        <v>5021</v>
      </c>
      <c r="AR351" s="13" t="s">
        <v>5021</v>
      </c>
      <c r="AS351" s="13" t="s">
        <v>116</v>
      </c>
      <c r="AT351" s="13" t="s">
        <v>5025</v>
      </c>
      <c r="AU351" s="13" t="s">
        <v>5026</v>
      </c>
      <c r="AV351" s="13" t="s">
        <v>1127</v>
      </c>
      <c r="AW351" s="26"/>
      <c r="AX351" s="26"/>
      <c r="AY351" s="17" t="s">
        <v>5027</v>
      </c>
      <c r="AZ351" s="13" t="s">
        <v>5028</v>
      </c>
      <c r="BA351" s="13" t="s">
        <v>5028</v>
      </c>
      <c r="BB351" s="13" t="s">
        <v>5029</v>
      </c>
      <c r="BC351" s="13" t="s">
        <v>5029</v>
      </c>
      <c r="BD351" s="13">
        <f t="shared" si="12"/>
        <v>46</v>
      </c>
      <c r="BE351" s="17" t="s">
        <v>2453</v>
      </c>
      <c r="BF351" s="17" t="s">
        <v>1133</v>
      </c>
      <c r="BG351" s="17" t="s">
        <v>4463</v>
      </c>
      <c r="BH351" s="17"/>
      <c r="BI351" s="17"/>
      <c r="BJ351" s="17" t="s">
        <v>2767</v>
      </c>
      <c r="BK351" s="17"/>
      <c r="BL351" s="17"/>
      <c r="BM351" s="17"/>
      <c r="BN351" s="17"/>
      <c r="BO351" s="17" t="s">
        <v>5019</v>
      </c>
      <c r="BP351" s="17"/>
      <c r="BQ351" s="17"/>
      <c r="BR351" s="17"/>
      <c r="BS351" s="17" t="s">
        <v>127</v>
      </c>
      <c r="BT351" s="17"/>
      <c r="BU351" s="17" t="s">
        <v>129</v>
      </c>
      <c r="BV351" s="17"/>
      <c r="BW351" s="17"/>
      <c r="BX351" s="13" t="s">
        <v>5030</v>
      </c>
      <c r="DA351" s="13" t="s">
        <v>10348</v>
      </c>
      <c r="DB351" s="13" t="s">
        <v>10348</v>
      </c>
    </row>
    <row r="352" spans="1:106" s="13" customFormat="1" ht="12.75" customHeight="1" x14ac:dyDescent="0.2">
      <c r="A352" s="13" t="s">
        <v>102</v>
      </c>
      <c r="B352" s="13" t="s">
        <v>103</v>
      </c>
      <c r="D352" s="13" t="s">
        <v>4273</v>
      </c>
      <c r="E352" s="13" t="s">
        <v>471</v>
      </c>
      <c r="F352" s="13" t="s">
        <v>4273</v>
      </c>
      <c r="H352" s="13" t="s">
        <v>7712</v>
      </c>
      <c r="J352" s="13" t="s">
        <v>106</v>
      </c>
      <c r="W352" s="13">
        <v>445</v>
      </c>
      <c r="X352" s="13">
        <v>445</v>
      </c>
      <c r="Y352" s="13" t="s">
        <v>107</v>
      </c>
      <c r="Z352" s="13" t="s">
        <v>108</v>
      </c>
      <c r="AA352" s="13" t="s">
        <v>107</v>
      </c>
      <c r="AB352" s="13" t="s">
        <v>5031</v>
      </c>
      <c r="AC352" s="13" t="s">
        <v>5031</v>
      </c>
      <c r="AD352" s="17">
        <v>496554</v>
      </c>
      <c r="AE352" s="35" t="s">
        <v>112</v>
      </c>
      <c r="AF352" s="13">
        <v>496554</v>
      </c>
      <c r="AG352" s="32" t="s">
        <v>5031</v>
      </c>
      <c r="AH352" s="35" t="s">
        <v>5032</v>
      </c>
      <c r="AL352" s="13" t="s">
        <v>5033</v>
      </c>
      <c r="AN352" s="13">
        <v>329</v>
      </c>
      <c r="AO352" s="13" t="s">
        <v>5034</v>
      </c>
      <c r="AQ352" s="13" t="s">
        <v>5031</v>
      </c>
      <c r="AR352" s="13" t="s">
        <v>5031</v>
      </c>
      <c r="AS352" s="13" t="s">
        <v>116</v>
      </c>
      <c r="AT352" s="13" t="s">
        <v>5035</v>
      </c>
      <c r="AU352" s="13" t="s">
        <v>5036</v>
      </c>
      <c r="AV352" s="13" t="s">
        <v>1127</v>
      </c>
      <c r="AW352" s="26"/>
      <c r="AX352" s="26"/>
      <c r="AY352" s="17" t="s">
        <v>5037</v>
      </c>
      <c r="AZ352" s="13" t="s">
        <v>5038</v>
      </c>
      <c r="BA352" s="13" t="s">
        <v>5038</v>
      </c>
      <c r="BB352" s="13" t="s">
        <v>5039</v>
      </c>
      <c r="BC352" s="13" t="s">
        <v>5039</v>
      </c>
      <c r="BD352" s="13">
        <f t="shared" si="12"/>
        <v>32</v>
      </c>
      <c r="BE352" s="17" t="s">
        <v>2453</v>
      </c>
      <c r="BF352" s="17" t="s">
        <v>1133</v>
      </c>
      <c r="BG352" s="17"/>
      <c r="BH352" s="17"/>
      <c r="BI352" s="17"/>
      <c r="BJ352" s="17" t="s">
        <v>2644</v>
      </c>
      <c r="BK352" s="17"/>
      <c r="BL352" s="17"/>
      <c r="BM352" s="17"/>
      <c r="BN352" s="17"/>
      <c r="BO352" s="17" t="s">
        <v>4464</v>
      </c>
      <c r="BP352" s="17"/>
      <c r="BQ352" s="17"/>
      <c r="BR352" s="17"/>
      <c r="BS352" s="17" t="s">
        <v>127</v>
      </c>
      <c r="BT352" s="17"/>
      <c r="BU352" s="17" t="s">
        <v>129</v>
      </c>
      <c r="BV352" s="17"/>
      <c r="BW352" s="17"/>
      <c r="BX352" s="13" t="s">
        <v>5040</v>
      </c>
      <c r="DA352" s="13" t="s">
        <v>10348</v>
      </c>
      <c r="DB352" s="13" t="s">
        <v>10348</v>
      </c>
    </row>
    <row r="353" spans="1:106" s="13" customFormat="1" ht="12.75" customHeight="1" x14ac:dyDescent="0.2">
      <c r="A353" s="13" t="s">
        <v>102</v>
      </c>
      <c r="B353" s="13" t="s">
        <v>103</v>
      </c>
      <c r="D353" s="13" t="s">
        <v>4273</v>
      </c>
      <c r="E353" s="13" t="s">
        <v>471</v>
      </c>
      <c r="F353" s="13" t="s">
        <v>4273</v>
      </c>
      <c r="H353" s="13" t="s">
        <v>7712</v>
      </c>
      <c r="J353" s="13" t="s">
        <v>106</v>
      </c>
      <c r="W353" s="13">
        <v>446</v>
      </c>
      <c r="X353" s="13">
        <v>446</v>
      </c>
      <c r="Y353" s="13" t="s">
        <v>107</v>
      </c>
      <c r="Z353" s="13" t="s">
        <v>108</v>
      </c>
      <c r="AA353" s="13" t="s">
        <v>107</v>
      </c>
      <c r="AB353" s="13" t="s">
        <v>5041</v>
      </c>
      <c r="AC353" s="13" t="s">
        <v>5041</v>
      </c>
      <c r="AD353" s="17">
        <v>496555</v>
      </c>
      <c r="AE353" s="35" t="s">
        <v>112</v>
      </c>
      <c r="AF353" s="13">
        <v>496555</v>
      </c>
      <c r="AG353" s="32" t="s">
        <v>5041</v>
      </c>
      <c r="AH353" s="35" t="s">
        <v>5042</v>
      </c>
      <c r="AL353" s="13" t="s">
        <v>5043</v>
      </c>
      <c r="AN353" s="13">
        <v>329</v>
      </c>
      <c r="AO353" s="13" t="s">
        <v>5044</v>
      </c>
      <c r="AQ353" s="13" t="s">
        <v>5041</v>
      </c>
      <c r="AR353" s="13" t="s">
        <v>5041</v>
      </c>
      <c r="AS353" s="13" t="s">
        <v>116</v>
      </c>
      <c r="AT353" s="13" t="s">
        <v>5045</v>
      </c>
      <c r="AU353" s="13" t="s">
        <v>5036</v>
      </c>
      <c r="AV353" s="13" t="s">
        <v>1127</v>
      </c>
      <c r="AW353" s="26"/>
      <c r="AX353" s="26"/>
      <c r="AY353" s="17" t="s">
        <v>5046</v>
      </c>
      <c r="AZ353" s="13" t="s">
        <v>5047</v>
      </c>
      <c r="BA353" s="13" t="s">
        <v>5047</v>
      </c>
      <c r="BB353" s="13" t="s">
        <v>5048</v>
      </c>
      <c r="BC353" s="13" t="s">
        <v>5048</v>
      </c>
      <c r="BD353" s="13">
        <f t="shared" si="12"/>
        <v>32</v>
      </c>
      <c r="BE353" s="17" t="s">
        <v>2453</v>
      </c>
      <c r="BF353" s="17" t="s">
        <v>1133</v>
      </c>
      <c r="BG353" s="17"/>
      <c r="BH353" s="17"/>
      <c r="BI353" s="17"/>
      <c r="BJ353" s="17" t="s">
        <v>2767</v>
      </c>
      <c r="BK353" s="17"/>
      <c r="BL353" s="17"/>
      <c r="BM353" s="17"/>
      <c r="BN353" s="17"/>
      <c r="BO353" s="17" t="s">
        <v>4464</v>
      </c>
      <c r="BP353" s="17"/>
      <c r="BQ353" s="17"/>
      <c r="BR353" s="17"/>
      <c r="BS353" s="17" t="s">
        <v>127</v>
      </c>
      <c r="BT353" s="17"/>
      <c r="BU353" s="17" t="s">
        <v>129</v>
      </c>
      <c r="BV353" s="17"/>
      <c r="BW353" s="17"/>
      <c r="BX353" s="13" t="s">
        <v>5049</v>
      </c>
      <c r="DA353" s="13" t="s">
        <v>10348</v>
      </c>
      <c r="DB353" s="13" t="s">
        <v>10348</v>
      </c>
    </row>
    <row r="354" spans="1:106" s="13" customFormat="1" ht="12.75" customHeight="1" x14ac:dyDescent="0.2">
      <c r="A354" s="13" t="s">
        <v>102</v>
      </c>
      <c r="B354" s="13" t="s">
        <v>103</v>
      </c>
      <c r="D354" s="13" t="s">
        <v>4273</v>
      </c>
      <c r="E354" s="13" t="s">
        <v>471</v>
      </c>
      <c r="F354" s="13" t="s">
        <v>4273</v>
      </c>
      <c r="H354" s="13" t="s">
        <v>7712</v>
      </c>
      <c r="J354" s="13" t="s">
        <v>106</v>
      </c>
      <c r="W354" s="13">
        <v>447</v>
      </c>
      <c r="X354" s="13">
        <v>447</v>
      </c>
      <c r="Y354" s="13" t="s">
        <v>107</v>
      </c>
      <c r="Z354" s="13" t="s">
        <v>108</v>
      </c>
      <c r="AA354" s="13" t="s">
        <v>107</v>
      </c>
      <c r="AB354" s="13" t="s">
        <v>5050</v>
      </c>
      <c r="AC354" s="13" t="s">
        <v>5050</v>
      </c>
      <c r="AD354" s="17">
        <v>496558</v>
      </c>
      <c r="AE354" s="35" t="s">
        <v>112</v>
      </c>
      <c r="AF354" s="13">
        <v>496558</v>
      </c>
      <c r="AG354" s="32" t="s">
        <v>5050</v>
      </c>
      <c r="AH354" s="35" t="s">
        <v>5051</v>
      </c>
      <c r="AL354" s="13" t="s">
        <v>5052</v>
      </c>
      <c r="AN354" s="13">
        <v>329</v>
      </c>
      <c r="AO354" s="13" t="s">
        <v>5053</v>
      </c>
      <c r="AQ354" s="13" t="s">
        <v>5050</v>
      </c>
      <c r="AR354" s="13" t="s">
        <v>5050</v>
      </c>
      <c r="AS354" s="13" t="s">
        <v>116</v>
      </c>
      <c r="AT354" s="13" t="s">
        <v>4942</v>
      </c>
      <c r="AU354" s="13" t="s">
        <v>4943</v>
      </c>
      <c r="AV354" s="13" t="s">
        <v>1127</v>
      </c>
      <c r="AW354" s="26"/>
      <c r="AX354" s="26"/>
      <c r="AY354" s="17" t="s">
        <v>4944</v>
      </c>
      <c r="AZ354" s="13" t="s">
        <v>5054</v>
      </c>
      <c r="BA354" s="13" t="s">
        <v>5054</v>
      </c>
      <c r="BB354" s="13" t="s">
        <v>5055</v>
      </c>
      <c r="BC354" s="13" t="s">
        <v>5055</v>
      </c>
      <c r="BD354" s="13">
        <f t="shared" si="12"/>
        <v>37</v>
      </c>
      <c r="BE354" s="17" t="s">
        <v>2453</v>
      </c>
      <c r="BF354" s="17" t="s">
        <v>1133</v>
      </c>
      <c r="BG354" s="17"/>
      <c r="BH354" s="17"/>
      <c r="BI354" s="17"/>
      <c r="BJ354" s="17" t="s">
        <v>2517</v>
      </c>
      <c r="BK354" s="17"/>
      <c r="BL354" s="17"/>
      <c r="BM354" s="17"/>
      <c r="BN354" s="17"/>
      <c r="BO354" s="17" t="s">
        <v>5056</v>
      </c>
      <c r="BP354" s="17"/>
      <c r="BQ354" s="17"/>
      <c r="BR354" s="17"/>
      <c r="BS354" s="17" t="s">
        <v>127</v>
      </c>
      <c r="BT354" s="17"/>
      <c r="BU354" s="17" t="s">
        <v>129</v>
      </c>
      <c r="BV354" s="17"/>
      <c r="BW354" s="17"/>
      <c r="BX354" s="13" t="s">
        <v>5057</v>
      </c>
      <c r="DA354" s="13" t="s">
        <v>10348</v>
      </c>
      <c r="DB354" s="13" t="s">
        <v>10348</v>
      </c>
    </row>
    <row r="355" spans="1:106" s="13" customFormat="1" ht="12.75" customHeight="1" x14ac:dyDescent="0.2">
      <c r="A355" s="13" t="s">
        <v>102</v>
      </c>
      <c r="B355" s="13" t="s">
        <v>103</v>
      </c>
      <c r="D355" s="13" t="s">
        <v>4273</v>
      </c>
      <c r="E355" s="13" t="s">
        <v>471</v>
      </c>
      <c r="F355" s="13" t="s">
        <v>4273</v>
      </c>
      <c r="H355" s="13" t="s">
        <v>7712</v>
      </c>
      <c r="J355" s="13" t="s">
        <v>106</v>
      </c>
      <c r="W355" s="13">
        <v>448</v>
      </c>
      <c r="X355" s="13">
        <v>448</v>
      </c>
      <c r="Y355" s="13" t="s">
        <v>107</v>
      </c>
      <c r="Z355" s="13" t="s">
        <v>108</v>
      </c>
      <c r="AA355" s="13" t="s">
        <v>107</v>
      </c>
      <c r="AB355" s="13" t="s">
        <v>5058</v>
      </c>
      <c r="AC355" s="13" t="s">
        <v>5058</v>
      </c>
      <c r="AD355" s="17">
        <v>496622</v>
      </c>
      <c r="AE355" s="35" t="s">
        <v>112</v>
      </c>
      <c r="AF355" s="13">
        <v>496622</v>
      </c>
      <c r="AG355" s="32" t="s">
        <v>5058</v>
      </c>
      <c r="AH355" s="35" t="s">
        <v>5059</v>
      </c>
      <c r="AL355" s="13" t="s">
        <v>5060</v>
      </c>
      <c r="AN355" s="13">
        <v>329</v>
      </c>
      <c r="AO355" s="13" t="s">
        <v>5061</v>
      </c>
      <c r="AQ355" s="13" t="s">
        <v>5058</v>
      </c>
      <c r="AR355" s="13" t="s">
        <v>5058</v>
      </c>
      <c r="AS355" s="13" t="s">
        <v>116</v>
      </c>
      <c r="AT355" s="13" t="s">
        <v>5062</v>
      </c>
      <c r="AU355" s="13" t="s">
        <v>5063</v>
      </c>
      <c r="AV355" s="13" t="s">
        <v>1127</v>
      </c>
      <c r="AW355" s="26"/>
      <c r="AX355" s="26"/>
      <c r="AY355" s="17" t="s">
        <v>5064</v>
      </c>
      <c r="AZ355" s="13" t="s">
        <v>5065</v>
      </c>
      <c r="BA355" s="13" t="s">
        <v>5065</v>
      </c>
      <c r="BB355" s="13" t="s">
        <v>5066</v>
      </c>
      <c r="BC355" s="13" t="s">
        <v>5066</v>
      </c>
      <c r="BD355" s="13">
        <f t="shared" si="12"/>
        <v>42</v>
      </c>
      <c r="BE355" s="17" t="s">
        <v>2453</v>
      </c>
      <c r="BF355" s="17" t="s">
        <v>1133</v>
      </c>
      <c r="BG355" s="17"/>
      <c r="BH355" s="17"/>
      <c r="BI355" s="17"/>
      <c r="BJ355" s="17" t="s">
        <v>1162</v>
      </c>
      <c r="BK355" s="17"/>
      <c r="BL355" s="17"/>
      <c r="BM355" s="17"/>
      <c r="BN355" s="17"/>
      <c r="BO355" s="17" t="s">
        <v>5067</v>
      </c>
      <c r="BP355" s="17"/>
      <c r="BQ355" s="17"/>
      <c r="BR355" s="17"/>
      <c r="BS355" s="17" t="s">
        <v>127</v>
      </c>
      <c r="BT355" s="17"/>
      <c r="BU355" s="17" t="s">
        <v>129</v>
      </c>
      <c r="BV355" s="17"/>
      <c r="BW355" s="17"/>
      <c r="BX355" s="13" t="s">
        <v>5068</v>
      </c>
      <c r="DA355" s="13" t="s">
        <v>10348</v>
      </c>
      <c r="DB355" s="13" t="s">
        <v>10348</v>
      </c>
    </row>
    <row r="356" spans="1:106" s="13" customFormat="1" ht="12.75" customHeight="1" x14ac:dyDescent="0.2">
      <c r="A356" s="13" t="s">
        <v>102</v>
      </c>
      <c r="B356" s="13" t="s">
        <v>103</v>
      </c>
      <c r="D356" s="13" t="s">
        <v>4273</v>
      </c>
      <c r="E356" s="13" t="s">
        <v>4274</v>
      </c>
      <c r="F356" s="13" t="s">
        <v>4273</v>
      </c>
      <c r="H356" s="13" t="s">
        <v>7712</v>
      </c>
      <c r="J356" s="13" t="s">
        <v>106</v>
      </c>
      <c r="W356" s="13">
        <v>449</v>
      </c>
      <c r="X356" s="13">
        <v>449</v>
      </c>
      <c r="Y356" s="13" t="s">
        <v>107</v>
      </c>
      <c r="Z356" s="13" t="s">
        <v>108</v>
      </c>
      <c r="AA356" s="13" t="s">
        <v>107</v>
      </c>
      <c r="AB356" s="13" t="s">
        <v>5069</v>
      </c>
      <c r="AC356" s="13" t="s">
        <v>5069</v>
      </c>
      <c r="AD356" s="17">
        <v>497296</v>
      </c>
      <c r="AE356" s="35" t="s">
        <v>112</v>
      </c>
      <c r="AF356" s="13">
        <v>497296</v>
      </c>
      <c r="AG356" s="32" t="s">
        <v>5069</v>
      </c>
      <c r="AH356" s="35" t="s">
        <v>5070</v>
      </c>
      <c r="AL356" s="13" t="s">
        <v>5071</v>
      </c>
      <c r="AN356" s="13">
        <v>329</v>
      </c>
      <c r="AO356" s="13" t="s">
        <v>5072</v>
      </c>
      <c r="AQ356" s="13" t="s">
        <v>5069</v>
      </c>
      <c r="AR356" s="13" t="s">
        <v>5069</v>
      </c>
      <c r="AS356" s="13" t="s">
        <v>116</v>
      </c>
      <c r="AT356" s="13" t="s">
        <v>5073</v>
      </c>
      <c r="AU356" s="13" t="s">
        <v>5073</v>
      </c>
      <c r="AV356" s="13" t="s">
        <v>5074</v>
      </c>
      <c r="AW356" s="26"/>
      <c r="AX356" s="26"/>
      <c r="AY356" s="17" t="s">
        <v>5075</v>
      </c>
      <c r="AZ356" s="13" t="s">
        <v>5076</v>
      </c>
      <c r="BA356" s="13" t="s">
        <v>5076</v>
      </c>
      <c r="BB356" s="13" t="s">
        <v>5077</v>
      </c>
      <c r="BC356" s="13" t="s">
        <v>5077</v>
      </c>
      <c r="BD356" s="13">
        <f t="shared" si="12"/>
        <v>55</v>
      </c>
      <c r="BE356" s="17" t="s">
        <v>5078</v>
      </c>
      <c r="BF356" s="17" t="s">
        <v>2842</v>
      </c>
      <c r="BG356" s="17" t="s">
        <v>5079</v>
      </c>
      <c r="BH356" s="17"/>
      <c r="BI356" s="17"/>
      <c r="BJ356" s="17" t="s">
        <v>5080</v>
      </c>
      <c r="BK356" s="17"/>
      <c r="BL356" s="17"/>
      <c r="BM356" s="17"/>
      <c r="BN356" s="17"/>
      <c r="BO356" s="17" t="s">
        <v>1933</v>
      </c>
      <c r="BP356" s="17"/>
      <c r="BQ356" s="17"/>
      <c r="BR356" s="17"/>
      <c r="BS356" s="17" t="s">
        <v>127</v>
      </c>
      <c r="BT356" s="17"/>
      <c r="BU356" s="17" t="s">
        <v>129</v>
      </c>
      <c r="BV356" s="17"/>
      <c r="BW356" s="17"/>
      <c r="BX356" s="13" t="s">
        <v>5081</v>
      </c>
      <c r="BY356" s="13" t="s">
        <v>4286</v>
      </c>
      <c r="DA356" s="13" t="s">
        <v>10348</v>
      </c>
      <c r="DB356" s="13" t="s">
        <v>10348</v>
      </c>
    </row>
    <row r="357" spans="1:106" s="13" customFormat="1" ht="12.75" customHeight="1" x14ac:dyDescent="0.2">
      <c r="A357" s="13" t="s">
        <v>102</v>
      </c>
      <c r="B357" s="13" t="s">
        <v>103</v>
      </c>
      <c r="D357" s="13" t="s">
        <v>4273</v>
      </c>
      <c r="E357" s="13" t="s">
        <v>4274</v>
      </c>
      <c r="F357" s="13" t="s">
        <v>4273</v>
      </c>
      <c r="H357" s="13" t="s">
        <v>7712</v>
      </c>
      <c r="J357" s="13" t="s">
        <v>106</v>
      </c>
      <c r="W357" s="13">
        <v>450</v>
      </c>
      <c r="X357" s="13">
        <v>450</v>
      </c>
      <c r="Y357" s="13" t="s">
        <v>107</v>
      </c>
      <c r="Z357" s="13" t="s">
        <v>108</v>
      </c>
      <c r="AA357" s="13" t="s">
        <v>107</v>
      </c>
      <c r="AB357" s="13" t="s">
        <v>5082</v>
      </c>
      <c r="AC357" s="13" t="s">
        <v>5082</v>
      </c>
      <c r="AD357" s="17">
        <v>497297</v>
      </c>
      <c r="AE357" s="35" t="s">
        <v>112</v>
      </c>
      <c r="AF357" s="13">
        <v>497297</v>
      </c>
      <c r="AG357" s="32" t="s">
        <v>5082</v>
      </c>
      <c r="AH357" s="35" t="s">
        <v>5083</v>
      </c>
      <c r="AL357" s="13" t="s">
        <v>5084</v>
      </c>
      <c r="AN357" s="13">
        <v>329</v>
      </c>
      <c r="AO357" s="13" t="s">
        <v>5085</v>
      </c>
      <c r="AQ357" s="13" t="s">
        <v>5082</v>
      </c>
      <c r="AR357" s="13" t="s">
        <v>5082</v>
      </c>
      <c r="AS357" s="13" t="s">
        <v>116</v>
      </c>
      <c r="AT357" s="13" t="s">
        <v>5086</v>
      </c>
      <c r="AU357" s="13" t="s">
        <v>5087</v>
      </c>
      <c r="AV357" s="13" t="s">
        <v>5074</v>
      </c>
      <c r="AW357" s="26"/>
      <c r="AX357" s="26"/>
      <c r="AY357" s="17" t="s">
        <v>5088</v>
      </c>
      <c r="AZ357" s="13" t="s">
        <v>5089</v>
      </c>
      <c r="BA357" s="13" t="s">
        <v>5089</v>
      </c>
      <c r="BB357" s="13" t="s">
        <v>5090</v>
      </c>
      <c r="BC357" s="13" t="s">
        <v>5090</v>
      </c>
      <c r="BD357" s="13">
        <f t="shared" ref="BD357:BD388" si="13">LEN(SUBSTITUTE(BC357, ", "," "))</f>
        <v>55</v>
      </c>
      <c r="BE357" s="17" t="s">
        <v>5078</v>
      </c>
      <c r="BF357" s="17" t="s">
        <v>2842</v>
      </c>
      <c r="BG357" s="17" t="s">
        <v>5079</v>
      </c>
      <c r="BH357" s="17"/>
      <c r="BI357" s="17"/>
      <c r="BJ357" s="17" t="s">
        <v>5091</v>
      </c>
      <c r="BK357" s="17"/>
      <c r="BL357" s="17"/>
      <c r="BM357" s="17"/>
      <c r="BN357" s="17"/>
      <c r="BO357" s="17" t="s">
        <v>1933</v>
      </c>
      <c r="BP357" s="17"/>
      <c r="BQ357" s="17"/>
      <c r="BR357" s="17"/>
      <c r="BS357" s="17" t="s">
        <v>127</v>
      </c>
      <c r="BT357" s="17"/>
      <c r="BU357" s="17" t="s">
        <v>129</v>
      </c>
      <c r="BV357" s="17"/>
      <c r="BW357" s="17"/>
      <c r="BX357" s="13" t="s">
        <v>5092</v>
      </c>
      <c r="BY357" s="13" t="s">
        <v>4286</v>
      </c>
      <c r="DA357" s="13" t="s">
        <v>10348</v>
      </c>
      <c r="DB357" s="13" t="s">
        <v>10348</v>
      </c>
    </row>
    <row r="358" spans="1:106" s="13" customFormat="1" ht="12.75" customHeight="1" x14ac:dyDescent="0.2">
      <c r="A358" s="13" t="s">
        <v>102</v>
      </c>
      <c r="B358" s="13" t="s">
        <v>103</v>
      </c>
      <c r="D358" s="13" t="s">
        <v>4273</v>
      </c>
      <c r="E358" s="13" t="s">
        <v>471</v>
      </c>
      <c r="F358" s="13" t="s">
        <v>4273</v>
      </c>
      <c r="H358" s="13" t="s">
        <v>7712</v>
      </c>
      <c r="J358" s="13" t="s">
        <v>106</v>
      </c>
      <c r="W358" s="13">
        <v>451</v>
      </c>
      <c r="X358" s="13">
        <v>451</v>
      </c>
      <c r="Y358" s="13" t="s">
        <v>107</v>
      </c>
      <c r="Z358" s="13" t="s">
        <v>108</v>
      </c>
      <c r="AA358" s="13" t="s">
        <v>107</v>
      </c>
      <c r="AB358" s="13" t="s">
        <v>5093</v>
      </c>
      <c r="AC358" s="13" t="s">
        <v>5093</v>
      </c>
      <c r="AD358" s="17">
        <v>497401</v>
      </c>
      <c r="AE358" s="35" t="s">
        <v>112</v>
      </c>
      <c r="AF358" s="13">
        <v>497401</v>
      </c>
      <c r="AG358" s="32" t="s">
        <v>5093</v>
      </c>
      <c r="AH358" s="35" t="s">
        <v>5094</v>
      </c>
      <c r="AL358" s="13" t="s">
        <v>5095</v>
      </c>
      <c r="AN358" s="13">
        <v>329</v>
      </c>
      <c r="AO358" s="13" t="s">
        <v>5096</v>
      </c>
      <c r="AQ358" s="13" t="s">
        <v>5093</v>
      </c>
      <c r="AR358" s="13" t="s">
        <v>5093</v>
      </c>
      <c r="AS358" s="13" t="s">
        <v>116</v>
      </c>
      <c r="AT358" s="13" t="s">
        <v>5097</v>
      </c>
      <c r="AU358" s="13" t="s">
        <v>5098</v>
      </c>
      <c r="AV358" s="13" t="s">
        <v>1127</v>
      </c>
      <c r="AW358" s="26"/>
      <c r="AX358" s="26"/>
      <c r="AY358" s="17" t="s">
        <v>5099</v>
      </c>
      <c r="AZ358" s="13" t="s">
        <v>5100</v>
      </c>
      <c r="BA358" s="13" t="s">
        <v>5100</v>
      </c>
      <c r="BB358" s="13" t="s">
        <v>5101</v>
      </c>
      <c r="BC358" s="13" t="s">
        <v>5101</v>
      </c>
      <c r="BD358" s="13">
        <f t="shared" si="13"/>
        <v>43</v>
      </c>
      <c r="BE358" s="17" t="s">
        <v>2453</v>
      </c>
      <c r="BF358" s="17" t="s">
        <v>1133</v>
      </c>
      <c r="BG358" s="17"/>
      <c r="BH358" s="17"/>
      <c r="BI358" s="17"/>
      <c r="BJ358" s="17" t="s">
        <v>2517</v>
      </c>
      <c r="BK358" s="17"/>
      <c r="BL358" s="17"/>
      <c r="BM358" s="17"/>
      <c r="BN358" s="17" t="s">
        <v>1163</v>
      </c>
      <c r="BO358" s="17" t="s">
        <v>5102</v>
      </c>
      <c r="BP358" s="17"/>
      <c r="BQ358" s="17"/>
      <c r="BR358" s="17"/>
      <c r="BS358" s="17" t="s">
        <v>127</v>
      </c>
      <c r="BT358" s="17"/>
      <c r="BU358" s="17" t="s">
        <v>129</v>
      </c>
      <c r="BV358" s="17"/>
      <c r="BW358" s="17"/>
      <c r="BX358" s="13" t="s">
        <v>5103</v>
      </c>
      <c r="DA358" s="13" t="s">
        <v>10348</v>
      </c>
      <c r="DB358" s="13" t="s">
        <v>10348</v>
      </c>
    </row>
    <row r="359" spans="1:106" s="13" customFormat="1" ht="12.75" customHeight="1" x14ac:dyDescent="0.2">
      <c r="A359" s="13" t="s">
        <v>102</v>
      </c>
      <c r="B359" s="13" t="s">
        <v>103</v>
      </c>
      <c r="D359" s="13" t="s">
        <v>4273</v>
      </c>
      <c r="E359" s="13" t="s">
        <v>471</v>
      </c>
      <c r="F359" s="13" t="s">
        <v>4273</v>
      </c>
      <c r="H359" s="13" t="s">
        <v>7712</v>
      </c>
      <c r="J359" s="13" t="s">
        <v>106</v>
      </c>
      <c r="W359" s="13">
        <v>452</v>
      </c>
      <c r="X359" s="13">
        <v>452</v>
      </c>
      <c r="Y359" s="13" t="s">
        <v>107</v>
      </c>
      <c r="Z359" s="13" t="s">
        <v>108</v>
      </c>
      <c r="AA359" s="13" t="s">
        <v>107</v>
      </c>
      <c r="AB359" s="13" t="s">
        <v>5104</v>
      </c>
      <c r="AC359" s="13" t="s">
        <v>5104</v>
      </c>
      <c r="AD359" s="17">
        <v>497402</v>
      </c>
      <c r="AE359" s="35" t="s">
        <v>112</v>
      </c>
      <c r="AF359" s="13">
        <v>497402</v>
      </c>
      <c r="AG359" s="32" t="s">
        <v>5104</v>
      </c>
      <c r="AH359" s="35" t="s">
        <v>5105</v>
      </c>
      <c r="AL359" s="13" t="s">
        <v>5106</v>
      </c>
      <c r="AN359" s="13">
        <v>329</v>
      </c>
      <c r="AO359" s="13" t="s">
        <v>5107</v>
      </c>
      <c r="AQ359" s="13" t="s">
        <v>5104</v>
      </c>
      <c r="AR359" s="13" t="s">
        <v>5104</v>
      </c>
      <c r="AS359" s="13" t="s">
        <v>116</v>
      </c>
      <c r="AT359" s="13" t="s">
        <v>5108</v>
      </c>
      <c r="AU359" s="13" t="s">
        <v>5098</v>
      </c>
      <c r="AV359" s="13" t="s">
        <v>1127</v>
      </c>
      <c r="AW359" s="26"/>
      <c r="AX359" s="26"/>
      <c r="AY359" s="17" t="s">
        <v>5109</v>
      </c>
      <c r="AZ359" s="13" t="s">
        <v>5110</v>
      </c>
      <c r="BA359" s="13" t="s">
        <v>5110</v>
      </c>
      <c r="BB359" s="13" t="s">
        <v>5111</v>
      </c>
      <c r="BC359" s="13" t="s">
        <v>5111</v>
      </c>
      <c r="BD359" s="13">
        <f t="shared" si="13"/>
        <v>43</v>
      </c>
      <c r="BE359" s="17" t="s">
        <v>2453</v>
      </c>
      <c r="BF359" s="17" t="s">
        <v>1133</v>
      </c>
      <c r="BG359" s="17"/>
      <c r="BH359" s="17"/>
      <c r="BI359" s="17"/>
      <c r="BJ359" s="17" t="s">
        <v>2644</v>
      </c>
      <c r="BK359" s="17"/>
      <c r="BL359" s="17"/>
      <c r="BM359" s="17"/>
      <c r="BN359" s="17" t="s">
        <v>1163</v>
      </c>
      <c r="BO359" s="17" t="s">
        <v>5102</v>
      </c>
      <c r="BP359" s="17"/>
      <c r="BQ359" s="17"/>
      <c r="BR359" s="17"/>
      <c r="BS359" s="17" t="s">
        <v>127</v>
      </c>
      <c r="BT359" s="17"/>
      <c r="BU359" s="17" t="s">
        <v>129</v>
      </c>
      <c r="BV359" s="17"/>
      <c r="BW359" s="17"/>
      <c r="BX359" s="13" t="s">
        <v>5112</v>
      </c>
      <c r="DA359" s="13" t="s">
        <v>10348</v>
      </c>
      <c r="DB359" s="13" t="s">
        <v>10348</v>
      </c>
    </row>
    <row r="360" spans="1:106" s="13" customFormat="1" ht="12.75" customHeight="1" x14ac:dyDescent="0.2">
      <c r="A360" s="13" t="s">
        <v>102</v>
      </c>
      <c r="B360" s="13" t="s">
        <v>103</v>
      </c>
      <c r="D360" s="13" t="s">
        <v>4273</v>
      </c>
      <c r="E360" s="13" t="s">
        <v>471</v>
      </c>
      <c r="F360" s="13" t="s">
        <v>4273</v>
      </c>
      <c r="H360" s="13" t="s">
        <v>7712</v>
      </c>
      <c r="J360" s="13" t="s">
        <v>106</v>
      </c>
      <c r="W360" s="13">
        <v>453</v>
      </c>
      <c r="X360" s="13">
        <v>453</v>
      </c>
      <c r="Y360" s="13" t="s">
        <v>107</v>
      </c>
      <c r="Z360" s="13" t="s">
        <v>108</v>
      </c>
      <c r="AA360" s="13" t="s">
        <v>107</v>
      </c>
      <c r="AB360" s="13" t="s">
        <v>5113</v>
      </c>
      <c r="AC360" s="13" t="s">
        <v>5113</v>
      </c>
      <c r="AD360" s="17">
        <v>497404</v>
      </c>
      <c r="AE360" s="35" t="s">
        <v>112</v>
      </c>
      <c r="AF360" s="13">
        <v>497404</v>
      </c>
      <c r="AG360" s="32" t="s">
        <v>5113</v>
      </c>
      <c r="AH360" s="35" t="s">
        <v>5114</v>
      </c>
      <c r="AL360" s="13" t="s">
        <v>5115</v>
      </c>
      <c r="AN360" s="13">
        <v>329</v>
      </c>
      <c r="AO360" s="13" t="s">
        <v>5116</v>
      </c>
      <c r="AQ360" s="13" t="s">
        <v>5113</v>
      </c>
      <c r="AR360" s="13" t="s">
        <v>5113</v>
      </c>
      <c r="AS360" s="13" t="s">
        <v>116</v>
      </c>
      <c r="AT360" s="13" t="s">
        <v>5117</v>
      </c>
      <c r="AU360" s="13" t="s">
        <v>5098</v>
      </c>
      <c r="AV360" s="13" t="s">
        <v>1127</v>
      </c>
      <c r="AW360" s="26"/>
      <c r="AX360" s="26"/>
      <c r="AY360" s="17" t="s">
        <v>5118</v>
      </c>
      <c r="AZ360" s="13" t="s">
        <v>5119</v>
      </c>
      <c r="BA360" s="13" t="s">
        <v>5119</v>
      </c>
      <c r="BB360" s="13" t="s">
        <v>5120</v>
      </c>
      <c r="BC360" s="13" t="s">
        <v>5120</v>
      </c>
      <c r="BD360" s="13">
        <f t="shared" si="13"/>
        <v>43</v>
      </c>
      <c r="BE360" s="17" t="s">
        <v>2453</v>
      </c>
      <c r="BF360" s="17" t="s">
        <v>1133</v>
      </c>
      <c r="BG360" s="17"/>
      <c r="BH360" s="17"/>
      <c r="BI360" s="17"/>
      <c r="BJ360" s="17" t="s">
        <v>2767</v>
      </c>
      <c r="BK360" s="17"/>
      <c r="BL360" s="17"/>
      <c r="BM360" s="17"/>
      <c r="BN360" s="17" t="s">
        <v>1163</v>
      </c>
      <c r="BO360" s="17" t="s">
        <v>5102</v>
      </c>
      <c r="BP360" s="17"/>
      <c r="BQ360" s="17"/>
      <c r="BR360" s="17"/>
      <c r="BS360" s="17" t="s">
        <v>127</v>
      </c>
      <c r="BT360" s="17"/>
      <c r="BU360" s="17" t="s">
        <v>129</v>
      </c>
      <c r="BV360" s="17"/>
      <c r="BW360" s="17"/>
      <c r="BX360" s="13" t="s">
        <v>5121</v>
      </c>
      <c r="DA360" s="13" t="s">
        <v>10348</v>
      </c>
      <c r="DB360" s="13" t="s">
        <v>10348</v>
      </c>
    </row>
    <row r="361" spans="1:106" s="13" customFormat="1" ht="12.75" customHeight="1" x14ac:dyDescent="0.2">
      <c r="A361" s="13" t="s">
        <v>102</v>
      </c>
      <c r="B361" s="13" t="s">
        <v>103</v>
      </c>
      <c r="D361" s="13" t="s">
        <v>4273</v>
      </c>
      <c r="E361" s="13" t="s">
        <v>471</v>
      </c>
      <c r="F361" s="13" t="s">
        <v>4273</v>
      </c>
      <c r="H361" s="13" t="s">
        <v>7712</v>
      </c>
      <c r="J361" s="13" t="s">
        <v>106</v>
      </c>
      <c r="W361" s="13">
        <v>454</v>
      </c>
      <c r="X361" s="13">
        <v>454</v>
      </c>
      <c r="Y361" s="13" t="s">
        <v>107</v>
      </c>
      <c r="Z361" s="13" t="s">
        <v>108</v>
      </c>
      <c r="AA361" s="13" t="s">
        <v>107</v>
      </c>
      <c r="AB361" s="13" t="s">
        <v>5122</v>
      </c>
      <c r="AC361" s="13" t="s">
        <v>5122</v>
      </c>
      <c r="AD361" s="17">
        <v>497414</v>
      </c>
      <c r="AE361" s="35" t="s">
        <v>112</v>
      </c>
      <c r="AF361" s="13">
        <v>497414</v>
      </c>
      <c r="AG361" s="32" t="s">
        <v>5122</v>
      </c>
      <c r="AH361" s="35" t="s">
        <v>5123</v>
      </c>
      <c r="AL361" s="13" t="s">
        <v>5124</v>
      </c>
      <c r="AN361" s="13">
        <v>329</v>
      </c>
      <c r="AO361" s="13" t="s">
        <v>5125</v>
      </c>
      <c r="AQ361" s="13" t="s">
        <v>5122</v>
      </c>
      <c r="AR361" s="13" t="s">
        <v>5122</v>
      </c>
      <c r="AS361" s="13" t="s">
        <v>116</v>
      </c>
      <c r="AT361" s="13" t="s">
        <v>4842</v>
      </c>
      <c r="AU361" s="13" t="s">
        <v>4812</v>
      </c>
      <c r="AV361" s="13" t="s">
        <v>1127</v>
      </c>
      <c r="AW361" s="26"/>
      <c r="AX361" s="26"/>
      <c r="AY361" s="17" t="s">
        <v>5126</v>
      </c>
      <c r="AZ361" s="13" t="s">
        <v>5127</v>
      </c>
      <c r="BA361" s="13" t="s">
        <v>5127</v>
      </c>
      <c r="BB361" s="13" t="s">
        <v>5128</v>
      </c>
      <c r="BC361" s="13" t="s">
        <v>5128</v>
      </c>
      <c r="BD361" s="13">
        <f t="shared" si="13"/>
        <v>42</v>
      </c>
      <c r="BE361" s="17" t="s">
        <v>2453</v>
      </c>
      <c r="BF361" s="17" t="s">
        <v>1133</v>
      </c>
      <c r="BG361" s="17" t="s">
        <v>4463</v>
      </c>
      <c r="BH361" s="17"/>
      <c r="BI361" s="17"/>
      <c r="BJ361" s="17" t="s">
        <v>2767</v>
      </c>
      <c r="BK361" s="17"/>
      <c r="BL361" s="17"/>
      <c r="BM361" s="17"/>
      <c r="BN361" s="17"/>
      <c r="BO361" s="17" t="s">
        <v>4364</v>
      </c>
      <c r="BP361" s="17"/>
      <c r="BQ361" s="17"/>
      <c r="BR361" s="17"/>
      <c r="BS361" s="17" t="s">
        <v>127</v>
      </c>
      <c r="BT361" s="17"/>
      <c r="BU361" s="17" t="s">
        <v>129</v>
      </c>
      <c r="BV361" s="17"/>
      <c r="BW361" s="17"/>
      <c r="BX361" s="13" t="s">
        <v>5129</v>
      </c>
      <c r="DA361" s="13" t="s">
        <v>10348</v>
      </c>
      <c r="DB361" s="13" t="s">
        <v>10348</v>
      </c>
    </row>
    <row r="362" spans="1:106" s="13" customFormat="1" ht="12.75" customHeight="1" x14ac:dyDescent="0.2">
      <c r="A362" s="13" t="s">
        <v>102</v>
      </c>
      <c r="B362" s="13" t="s">
        <v>103</v>
      </c>
      <c r="D362" s="13" t="s">
        <v>4273</v>
      </c>
      <c r="E362" s="13" t="s">
        <v>4274</v>
      </c>
      <c r="F362" s="13" t="s">
        <v>4273</v>
      </c>
      <c r="H362" s="13" t="s">
        <v>7712</v>
      </c>
      <c r="J362" s="13" t="s">
        <v>106</v>
      </c>
      <c r="W362" s="13">
        <v>455</v>
      </c>
      <c r="X362" s="13">
        <v>455</v>
      </c>
      <c r="Y362" s="13" t="s">
        <v>107</v>
      </c>
      <c r="Z362" s="13" t="s">
        <v>108</v>
      </c>
      <c r="AA362" s="13" t="s">
        <v>107</v>
      </c>
      <c r="AB362" s="13" t="s">
        <v>5130</v>
      </c>
      <c r="AC362" s="13" t="s">
        <v>5130</v>
      </c>
      <c r="AD362" s="17">
        <v>497423</v>
      </c>
      <c r="AE362" s="35" t="s">
        <v>112</v>
      </c>
      <c r="AF362" s="13">
        <v>497423</v>
      </c>
      <c r="AG362" s="32" t="s">
        <v>5130</v>
      </c>
      <c r="AH362" s="35" t="s">
        <v>5131</v>
      </c>
      <c r="AL362" s="13" t="s">
        <v>5132</v>
      </c>
      <c r="AN362" s="13">
        <v>329</v>
      </c>
      <c r="AO362" s="13" t="s">
        <v>5133</v>
      </c>
      <c r="AQ362" s="13" t="s">
        <v>5130</v>
      </c>
      <c r="AR362" s="13" t="s">
        <v>5130</v>
      </c>
      <c r="AS362" s="13" t="s">
        <v>116</v>
      </c>
      <c r="AT362" s="13" t="s">
        <v>5134</v>
      </c>
      <c r="AU362" s="13" t="s">
        <v>5135</v>
      </c>
      <c r="AV362" s="13" t="s">
        <v>1127</v>
      </c>
      <c r="AW362" s="26"/>
      <c r="AX362" s="26"/>
      <c r="AY362" s="17" t="s">
        <v>5136</v>
      </c>
      <c r="AZ362" s="13" t="s">
        <v>5137</v>
      </c>
      <c r="BA362" s="13" t="s">
        <v>5137</v>
      </c>
      <c r="BB362" s="13" t="s">
        <v>5138</v>
      </c>
      <c r="BC362" s="13" t="s">
        <v>5139</v>
      </c>
      <c r="BD362" s="13">
        <f t="shared" si="13"/>
        <v>60</v>
      </c>
      <c r="BE362" s="17" t="s">
        <v>2453</v>
      </c>
      <c r="BF362" s="17" t="s">
        <v>1133</v>
      </c>
      <c r="BG362" s="17" t="s">
        <v>4652</v>
      </c>
      <c r="BH362" s="31" t="s">
        <v>4738</v>
      </c>
      <c r="BI362" s="17"/>
      <c r="BJ362" s="17" t="s">
        <v>4531</v>
      </c>
      <c r="BK362" s="17"/>
      <c r="BL362" s="17"/>
      <c r="BM362" s="17"/>
      <c r="BN362" s="17" t="s">
        <v>1163</v>
      </c>
      <c r="BO362" s="17" t="s">
        <v>4464</v>
      </c>
      <c r="BP362" s="17"/>
      <c r="BQ362" s="17"/>
      <c r="BR362" s="17"/>
      <c r="BS362" s="17" t="s">
        <v>127</v>
      </c>
      <c r="BT362" s="17"/>
      <c r="BU362" s="17" t="s">
        <v>129</v>
      </c>
      <c r="BV362" s="17"/>
      <c r="BW362" s="17" t="s">
        <v>5140</v>
      </c>
      <c r="BX362" s="13" t="s">
        <v>5141</v>
      </c>
      <c r="BY362" s="13" t="s">
        <v>4286</v>
      </c>
      <c r="DA362" s="13" t="s">
        <v>10348</v>
      </c>
      <c r="DB362" s="13" t="s">
        <v>10348</v>
      </c>
    </row>
    <row r="363" spans="1:106" s="13" customFormat="1" ht="12.75" customHeight="1" x14ac:dyDescent="0.2">
      <c r="A363" s="13" t="s">
        <v>102</v>
      </c>
      <c r="B363" s="13" t="s">
        <v>103</v>
      </c>
      <c r="D363" s="13" t="s">
        <v>4273</v>
      </c>
      <c r="E363" s="13" t="s">
        <v>4274</v>
      </c>
      <c r="F363" s="13" t="s">
        <v>4273</v>
      </c>
      <c r="H363" s="13" t="s">
        <v>7712</v>
      </c>
      <c r="J363" s="13" t="s">
        <v>106</v>
      </c>
      <c r="W363" s="13">
        <v>456</v>
      </c>
      <c r="X363" s="13">
        <v>456</v>
      </c>
      <c r="Y363" s="13" t="s">
        <v>107</v>
      </c>
      <c r="Z363" s="13" t="s">
        <v>108</v>
      </c>
      <c r="AA363" s="13" t="s">
        <v>107</v>
      </c>
      <c r="AB363" s="13" t="s">
        <v>5142</v>
      </c>
      <c r="AC363" s="13" t="s">
        <v>5142</v>
      </c>
      <c r="AD363" s="17">
        <v>497425</v>
      </c>
      <c r="AE363" s="35" t="s">
        <v>112</v>
      </c>
      <c r="AF363" s="13">
        <v>497425</v>
      </c>
      <c r="AG363" s="32" t="s">
        <v>5142</v>
      </c>
      <c r="AH363" s="35" t="s">
        <v>5143</v>
      </c>
      <c r="AL363" s="13" t="s">
        <v>5144</v>
      </c>
      <c r="AN363" s="13">
        <v>329</v>
      </c>
      <c r="AO363" s="13" t="s">
        <v>5145</v>
      </c>
      <c r="AQ363" s="13" t="s">
        <v>5142</v>
      </c>
      <c r="AR363" s="13" t="s">
        <v>5142</v>
      </c>
      <c r="AS363" s="13" t="s">
        <v>116</v>
      </c>
      <c r="AT363" s="13" t="s">
        <v>5146</v>
      </c>
      <c r="AU363" s="13" t="s">
        <v>5135</v>
      </c>
      <c r="AV363" s="13" t="s">
        <v>1127</v>
      </c>
      <c r="AW363" s="26"/>
      <c r="AX363" s="26"/>
      <c r="AY363" s="17" t="s">
        <v>5147</v>
      </c>
      <c r="AZ363" s="13" t="s">
        <v>5148</v>
      </c>
      <c r="BA363" s="13" t="s">
        <v>5148</v>
      </c>
      <c r="BB363" s="13" t="s">
        <v>5149</v>
      </c>
      <c r="BC363" s="13" t="s">
        <v>5150</v>
      </c>
      <c r="BD363" s="13">
        <f t="shared" si="13"/>
        <v>60</v>
      </c>
      <c r="BE363" s="17" t="s">
        <v>2453</v>
      </c>
      <c r="BF363" s="17" t="s">
        <v>1133</v>
      </c>
      <c r="BG363" s="17" t="s">
        <v>4652</v>
      </c>
      <c r="BH363" s="31" t="s">
        <v>4738</v>
      </c>
      <c r="BI363" s="17"/>
      <c r="BJ363" s="17" t="s">
        <v>4761</v>
      </c>
      <c r="BK363" s="17"/>
      <c r="BL363" s="17"/>
      <c r="BM363" s="17"/>
      <c r="BN363" s="17" t="s">
        <v>1163</v>
      </c>
      <c r="BO363" s="17" t="s">
        <v>4464</v>
      </c>
      <c r="BP363" s="17"/>
      <c r="BQ363" s="17"/>
      <c r="BR363" s="17"/>
      <c r="BS363" s="17" t="s">
        <v>127</v>
      </c>
      <c r="BT363" s="17"/>
      <c r="BU363" s="17" t="s">
        <v>129</v>
      </c>
      <c r="BV363" s="17"/>
      <c r="BW363" s="17" t="s">
        <v>5140</v>
      </c>
      <c r="BX363" s="13" t="s">
        <v>5151</v>
      </c>
      <c r="BY363" s="13" t="s">
        <v>4286</v>
      </c>
      <c r="DA363" s="13" t="s">
        <v>10348</v>
      </c>
      <c r="DB363" s="13" t="s">
        <v>10348</v>
      </c>
    </row>
    <row r="364" spans="1:106" s="13" customFormat="1" ht="12.75" customHeight="1" x14ac:dyDescent="0.2">
      <c r="A364" s="13" t="s">
        <v>102</v>
      </c>
      <c r="B364" s="13" t="s">
        <v>103</v>
      </c>
      <c r="D364" s="13" t="s">
        <v>4273</v>
      </c>
      <c r="E364" s="13" t="s">
        <v>4274</v>
      </c>
      <c r="F364" s="13" t="s">
        <v>4273</v>
      </c>
      <c r="H364" s="13" t="s">
        <v>7712</v>
      </c>
      <c r="J364" s="13" t="s">
        <v>106</v>
      </c>
      <c r="W364" s="13">
        <v>457</v>
      </c>
      <c r="X364" s="13">
        <v>457</v>
      </c>
      <c r="Y364" s="13" t="s">
        <v>107</v>
      </c>
      <c r="Z364" s="13" t="s">
        <v>108</v>
      </c>
      <c r="AA364" s="13" t="s">
        <v>107</v>
      </c>
      <c r="AB364" s="13" t="s">
        <v>5152</v>
      </c>
      <c r="AC364" s="13" t="s">
        <v>5152</v>
      </c>
      <c r="AD364" s="17">
        <v>497426</v>
      </c>
      <c r="AE364" s="35" t="s">
        <v>112</v>
      </c>
      <c r="AF364" s="13">
        <v>497426</v>
      </c>
      <c r="AG364" s="32" t="s">
        <v>5152</v>
      </c>
      <c r="AH364" s="35" t="s">
        <v>5153</v>
      </c>
      <c r="AL364" s="13" t="s">
        <v>5154</v>
      </c>
      <c r="AN364" s="13">
        <v>329</v>
      </c>
      <c r="AO364" s="13" t="s">
        <v>5155</v>
      </c>
      <c r="AQ364" s="13" t="s">
        <v>5152</v>
      </c>
      <c r="AR364" s="13" t="s">
        <v>5152</v>
      </c>
      <c r="AS364" s="13" t="s">
        <v>116</v>
      </c>
      <c r="AT364" s="13" t="s">
        <v>5156</v>
      </c>
      <c r="AU364" s="13" t="s">
        <v>5135</v>
      </c>
      <c r="AV364" s="13" t="s">
        <v>1127</v>
      </c>
      <c r="AW364" s="26"/>
      <c r="AX364" s="26"/>
      <c r="AY364" s="17" t="s">
        <v>5157</v>
      </c>
      <c r="AZ364" s="13" t="s">
        <v>5158</v>
      </c>
      <c r="BA364" s="13" t="s">
        <v>5158</v>
      </c>
      <c r="BB364" s="13" t="s">
        <v>5159</v>
      </c>
      <c r="BC364" s="13" t="s">
        <v>5160</v>
      </c>
      <c r="BD364" s="13">
        <f t="shared" si="13"/>
        <v>60</v>
      </c>
      <c r="BE364" s="17" t="s">
        <v>2453</v>
      </c>
      <c r="BF364" s="17" t="s">
        <v>1133</v>
      </c>
      <c r="BG364" s="17" t="s">
        <v>4652</v>
      </c>
      <c r="BH364" s="31" t="s">
        <v>4738</v>
      </c>
      <c r="BI364" s="17"/>
      <c r="BJ364" s="17" t="s">
        <v>4553</v>
      </c>
      <c r="BK364" s="17"/>
      <c r="BL364" s="17"/>
      <c r="BM364" s="17"/>
      <c r="BN364" s="17" t="s">
        <v>1163</v>
      </c>
      <c r="BO364" s="17" t="s">
        <v>4464</v>
      </c>
      <c r="BP364" s="17"/>
      <c r="BQ364" s="17"/>
      <c r="BR364" s="17"/>
      <c r="BS364" s="17" t="s">
        <v>127</v>
      </c>
      <c r="BT364" s="17"/>
      <c r="BU364" s="17" t="s">
        <v>129</v>
      </c>
      <c r="BV364" s="17"/>
      <c r="BW364" s="17" t="s">
        <v>5140</v>
      </c>
      <c r="BX364" s="13" t="s">
        <v>5161</v>
      </c>
      <c r="BY364" s="13" t="s">
        <v>4286</v>
      </c>
      <c r="DA364" s="13" t="s">
        <v>10348</v>
      </c>
      <c r="DB364" s="13" t="s">
        <v>10348</v>
      </c>
    </row>
    <row r="365" spans="1:106" s="13" customFormat="1" ht="12.75" customHeight="1" x14ac:dyDescent="0.2">
      <c r="A365" s="13" t="s">
        <v>102</v>
      </c>
      <c r="B365" s="13" t="s">
        <v>103</v>
      </c>
      <c r="D365" s="13" t="s">
        <v>4273</v>
      </c>
      <c r="E365" s="13" t="s">
        <v>4274</v>
      </c>
      <c r="F365" s="13" t="s">
        <v>4273</v>
      </c>
      <c r="H365" s="13" t="s">
        <v>7712</v>
      </c>
      <c r="J365" s="13" t="s">
        <v>106</v>
      </c>
      <c r="W365" s="13">
        <v>458</v>
      </c>
      <c r="X365" s="13">
        <v>458</v>
      </c>
      <c r="Y365" s="13" t="s">
        <v>107</v>
      </c>
      <c r="Z365" s="13" t="s">
        <v>108</v>
      </c>
      <c r="AA365" s="13" t="s">
        <v>107</v>
      </c>
      <c r="AB365" s="13" t="s">
        <v>5162</v>
      </c>
      <c r="AC365" s="13" t="s">
        <v>5162</v>
      </c>
      <c r="AD365" s="17">
        <v>497432</v>
      </c>
      <c r="AE365" s="35" t="s">
        <v>112</v>
      </c>
      <c r="AF365" s="13">
        <v>497432</v>
      </c>
      <c r="AG365" s="32" t="s">
        <v>5162</v>
      </c>
      <c r="AH365" s="35" t="s">
        <v>5163</v>
      </c>
      <c r="AL365" s="13" t="s">
        <v>5164</v>
      </c>
      <c r="AN365" s="13">
        <v>329</v>
      </c>
      <c r="AO365" s="13" t="s">
        <v>5165</v>
      </c>
      <c r="AQ365" s="13" t="s">
        <v>5162</v>
      </c>
      <c r="AR365" s="13" t="s">
        <v>5162</v>
      </c>
      <c r="AS365" s="13" t="s">
        <v>116</v>
      </c>
      <c r="AT365" s="13" t="s">
        <v>4458</v>
      </c>
      <c r="AU365" s="13" t="s">
        <v>4459</v>
      </c>
      <c r="AV365" s="13" t="s">
        <v>1127</v>
      </c>
      <c r="AW365" s="26"/>
      <c r="AX365" s="26"/>
      <c r="AY365" s="17" t="s">
        <v>5166</v>
      </c>
      <c r="AZ365" s="13" t="s">
        <v>5167</v>
      </c>
      <c r="BA365" s="13" t="s">
        <v>5167</v>
      </c>
      <c r="BB365" s="13" t="s">
        <v>5168</v>
      </c>
      <c r="BC365" s="13" t="s">
        <v>5169</v>
      </c>
      <c r="BD365" s="13">
        <f t="shared" si="13"/>
        <v>54</v>
      </c>
      <c r="BE365" s="17" t="s">
        <v>2453</v>
      </c>
      <c r="BF365" s="17" t="s">
        <v>1133</v>
      </c>
      <c r="BG365" s="17" t="s">
        <v>4737</v>
      </c>
      <c r="BH365" s="31" t="s">
        <v>4738</v>
      </c>
      <c r="BI365" s="17"/>
      <c r="BJ365" s="17" t="s">
        <v>4520</v>
      </c>
      <c r="BK365" s="17"/>
      <c r="BL365" s="17"/>
      <c r="BM365" s="17"/>
      <c r="BN365" s="17"/>
      <c r="BO365" s="17" t="s">
        <v>5170</v>
      </c>
      <c r="BP365" s="17"/>
      <c r="BQ365" s="17"/>
      <c r="BR365" s="17"/>
      <c r="BS365" s="17" t="s">
        <v>127</v>
      </c>
      <c r="BT365" s="17"/>
      <c r="BU365" s="17" t="s">
        <v>129</v>
      </c>
      <c r="BV365" s="17"/>
      <c r="BW365" s="17"/>
      <c r="BX365" s="13" t="s">
        <v>5171</v>
      </c>
      <c r="BY365" s="13" t="s">
        <v>4286</v>
      </c>
      <c r="DA365" s="13" t="s">
        <v>10348</v>
      </c>
      <c r="DB365" s="13" t="s">
        <v>10348</v>
      </c>
    </row>
    <row r="366" spans="1:106" s="13" customFormat="1" ht="12.75" customHeight="1" x14ac:dyDescent="0.2">
      <c r="A366" s="13" t="s">
        <v>102</v>
      </c>
      <c r="B366" s="13" t="s">
        <v>103</v>
      </c>
      <c r="D366" s="13" t="s">
        <v>4273</v>
      </c>
      <c r="E366" s="13" t="s">
        <v>4274</v>
      </c>
      <c r="F366" s="13" t="s">
        <v>4273</v>
      </c>
      <c r="H366" s="13" t="s">
        <v>7712</v>
      </c>
      <c r="J366" s="13" t="s">
        <v>106</v>
      </c>
      <c r="W366" s="13">
        <v>459</v>
      </c>
      <c r="X366" s="13">
        <v>459</v>
      </c>
      <c r="Y366" s="13" t="s">
        <v>107</v>
      </c>
      <c r="Z366" s="13" t="s">
        <v>108</v>
      </c>
      <c r="AA366" s="13" t="s">
        <v>107</v>
      </c>
      <c r="AB366" s="13" t="s">
        <v>5172</v>
      </c>
      <c r="AC366" s="13" t="s">
        <v>5172</v>
      </c>
      <c r="AD366" s="17">
        <v>497433</v>
      </c>
      <c r="AE366" s="35" t="s">
        <v>112</v>
      </c>
      <c r="AF366" s="13">
        <v>497433</v>
      </c>
      <c r="AG366" s="32" t="s">
        <v>5172</v>
      </c>
      <c r="AH366" s="35" t="s">
        <v>5173</v>
      </c>
      <c r="AL366" s="13" t="s">
        <v>5174</v>
      </c>
      <c r="AN366" s="13">
        <v>329</v>
      </c>
      <c r="AO366" s="13" t="s">
        <v>5175</v>
      </c>
      <c r="AQ366" s="13" t="s">
        <v>5172</v>
      </c>
      <c r="AR366" s="13" t="s">
        <v>5172</v>
      </c>
      <c r="AS366" s="13" t="s">
        <v>116</v>
      </c>
      <c r="AT366" s="13" t="s">
        <v>5176</v>
      </c>
      <c r="AU366" s="13" t="s">
        <v>4459</v>
      </c>
      <c r="AV366" s="13" t="s">
        <v>1127</v>
      </c>
      <c r="AW366" s="26"/>
      <c r="AX366" s="26"/>
      <c r="AY366" s="17" t="s">
        <v>5177</v>
      </c>
      <c r="AZ366" s="13" t="s">
        <v>5178</v>
      </c>
      <c r="BA366" s="13" t="s">
        <v>5178</v>
      </c>
      <c r="BB366" s="13" t="s">
        <v>5179</v>
      </c>
      <c r="BC366" s="13" t="s">
        <v>5180</v>
      </c>
      <c r="BD366" s="13">
        <f t="shared" si="13"/>
        <v>57</v>
      </c>
      <c r="BE366" s="17" t="s">
        <v>2453</v>
      </c>
      <c r="BF366" s="17" t="s">
        <v>1133</v>
      </c>
      <c r="BG366" s="17" t="s">
        <v>4737</v>
      </c>
      <c r="BH366" s="31" t="s">
        <v>4738</v>
      </c>
      <c r="BI366" s="17"/>
      <c r="BJ366" s="17" t="s">
        <v>4531</v>
      </c>
      <c r="BK366" s="17"/>
      <c r="BL366" s="17"/>
      <c r="BM366" s="17"/>
      <c r="BN366" s="17"/>
      <c r="BO366" s="17" t="s">
        <v>5170</v>
      </c>
      <c r="BP366" s="17"/>
      <c r="BQ366" s="17"/>
      <c r="BR366" s="17"/>
      <c r="BS366" s="17" t="s">
        <v>127</v>
      </c>
      <c r="BT366" s="17"/>
      <c r="BU366" s="17" t="s">
        <v>129</v>
      </c>
      <c r="BV366" s="17"/>
      <c r="BW366" s="17"/>
      <c r="BX366" s="13" t="s">
        <v>5181</v>
      </c>
      <c r="BY366" s="13" t="s">
        <v>4286</v>
      </c>
      <c r="DA366" s="13" t="s">
        <v>10348</v>
      </c>
      <c r="DB366" s="13" t="s">
        <v>10348</v>
      </c>
    </row>
    <row r="367" spans="1:106" s="13" customFormat="1" ht="12.75" customHeight="1" x14ac:dyDescent="0.2">
      <c r="A367" s="13" t="s">
        <v>102</v>
      </c>
      <c r="B367" s="13" t="s">
        <v>103</v>
      </c>
      <c r="D367" s="13" t="s">
        <v>4273</v>
      </c>
      <c r="E367" s="13" t="s">
        <v>4274</v>
      </c>
      <c r="F367" s="13" t="s">
        <v>4273</v>
      </c>
      <c r="H367" s="13" t="s">
        <v>7712</v>
      </c>
      <c r="J367" s="13" t="s">
        <v>106</v>
      </c>
      <c r="W367" s="13">
        <v>460</v>
      </c>
      <c r="X367" s="13">
        <v>460</v>
      </c>
      <c r="Y367" s="13" t="s">
        <v>107</v>
      </c>
      <c r="Z367" s="13" t="s">
        <v>108</v>
      </c>
      <c r="AA367" s="13" t="s">
        <v>107</v>
      </c>
      <c r="AB367" s="13" t="s">
        <v>5182</v>
      </c>
      <c r="AC367" s="13" t="s">
        <v>5182</v>
      </c>
      <c r="AD367" s="17">
        <v>497434</v>
      </c>
      <c r="AE367" s="35" t="s">
        <v>112</v>
      </c>
      <c r="AF367" s="13">
        <v>497434</v>
      </c>
      <c r="AG367" s="32" t="s">
        <v>5182</v>
      </c>
      <c r="AH367" s="35" t="s">
        <v>5183</v>
      </c>
      <c r="AL367" s="13" t="s">
        <v>5184</v>
      </c>
      <c r="AN367" s="13">
        <v>329</v>
      </c>
      <c r="AO367" s="13" t="s">
        <v>5185</v>
      </c>
      <c r="AQ367" s="13" t="s">
        <v>5182</v>
      </c>
      <c r="AR367" s="13" t="s">
        <v>5182</v>
      </c>
      <c r="AS367" s="13" t="s">
        <v>116</v>
      </c>
      <c r="AT367" s="13" t="s">
        <v>5186</v>
      </c>
      <c r="AU367" s="13" t="s">
        <v>4459</v>
      </c>
      <c r="AV367" s="13" t="s">
        <v>1127</v>
      </c>
      <c r="AW367" s="26"/>
      <c r="AX367" s="26"/>
      <c r="AY367" s="17" t="s">
        <v>5187</v>
      </c>
      <c r="AZ367" s="13" t="s">
        <v>5188</v>
      </c>
      <c r="BA367" s="13" t="s">
        <v>5188</v>
      </c>
      <c r="BB367" s="13" t="s">
        <v>5189</v>
      </c>
      <c r="BC367" s="13" t="s">
        <v>5190</v>
      </c>
      <c r="BD367" s="13">
        <f t="shared" si="13"/>
        <v>57</v>
      </c>
      <c r="BE367" s="17" t="s">
        <v>2453</v>
      </c>
      <c r="BF367" s="17" t="s">
        <v>1133</v>
      </c>
      <c r="BG367" s="17" t="s">
        <v>4737</v>
      </c>
      <c r="BH367" s="31" t="s">
        <v>4738</v>
      </c>
      <c r="BI367" s="17"/>
      <c r="BJ367" s="17" t="s">
        <v>4542</v>
      </c>
      <c r="BK367" s="17"/>
      <c r="BL367" s="17"/>
      <c r="BM367" s="17"/>
      <c r="BN367" s="17"/>
      <c r="BO367" s="17" t="s">
        <v>5170</v>
      </c>
      <c r="BP367" s="17"/>
      <c r="BQ367" s="17"/>
      <c r="BR367" s="17"/>
      <c r="BS367" s="17" t="s">
        <v>127</v>
      </c>
      <c r="BT367" s="17"/>
      <c r="BU367" s="17" t="s">
        <v>129</v>
      </c>
      <c r="BV367" s="17"/>
      <c r="BW367" s="17"/>
      <c r="BX367" s="13" t="s">
        <v>5191</v>
      </c>
      <c r="BY367" s="13" t="s">
        <v>4286</v>
      </c>
      <c r="DA367" s="13" t="s">
        <v>10348</v>
      </c>
      <c r="DB367" s="13" t="s">
        <v>10348</v>
      </c>
    </row>
    <row r="368" spans="1:106" s="13" customFormat="1" ht="12.75" customHeight="1" x14ac:dyDescent="0.2">
      <c r="A368" s="13" t="s">
        <v>102</v>
      </c>
      <c r="B368" s="13" t="s">
        <v>103</v>
      </c>
      <c r="D368" s="13" t="s">
        <v>4273</v>
      </c>
      <c r="E368" s="13" t="s">
        <v>4274</v>
      </c>
      <c r="F368" s="13" t="s">
        <v>4273</v>
      </c>
      <c r="H368" s="13" t="s">
        <v>7712</v>
      </c>
      <c r="J368" s="13" t="s">
        <v>106</v>
      </c>
      <c r="W368" s="13">
        <v>461</v>
      </c>
      <c r="X368" s="13">
        <v>461</v>
      </c>
      <c r="Y368" s="13" t="s">
        <v>107</v>
      </c>
      <c r="Z368" s="13" t="s">
        <v>108</v>
      </c>
      <c r="AA368" s="13" t="s">
        <v>107</v>
      </c>
      <c r="AB368" s="13" t="s">
        <v>5192</v>
      </c>
      <c r="AC368" s="13" t="s">
        <v>5192</v>
      </c>
      <c r="AD368" s="17">
        <v>497435</v>
      </c>
      <c r="AE368" s="35" t="s">
        <v>112</v>
      </c>
      <c r="AF368" s="13">
        <v>497435</v>
      </c>
      <c r="AG368" s="32" t="s">
        <v>5192</v>
      </c>
      <c r="AH368" s="35" t="s">
        <v>5193</v>
      </c>
      <c r="AL368" s="13" t="s">
        <v>5194</v>
      </c>
      <c r="AN368" s="13">
        <v>329</v>
      </c>
      <c r="AO368" s="13" t="s">
        <v>5195</v>
      </c>
      <c r="AQ368" s="13" t="s">
        <v>5192</v>
      </c>
      <c r="AR368" s="13" t="s">
        <v>5192</v>
      </c>
      <c r="AS368" s="13" t="s">
        <v>116</v>
      </c>
      <c r="AT368" s="13" t="s">
        <v>4470</v>
      </c>
      <c r="AU368" s="13" t="s">
        <v>4459</v>
      </c>
      <c r="AV368" s="13" t="s">
        <v>1127</v>
      </c>
      <c r="AW368" s="26"/>
      <c r="AX368" s="26"/>
      <c r="AY368" s="17" t="s">
        <v>5196</v>
      </c>
      <c r="AZ368" s="13" t="s">
        <v>5197</v>
      </c>
      <c r="BA368" s="13" t="s">
        <v>5197</v>
      </c>
      <c r="BB368" s="13" t="s">
        <v>5198</v>
      </c>
      <c r="BC368" s="13" t="s">
        <v>5199</v>
      </c>
      <c r="BD368" s="13">
        <f t="shared" si="13"/>
        <v>59</v>
      </c>
      <c r="BE368" s="17" t="s">
        <v>2453</v>
      </c>
      <c r="BF368" s="17" t="s">
        <v>1133</v>
      </c>
      <c r="BG368" s="17" t="s">
        <v>4737</v>
      </c>
      <c r="BH368" s="31" t="s">
        <v>4738</v>
      </c>
      <c r="BI368" s="17"/>
      <c r="BJ368" s="17" t="s">
        <v>4761</v>
      </c>
      <c r="BK368" s="17"/>
      <c r="BL368" s="17"/>
      <c r="BM368" s="17"/>
      <c r="BN368" s="17"/>
      <c r="BO368" s="17" t="s">
        <v>5170</v>
      </c>
      <c r="BP368" s="17"/>
      <c r="BQ368" s="17"/>
      <c r="BR368" s="17"/>
      <c r="BS368" s="17" t="s">
        <v>127</v>
      </c>
      <c r="BT368" s="17"/>
      <c r="BU368" s="17" t="s">
        <v>129</v>
      </c>
      <c r="BV368" s="17"/>
      <c r="BW368" s="17"/>
      <c r="BX368" s="13" t="s">
        <v>5200</v>
      </c>
      <c r="BY368" s="13" t="s">
        <v>4286</v>
      </c>
      <c r="DA368" s="13" t="s">
        <v>10348</v>
      </c>
      <c r="DB368" s="13" t="s">
        <v>10348</v>
      </c>
    </row>
    <row r="369" spans="1:106" s="13" customFormat="1" ht="12.75" customHeight="1" x14ac:dyDescent="0.2">
      <c r="A369" s="13" t="s">
        <v>102</v>
      </c>
      <c r="B369" s="13" t="s">
        <v>103</v>
      </c>
      <c r="D369" s="13" t="s">
        <v>4273</v>
      </c>
      <c r="E369" s="13" t="s">
        <v>4274</v>
      </c>
      <c r="F369" s="13" t="s">
        <v>4273</v>
      </c>
      <c r="H369" s="13" t="s">
        <v>7712</v>
      </c>
      <c r="J369" s="13" t="s">
        <v>106</v>
      </c>
      <c r="W369" s="13">
        <v>462</v>
      </c>
      <c r="X369" s="13">
        <v>462</v>
      </c>
      <c r="Y369" s="13" t="s">
        <v>107</v>
      </c>
      <c r="Z369" s="13" t="s">
        <v>108</v>
      </c>
      <c r="AA369" s="13" t="s">
        <v>107</v>
      </c>
      <c r="AB369" s="13" t="s">
        <v>5201</v>
      </c>
      <c r="AC369" s="13" t="s">
        <v>5201</v>
      </c>
      <c r="AD369" s="17">
        <v>497436</v>
      </c>
      <c r="AE369" s="35" t="s">
        <v>112</v>
      </c>
      <c r="AF369" s="13">
        <v>497436</v>
      </c>
      <c r="AG369" s="32" t="s">
        <v>5201</v>
      </c>
      <c r="AH369" s="35" t="s">
        <v>5202</v>
      </c>
      <c r="AL369" s="13" t="s">
        <v>5203</v>
      </c>
      <c r="AN369" s="13">
        <v>329</v>
      </c>
      <c r="AO369" s="13" t="s">
        <v>5204</v>
      </c>
      <c r="AQ369" s="13" t="s">
        <v>5201</v>
      </c>
      <c r="AR369" s="13" t="s">
        <v>5201</v>
      </c>
      <c r="AS369" s="13" t="s">
        <v>116</v>
      </c>
      <c r="AT369" s="13" t="s">
        <v>5205</v>
      </c>
      <c r="AU369" s="13" t="s">
        <v>5206</v>
      </c>
      <c r="AV369" s="13" t="s">
        <v>1127</v>
      </c>
      <c r="AW369" s="26"/>
      <c r="AX369" s="26"/>
      <c r="AY369" s="17" t="s">
        <v>5207</v>
      </c>
      <c r="AZ369" s="13" t="s">
        <v>5208</v>
      </c>
      <c r="BA369" s="13" t="s">
        <v>5208</v>
      </c>
      <c r="BB369" s="13" t="s">
        <v>5209</v>
      </c>
      <c r="BC369" s="13" t="s">
        <v>5210</v>
      </c>
      <c r="BD369" s="13">
        <f t="shared" si="13"/>
        <v>57</v>
      </c>
      <c r="BE369" s="17" t="s">
        <v>2453</v>
      </c>
      <c r="BF369" s="17" t="s">
        <v>1133</v>
      </c>
      <c r="BG369" s="17" t="s">
        <v>4737</v>
      </c>
      <c r="BH369" s="31" t="s">
        <v>4738</v>
      </c>
      <c r="BI369" s="17"/>
      <c r="BJ369" s="17" t="s">
        <v>4553</v>
      </c>
      <c r="BK369" s="17"/>
      <c r="BL369" s="17"/>
      <c r="BM369" s="17"/>
      <c r="BN369" s="17"/>
      <c r="BO369" s="17" t="s">
        <v>5170</v>
      </c>
      <c r="BP369" s="17"/>
      <c r="BQ369" s="17"/>
      <c r="BR369" s="17"/>
      <c r="BS369" s="17" t="s">
        <v>127</v>
      </c>
      <c r="BT369" s="17"/>
      <c r="BU369" s="17" t="s">
        <v>129</v>
      </c>
      <c r="BV369" s="17"/>
      <c r="BW369" s="17"/>
      <c r="BX369" s="13" t="s">
        <v>5211</v>
      </c>
      <c r="BY369" s="13" t="s">
        <v>4286</v>
      </c>
      <c r="DA369" s="13" t="s">
        <v>10348</v>
      </c>
      <c r="DB369" s="13" t="s">
        <v>10348</v>
      </c>
    </row>
    <row r="370" spans="1:106" s="13" customFormat="1" ht="12.75" customHeight="1" x14ac:dyDescent="0.2">
      <c r="A370" s="13" t="s">
        <v>102</v>
      </c>
      <c r="B370" s="13" t="s">
        <v>103</v>
      </c>
      <c r="D370" s="13" t="s">
        <v>5212</v>
      </c>
      <c r="E370" s="13" t="s">
        <v>471</v>
      </c>
      <c r="F370" s="13" t="s">
        <v>5212</v>
      </c>
      <c r="G370" s="13" t="s">
        <v>229</v>
      </c>
      <c r="H370" s="13" t="s">
        <v>7712</v>
      </c>
      <c r="J370" s="13" t="s">
        <v>106</v>
      </c>
      <c r="W370" s="13">
        <v>463</v>
      </c>
      <c r="X370" s="13">
        <v>463</v>
      </c>
      <c r="Y370" s="13" t="s">
        <v>107</v>
      </c>
      <c r="Z370" s="13" t="s">
        <v>108</v>
      </c>
      <c r="AA370" s="13" t="s">
        <v>107</v>
      </c>
      <c r="AB370" s="13" t="s">
        <v>5213</v>
      </c>
      <c r="AC370" s="13" t="s">
        <v>5213</v>
      </c>
      <c r="AD370" s="13" t="s">
        <v>5213</v>
      </c>
      <c r="AE370" s="35" t="s">
        <v>112</v>
      </c>
      <c r="AF370" s="13" t="s">
        <v>5213</v>
      </c>
      <c r="AG370" s="13" t="s">
        <v>5213</v>
      </c>
      <c r="AH370" s="35" t="s">
        <v>5214</v>
      </c>
      <c r="AL370" s="13" t="s">
        <v>5215</v>
      </c>
      <c r="AN370" s="13">
        <v>329</v>
      </c>
      <c r="AO370" s="13" t="s">
        <v>5216</v>
      </c>
      <c r="AQ370" s="13" t="s">
        <v>5213</v>
      </c>
      <c r="AR370" s="13" t="s">
        <v>5213</v>
      </c>
      <c r="AS370" s="13" t="s">
        <v>116</v>
      </c>
      <c r="AT370" s="13" t="s">
        <v>5217</v>
      </c>
      <c r="AU370" s="13" t="s">
        <v>5218</v>
      </c>
      <c r="AV370" s="13" t="s">
        <v>1127</v>
      </c>
      <c r="AW370" s="26" t="s">
        <v>2447</v>
      </c>
      <c r="AX370" s="26" t="s">
        <v>2448</v>
      </c>
      <c r="AY370" s="13" t="s">
        <v>5217</v>
      </c>
      <c r="AZ370" s="13" t="s">
        <v>5219</v>
      </c>
      <c r="BA370" s="13" t="s">
        <v>5219</v>
      </c>
      <c r="BB370" s="13" t="s">
        <v>5220</v>
      </c>
      <c r="BC370" s="13" t="s">
        <v>5220</v>
      </c>
      <c r="BD370" s="13">
        <f t="shared" si="13"/>
        <v>49</v>
      </c>
      <c r="BE370" s="17" t="s">
        <v>2453</v>
      </c>
      <c r="BF370" s="17" t="s">
        <v>5221</v>
      </c>
      <c r="BG370" s="17" t="s">
        <v>5222</v>
      </c>
      <c r="BH370" s="17"/>
      <c r="BI370" s="17"/>
      <c r="BJ370" s="17" t="s">
        <v>2644</v>
      </c>
      <c r="BK370" s="17"/>
      <c r="BL370" s="17"/>
      <c r="BM370" s="17"/>
      <c r="BN370" s="17"/>
      <c r="BO370" s="17" t="s">
        <v>4364</v>
      </c>
      <c r="BP370" s="17"/>
      <c r="BQ370" s="17"/>
      <c r="BR370" s="17"/>
      <c r="BS370" s="17" t="s">
        <v>127</v>
      </c>
      <c r="BT370" s="17"/>
      <c r="BU370" s="17" t="s">
        <v>129</v>
      </c>
      <c r="BV370" s="17"/>
      <c r="BW370" s="17"/>
      <c r="BX370" s="25" t="s">
        <v>5223</v>
      </c>
      <c r="DA370" s="13" t="s">
        <v>10348</v>
      </c>
      <c r="DB370" s="13" t="s">
        <v>10348</v>
      </c>
    </row>
    <row r="371" spans="1:106" s="13" customFormat="1" ht="12.75" customHeight="1" x14ac:dyDescent="0.2">
      <c r="A371" s="13" t="s">
        <v>102</v>
      </c>
      <c r="B371" s="13" t="s">
        <v>103</v>
      </c>
      <c r="D371" s="13" t="s">
        <v>5212</v>
      </c>
      <c r="E371" s="13" t="s">
        <v>471</v>
      </c>
      <c r="F371" s="13" t="s">
        <v>5212</v>
      </c>
      <c r="G371" s="13" t="s">
        <v>229</v>
      </c>
      <c r="H371" s="13" t="s">
        <v>7712</v>
      </c>
      <c r="J371" s="13" t="s">
        <v>106</v>
      </c>
      <c r="W371" s="13">
        <v>464</v>
      </c>
      <c r="X371" s="13">
        <v>464</v>
      </c>
      <c r="Y371" s="13" t="s">
        <v>107</v>
      </c>
      <c r="Z371" s="13" t="s">
        <v>108</v>
      </c>
      <c r="AA371" s="13" t="s">
        <v>107</v>
      </c>
      <c r="AB371" s="13" t="s">
        <v>5224</v>
      </c>
      <c r="AC371" s="13" t="s">
        <v>5224</v>
      </c>
      <c r="AD371" s="13" t="s">
        <v>5224</v>
      </c>
      <c r="AE371" s="35" t="s">
        <v>112</v>
      </c>
      <c r="AF371" s="13" t="s">
        <v>5224</v>
      </c>
      <c r="AG371" s="13" t="s">
        <v>5224</v>
      </c>
      <c r="AH371" s="35" t="s">
        <v>5225</v>
      </c>
      <c r="AL371" s="13" t="s">
        <v>5226</v>
      </c>
      <c r="AN371" s="13">
        <v>329</v>
      </c>
      <c r="AO371" s="13" t="s">
        <v>5227</v>
      </c>
      <c r="AQ371" s="13" t="s">
        <v>5224</v>
      </c>
      <c r="AR371" s="13" t="s">
        <v>5224</v>
      </c>
      <c r="AS371" s="13" t="s">
        <v>116</v>
      </c>
      <c r="AT371" s="13" t="s">
        <v>5228</v>
      </c>
      <c r="AU371" s="13" t="s">
        <v>5218</v>
      </c>
      <c r="AV371" s="13" t="s">
        <v>1127</v>
      </c>
      <c r="AW371" s="26" t="s">
        <v>2447</v>
      </c>
      <c r="AX371" s="26" t="s">
        <v>2448</v>
      </c>
      <c r="AY371" s="13" t="s">
        <v>5228</v>
      </c>
      <c r="AZ371" s="13" t="s">
        <v>5229</v>
      </c>
      <c r="BA371" s="13" t="s">
        <v>5229</v>
      </c>
      <c r="BB371" s="13" t="s">
        <v>5230</v>
      </c>
      <c r="BC371" s="13" t="s">
        <v>5230</v>
      </c>
      <c r="BD371" s="13">
        <f t="shared" si="13"/>
        <v>49</v>
      </c>
      <c r="BE371" s="17" t="s">
        <v>2453</v>
      </c>
      <c r="BF371" s="17" t="s">
        <v>5221</v>
      </c>
      <c r="BG371" s="17" t="s">
        <v>5222</v>
      </c>
      <c r="BH371" s="17"/>
      <c r="BI371" s="17"/>
      <c r="BJ371" s="17" t="s">
        <v>2767</v>
      </c>
      <c r="BK371" s="17"/>
      <c r="BL371" s="17"/>
      <c r="BM371" s="17"/>
      <c r="BN371" s="17"/>
      <c r="BO371" s="17" t="s">
        <v>4364</v>
      </c>
      <c r="BP371" s="17"/>
      <c r="BQ371" s="17"/>
      <c r="BR371" s="17"/>
      <c r="BS371" s="17" t="s">
        <v>127</v>
      </c>
      <c r="BT371" s="17"/>
      <c r="BU371" s="17" t="s">
        <v>129</v>
      </c>
      <c r="BV371" s="17"/>
      <c r="BW371" s="17"/>
      <c r="BX371" s="25" t="s">
        <v>5231</v>
      </c>
      <c r="DA371" s="13" t="s">
        <v>10348</v>
      </c>
      <c r="DB371" s="13" t="s">
        <v>10348</v>
      </c>
    </row>
    <row r="372" spans="1:106" s="13" customFormat="1" ht="12.75" customHeight="1" x14ac:dyDescent="0.2">
      <c r="A372" s="13" t="s">
        <v>102</v>
      </c>
      <c r="B372" s="13" t="s">
        <v>103</v>
      </c>
      <c r="D372" s="13" t="s">
        <v>5212</v>
      </c>
      <c r="E372" s="13" t="s">
        <v>471</v>
      </c>
      <c r="F372" s="13" t="s">
        <v>5212</v>
      </c>
      <c r="G372" s="13" t="s">
        <v>229</v>
      </c>
      <c r="H372" s="13" t="s">
        <v>7712</v>
      </c>
      <c r="J372" s="13" t="s">
        <v>106</v>
      </c>
      <c r="W372" s="13">
        <v>465</v>
      </c>
      <c r="X372" s="13">
        <v>465</v>
      </c>
      <c r="Y372" s="13" t="s">
        <v>107</v>
      </c>
      <c r="Z372" s="13" t="s">
        <v>108</v>
      </c>
      <c r="AA372" s="13" t="s">
        <v>107</v>
      </c>
      <c r="AB372" s="13" t="s">
        <v>5232</v>
      </c>
      <c r="AC372" s="13" t="s">
        <v>5232</v>
      </c>
      <c r="AD372" s="13" t="s">
        <v>5232</v>
      </c>
      <c r="AE372" s="35" t="s">
        <v>112</v>
      </c>
      <c r="AF372" s="13" t="s">
        <v>5232</v>
      </c>
      <c r="AG372" s="13" t="s">
        <v>5232</v>
      </c>
      <c r="AH372" s="35" t="s">
        <v>5233</v>
      </c>
      <c r="AL372" s="13" t="s">
        <v>5234</v>
      </c>
      <c r="AN372" s="13">
        <v>329</v>
      </c>
      <c r="AO372" s="13" t="s">
        <v>5235</v>
      </c>
      <c r="AQ372" s="13" t="s">
        <v>5232</v>
      </c>
      <c r="AR372" s="13" t="s">
        <v>5232</v>
      </c>
      <c r="AS372" s="13" t="s">
        <v>116</v>
      </c>
      <c r="AT372" s="13" t="s">
        <v>5236</v>
      </c>
      <c r="AU372" s="13" t="s">
        <v>5036</v>
      </c>
      <c r="AV372" s="13" t="s">
        <v>1127</v>
      </c>
      <c r="AW372" s="26" t="s">
        <v>2447</v>
      </c>
      <c r="AX372" s="26" t="s">
        <v>2448</v>
      </c>
      <c r="AY372" s="13" t="s">
        <v>5236</v>
      </c>
      <c r="AZ372" s="13" t="s">
        <v>5237</v>
      </c>
      <c r="BA372" s="13" t="s">
        <v>5237</v>
      </c>
      <c r="BB372" s="13" t="s">
        <v>5238</v>
      </c>
      <c r="BC372" s="13" t="s">
        <v>5238</v>
      </c>
      <c r="BD372" s="13">
        <f t="shared" si="13"/>
        <v>37</v>
      </c>
      <c r="BE372" s="17" t="s">
        <v>2453</v>
      </c>
      <c r="BF372" s="17" t="s">
        <v>1133</v>
      </c>
      <c r="BG372" s="17" t="s">
        <v>5239</v>
      </c>
      <c r="BH372" s="17"/>
      <c r="BI372" s="17"/>
      <c r="BJ372" s="17" t="s">
        <v>2778</v>
      </c>
      <c r="BK372" s="17"/>
      <c r="BL372" s="17"/>
      <c r="BM372" s="17"/>
      <c r="BN372" s="17"/>
      <c r="BO372" s="17" t="s">
        <v>4464</v>
      </c>
      <c r="BP372" s="17"/>
      <c r="BQ372" s="17"/>
      <c r="BR372" s="17"/>
      <c r="BS372" s="17" t="s">
        <v>127</v>
      </c>
      <c r="BT372" s="17"/>
      <c r="BU372" s="17" t="s">
        <v>129</v>
      </c>
      <c r="BV372" s="17"/>
      <c r="BW372" s="17"/>
      <c r="BX372" s="25" t="s">
        <v>5240</v>
      </c>
      <c r="DA372" s="13" t="s">
        <v>10348</v>
      </c>
      <c r="DB372" s="13" t="s">
        <v>10348</v>
      </c>
    </row>
    <row r="373" spans="1:106" s="13" customFormat="1" ht="12.75" customHeight="1" x14ac:dyDescent="0.2">
      <c r="A373" s="13" t="s">
        <v>102</v>
      </c>
      <c r="B373" s="13" t="s">
        <v>103</v>
      </c>
      <c r="D373" s="13" t="s">
        <v>5212</v>
      </c>
      <c r="E373" s="13" t="s">
        <v>228</v>
      </c>
      <c r="F373" s="13" t="s">
        <v>5212</v>
      </c>
      <c r="G373" s="13" t="s">
        <v>229</v>
      </c>
      <c r="H373" s="13" t="s">
        <v>7712</v>
      </c>
      <c r="J373" s="13" t="s">
        <v>106</v>
      </c>
      <c r="W373" s="13">
        <v>466</v>
      </c>
      <c r="X373" s="13">
        <v>466</v>
      </c>
      <c r="Y373" s="13" t="s">
        <v>107</v>
      </c>
      <c r="Z373" s="13" t="s">
        <v>108</v>
      </c>
      <c r="AA373" s="13" t="s">
        <v>107</v>
      </c>
      <c r="AB373" s="13" t="s">
        <v>5241</v>
      </c>
      <c r="AC373" s="13" t="s">
        <v>5241</v>
      </c>
      <c r="AD373" s="13" t="s">
        <v>5241</v>
      </c>
      <c r="AE373" s="35" t="s">
        <v>112</v>
      </c>
      <c r="AF373" s="13" t="s">
        <v>5241</v>
      </c>
      <c r="AG373" s="13" t="s">
        <v>5241</v>
      </c>
      <c r="AH373" s="35" t="s">
        <v>5242</v>
      </c>
      <c r="AL373" s="13" t="s">
        <v>5243</v>
      </c>
      <c r="AN373" s="13">
        <v>329</v>
      </c>
      <c r="AO373" s="13" t="s">
        <v>5244</v>
      </c>
      <c r="AQ373" s="13" t="s">
        <v>5241</v>
      </c>
      <c r="AR373" s="13" t="s">
        <v>5241</v>
      </c>
      <c r="AS373" s="13" t="s">
        <v>116</v>
      </c>
      <c r="AT373" s="13" t="s">
        <v>5245</v>
      </c>
      <c r="AU373" s="13" t="s">
        <v>5246</v>
      </c>
      <c r="AV373" s="13" t="s">
        <v>1127</v>
      </c>
      <c r="AW373" s="26" t="s">
        <v>2447</v>
      </c>
      <c r="AX373" s="26" t="s">
        <v>2448</v>
      </c>
      <c r="AY373" s="13" t="s">
        <v>5247</v>
      </c>
      <c r="AZ373" s="13" t="s">
        <v>5248</v>
      </c>
      <c r="BA373" s="13" t="s">
        <v>5248</v>
      </c>
      <c r="BB373" s="13" t="s">
        <v>5249</v>
      </c>
      <c r="BC373" s="13" t="s">
        <v>5249</v>
      </c>
      <c r="BD373" s="13">
        <f t="shared" si="13"/>
        <v>49</v>
      </c>
      <c r="BE373" s="17" t="s">
        <v>2453</v>
      </c>
      <c r="BF373" s="17" t="s">
        <v>5221</v>
      </c>
      <c r="BG373" s="17" t="s">
        <v>5222</v>
      </c>
      <c r="BH373" s="17"/>
      <c r="BI373" s="17"/>
      <c r="BJ373" s="17" t="s">
        <v>2644</v>
      </c>
      <c r="BK373" s="17"/>
      <c r="BL373" s="17"/>
      <c r="BM373" s="17"/>
      <c r="BN373" s="17"/>
      <c r="BO373" s="17" t="s">
        <v>4464</v>
      </c>
      <c r="BP373" s="17"/>
      <c r="BQ373" s="17"/>
      <c r="BR373" s="17"/>
      <c r="BS373" s="17" t="s">
        <v>127</v>
      </c>
      <c r="BT373" s="17"/>
      <c r="BU373" s="17" t="s">
        <v>129</v>
      </c>
      <c r="BV373" s="17"/>
      <c r="BW373" s="17"/>
      <c r="BX373" s="25" t="s">
        <v>5250</v>
      </c>
      <c r="DA373" s="13" t="s">
        <v>10348</v>
      </c>
      <c r="DB373" s="13" t="s">
        <v>10348</v>
      </c>
    </row>
    <row r="374" spans="1:106" s="13" customFormat="1" ht="12.75" customHeight="1" x14ac:dyDescent="0.2">
      <c r="A374" s="13" t="s">
        <v>102</v>
      </c>
      <c r="B374" s="13" t="s">
        <v>103</v>
      </c>
      <c r="D374" s="13" t="s">
        <v>5212</v>
      </c>
      <c r="E374" s="13" t="s">
        <v>228</v>
      </c>
      <c r="F374" s="13" t="s">
        <v>5212</v>
      </c>
      <c r="G374" s="13" t="s">
        <v>229</v>
      </c>
      <c r="H374" s="13" t="s">
        <v>7712</v>
      </c>
      <c r="J374" s="13" t="s">
        <v>106</v>
      </c>
      <c r="W374" s="13">
        <v>467</v>
      </c>
      <c r="X374" s="13">
        <v>467</v>
      </c>
      <c r="Y374" s="13" t="s">
        <v>107</v>
      </c>
      <c r="Z374" s="13" t="s">
        <v>108</v>
      </c>
      <c r="AA374" s="13" t="s">
        <v>107</v>
      </c>
      <c r="AB374" s="13" t="s">
        <v>5251</v>
      </c>
      <c r="AC374" s="13" t="s">
        <v>5251</v>
      </c>
      <c r="AD374" s="13" t="s">
        <v>5251</v>
      </c>
      <c r="AE374" s="35" t="s">
        <v>112</v>
      </c>
      <c r="AF374" s="13" t="s">
        <v>5251</v>
      </c>
      <c r="AG374" s="13" t="s">
        <v>5251</v>
      </c>
      <c r="AH374" s="35" t="s">
        <v>5252</v>
      </c>
      <c r="AL374" s="13" t="s">
        <v>5253</v>
      </c>
      <c r="AN374" s="13">
        <v>329</v>
      </c>
      <c r="AO374" s="13" t="s">
        <v>5254</v>
      </c>
      <c r="AQ374" s="13" t="s">
        <v>5251</v>
      </c>
      <c r="AR374" s="13" t="s">
        <v>5251</v>
      </c>
      <c r="AS374" s="13" t="s">
        <v>116</v>
      </c>
      <c r="AT374" s="13" t="s">
        <v>5255</v>
      </c>
      <c r="AU374" s="13" t="s">
        <v>5246</v>
      </c>
      <c r="AV374" s="13" t="s">
        <v>1127</v>
      </c>
      <c r="AW374" s="26" t="s">
        <v>2447</v>
      </c>
      <c r="AX374" s="26" t="s">
        <v>2448</v>
      </c>
      <c r="AY374" s="13" t="s">
        <v>5247</v>
      </c>
      <c r="AZ374" s="13" t="s">
        <v>5256</v>
      </c>
      <c r="BA374" s="13" t="s">
        <v>5256</v>
      </c>
      <c r="BB374" s="13" t="s">
        <v>5257</v>
      </c>
      <c r="BC374" s="13" t="s">
        <v>5257</v>
      </c>
      <c r="BD374" s="13">
        <f t="shared" si="13"/>
        <v>49</v>
      </c>
      <c r="BE374" s="17" t="s">
        <v>2453</v>
      </c>
      <c r="BF374" s="17" t="s">
        <v>5221</v>
      </c>
      <c r="BG374" s="17" t="s">
        <v>5222</v>
      </c>
      <c r="BH374" s="17"/>
      <c r="BI374" s="17"/>
      <c r="BJ374" s="17" t="s">
        <v>2756</v>
      </c>
      <c r="BK374" s="17"/>
      <c r="BL374" s="17"/>
      <c r="BM374" s="17"/>
      <c r="BN374" s="17"/>
      <c r="BO374" s="17" t="s">
        <v>4464</v>
      </c>
      <c r="BP374" s="17"/>
      <c r="BQ374" s="17"/>
      <c r="BR374" s="17"/>
      <c r="BS374" s="17" t="s">
        <v>127</v>
      </c>
      <c r="BT374" s="17"/>
      <c r="BU374" s="17" t="s">
        <v>129</v>
      </c>
      <c r="BV374" s="17"/>
      <c r="BW374" s="17"/>
      <c r="BX374" s="25" t="s">
        <v>5258</v>
      </c>
      <c r="DA374" s="13" t="s">
        <v>10348</v>
      </c>
      <c r="DB374" s="13" t="s">
        <v>10348</v>
      </c>
    </row>
    <row r="375" spans="1:106" s="13" customFormat="1" ht="12.75" customHeight="1" x14ac:dyDescent="0.2">
      <c r="A375" s="13" t="s">
        <v>102</v>
      </c>
      <c r="B375" s="13" t="s">
        <v>103</v>
      </c>
      <c r="D375" s="13" t="s">
        <v>5212</v>
      </c>
      <c r="E375" s="13" t="s">
        <v>228</v>
      </c>
      <c r="F375" s="13" t="s">
        <v>5212</v>
      </c>
      <c r="G375" s="13" t="s">
        <v>229</v>
      </c>
      <c r="H375" s="13" t="s">
        <v>7712</v>
      </c>
      <c r="J375" s="13" t="s">
        <v>106</v>
      </c>
      <c r="W375" s="13">
        <v>468</v>
      </c>
      <c r="X375" s="13">
        <v>468</v>
      </c>
      <c r="Y375" s="13" t="s">
        <v>107</v>
      </c>
      <c r="Z375" s="13" t="s">
        <v>108</v>
      </c>
      <c r="AA375" s="13" t="s">
        <v>107</v>
      </c>
      <c r="AB375" s="13" t="s">
        <v>5259</v>
      </c>
      <c r="AC375" s="13" t="s">
        <v>5259</v>
      </c>
      <c r="AD375" s="13" t="s">
        <v>5259</v>
      </c>
      <c r="AE375" s="35" t="s">
        <v>112</v>
      </c>
      <c r="AF375" s="13" t="s">
        <v>5259</v>
      </c>
      <c r="AG375" s="13" t="s">
        <v>5259</v>
      </c>
      <c r="AH375" s="35" t="s">
        <v>5260</v>
      </c>
      <c r="AL375" s="13" t="s">
        <v>5261</v>
      </c>
      <c r="AN375" s="13">
        <v>329</v>
      </c>
      <c r="AO375" s="13" t="s">
        <v>5262</v>
      </c>
      <c r="AQ375" s="13" t="s">
        <v>5259</v>
      </c>
      <c r="AR375" s="13" t="s">
        <v>5259</v>
      </c>
      <c r="AS375" s="13" t="s">
        <v>116</v>
      </c>
      <c r="AT375" s="13" t="s">
        <v>5263</v>
      </c>
      <c r="AU375" s="13" t="s">
        <v>5246</v>
      </c>
      <c r="AV375" s="13" t="s">
        <v>1127</v>
      </c>
      <c r="AW375" s="26" t="s">
        <v>2447</v>
      </c>
      <c r="AX375" s="26" t="s">
        <v>2448</v>
      </c>
      <c r="AY375" s="13" t="s">
        <v>5247</v>
      </c>
      <c r="AZ375" s="13" t="s">
        <v>5264</v>
      </c>
      <c r="BA375" s="13" t="s">
        <v>5264</v>
      </c>
      <c r="BB375" s="13" t="s">
        <v>5265</v>
      </c>
      <c r="BC375" s="13" t="s">
        <v>5265</v>
      </c>
      <c r="BD375" s="13">
        <f t="shared" si="13"/>
        <v>49</v>
      </c>
      <c r="BE375" s="17" t="s">
        <v>2453</v>
      </c>
      <c r="BF375" s="17" t="s">
        <v>5221</v>
      </c>
      <c r="BG375" s="17" t="s">
        <v>5222</v>
      </c>
      <c r="BH375" s="17"/>
      <c r="BI375" s="17"/>
      <c r="BJ375" s="17" t="s">
        <v>2767</v>
      </c>
      <c r="BK375" s="17"/>
      <c r="BL375" s="17"/>
      <c r="BM375" s="17"/>
      <c r="BN375" s="17"/>
      <c r="BO375" s="17" t="s">
        <v>4464</v>
      </c>
      <c r="BP375" s="17"/>
      <c r="BQ375" s="17"/>
      <c r="BR375" s="17"/>
      <c r="BS375" s="17" t="s">
        <v>127</v>
      </c>
      <c r="BT375" s="17"/>
      <c r="BU375" s="17" t="s">
        <v>129</v>
      </c>
      <c r="BV375" s="17"/>
      <c r="BW375" s="17"/>
      <c r="BX375" s="25" t="s">
        <v>5266</v>
      </c>
      <c r="DA375" s="13" t="s">
        <v>10348</v>
      </c>
      <c r="DB375" s="13" t="s">
        <v>10348</v>
      </c>
    </row>
    <row r="376" spans="1:106" s="13" customFormat="1" ht="12.75" customHeight="1" x14ac:dyDescent="0.2">
      <c r="A376" s="13" t="s">
        <v>102</v>
      </c>
      <c r="B376" s="13" t="s">
        <v>103</v>
      </c>
      <c r="D376" s="13" t="s">
        <v>5212</v>
      </c>
      <c r="E376" s="13" t="s">
        <v>228</v>
      </c>
      <c r="F376" s="13" t="s">
        <v>5212</v>
      </c>
      <c r="G376" s="13" t="s">
        <v>229</v>
      </c>
      <c r="H376" s="13" t="s">
        <v>7712</v>
      </c>
      <c r="J376" s="13" t="s">
        <v>106</v>
      </c>
      <c r="W376" s="13">
        <v>469</v>
      </c>
      <c r="X376" s="13">
        <v>469</v>
      </c>
      <c r="Y376" s="13" t="s">
        <v>107</v>
      </c>
      <c r="Z376" s="13" t="s">
        <v>108</v>
      </c>
      <c r="AA376" s="13" t="s">
        <v>107</v>
      </c>
      <c r="AB376" s="13" t="s">
        <v>5267</v>
      </c>
      <c r="AC376" s="13" t="s">
        <v>5267</v>
      </c>
      <c r="AD376" s="13" t="s">
        <v>5267</v>
      </c>
      <c r="AE376" s="35" t="s">
        <v>112</v>
      </c>
      <c r="AF376" s="13" t="s">
        <v>5267</v>
      </c>
      <c r="AG376" s="13" t="s">
        <v>5267</v>
      </c>
      <c r="AH376" s="35" t="s">
        <v>5268</v>
      </c>
      <c r="AL376" s="13" t="s">
        <v>5269</v>
      </c>
      <c r="AN376" s="13">
        <v>329</v>
      </c>
      <c r="AO376" s="13" t="s">
        <v>5270</v>
      </c>
      <c r="AQ376" s="13" t="s">
        <v>5267</v>
      </c>
      <c r="AR376" s="13" t="s">
        <v>5267</v>
      </c>
      <c r="AS376" s="13" t="s">
        <v>116</v>
      </c>
      <c r="AT376" s="13" t="s">
        <v>5271</v>
      </c>
      <c r="AU376" s="13" t="s">
        <v>5246</v>
      </c>
      <c r="AV376" s="13" t="s">
        <v>1127</v>
      </c>
      <c r="AW376" s="26" t="s">
        <v>2447</v>
      </c>
      <c r="AX376" s="26" t="s">
        <v>2448</v>
      </c>
      <c r="AY376" s="13" t="s">
        <v>5247</v>
      </c>
      <c r="AZ376" s="13" t="s">
        <v>5272</v>
      </c>
      <c r="BA376" s="13" t="s">
        <v>5272</v>
      </c>
      <c r="BB376" s="13" t="s">
        <v>5273</v>
      </c>
      <c r="BC376" s="13" t="s">
        <v>5273</v>
      </c>
      <c r="BD376" s="13">
        <f t="shared" si="13"/>
        <v>51</v>
      </c>
      <c r="BE376" s="17" t="s">
        <v>2453</v>
      </c>
      <c r="BF376" s="17" t="s">
        <v>5221</v>
      </c>
      <c r="BG376" s="17" t="s">
        <v>5222</v>
      </c>
      <c r="BH376" s="17"/>
      <c r="BI376" s="17"/>
      <c r="BJ376" s="17" t="s">
        <v>4451</v>
      </c>
      <c r="BK376" s="17"/>
      <c r="BL376" s="17"/>
      <c r="BM376" s="17"/>
      <c r="BN376" s="17"/>
      <c r="BO376" s="17" t="s">
        <v>4464</v>
      </c>
      <c r="BP376" s="17"/>
      <c r="BQ376" s="17"/>
      <c r="BR376" s="17"/>
      <c r="BS376" s="17" t="s">
        <v>127</v>
      </c>
      <c r="BT376" s="17"/>
      <c r="BU376" s="17" t="s">
        <v>129</v>
      </c>
      <c r="BV376" s="17"/>
      <c r="BW376" s="17"/>
      <c r="BX376" s="25" t="s">
        <v>5274</v>
      </c>
      <c r="DA376" s="13" t="s">
        <v>10348</v>
      </c>
      <c r="DB376" s="13" t="s">
        <v>10348</v>
      </c>
    </row>
    <row r="377" spans="1:106" s="13" customFormat="1" ht="12.75" customHeight="1" x14ac:dyDescent="0.2">
      <c r="A377" s="13" t="s">
        <v>102</v>
      </c>
      <c r="B377" s="13" t="s">
        <v>103</v>
      </c>
      <c r="D377" s="13" t="s">
        <v>5212</v>
      </c>
      <c r="E377" s="13" t="s">
        <v>228</v>
      </c>
      <c r="F377" s="13" t="s">
        <v>5212</v>
      </c>
      <c r="G377" s="13" t="s">
        <v>229</v>
      </c>
      <c r="H377" s="13" t="s">
        <v>7712</v>
      </c>
      <c r="J377" s="13" t="s">
        <v>106</v>
      </c>
      <c r="W377" s="13">
        <v>470</v>
      </c>
      <c r="X377" s="13">
        <v>470</v>
      </c>
      <c r="Y377" s="13" t="s">
        <v>107</v>
      </c>
      <c r="Z377" s="13" t="s">
        <v>108</v>
      </c>
      <c r="AA377" s="13" t="s">
        <v>107</v>
      </c>
      <c r="AB377" s="13" t="s">
        <v>5275</v>
      </c>
      <c r="AC377" s="13" t="s">
        <v>5275</v>
      </c>
      <c r="AD377" s="13" t="s">
        <v>5275</v>
      </c>
      <c r="AE377" s="35" t="s">
        <v>112</v>
      </c>
      <c r="AF377" s="13" t="s">
        <v>5275</v>
      </c>
      <c r="AG377" s="13" t="s">
        <v>5275</v>
      </c>
      <c r="AH377" s="35" t="s">
        <v>5276</v>
      </c>
      <c r="AL377" s="13" t="s">
        <v>5277</v>
      </c>
      <c r="AN377" s="13">
        <v>329</v>
      </c>
      <c r="AO377" s="13" t="s">
        <v>5278</v>
      </c>
      <c r="AQ377" s="13" t="s">
        <v>5275</v>
      </c>
      <c r="AR377" s="13" t="s">
        <v>5275</v>
      </c>
      <c r="AS377" s="13" t="s">
        <v>116</v>
      </c>
      <c r="AT377" s="13" t="s">
        <v>5279</v>
      </c>
      <c r="AU377" s="13" t="s">
        <v>5246</v>
      </c>
      <c r="AV377" s="13" t="s">
        <v>1127</v>
      </c>
      <c r="AW377" s="26" t="s">
        <v>2447</v>
      </c>
      <c r="AX377" s="26" t="s">
        <v>2448</v>
      </c>
      <c r="AY377" s="13" t="s">
        <v>5247</v>
      </c>
      <c r="AZ377" s="13" t="s">
        <v>5280</v>
      </c>
      <c r="BA377" s="13" t="s">
        <v>5280</v>
      </c>
      <c r="BB377" s="13" t="s">
        <v>5281</v>
      </c>
      <c r="BC377" s="13" t="s">
        <v>5281</v>
      </c>
      <c r="BD377" s="13">
        <f t="shared" si="13"/>
        <v>49</v>
      </c>
      <c r="BE377" s="17" t="s">
        <v>2453</v>
      </c>
      <c r="BF377" s="17" t="s">
        <v>5221</v>
      </c>
      <c r="BG377" s="17" t="s">
        <v>5222</v>
      </c>
      <c r="BH377" s="17"/>
      <c r="BI377" s="17"/>
      <c r="BJ377" s="17" t="s">
        <v>2778</v>
      </c>
      <c r="BK377" s="17"/>
      <c r="BL377" s="17"/>
      <c r="BM377" s="17"/>
      <c r="BN377" s="17"/>
      <c r="BO377" s="17" t="s">
        <v>4464</v>
      </c>
      <c r="BP377" s="17"/>
      <c r="BQ377" s="17"/>
      <c r="BR377" s="17"/>
      <c r="BS377" s="17" t="s">
        <v>127</v>
      </c>
      <c r="BT377" s="17"/>
      <c r="BU377" s="17" t="s">
        <v>129</v>
      </c>
      <c r="BV377" s="17"/>
      <c r="BW377" s="17"/>
      <c r="BX377" s="25" t="s">
        <v>5282</v>
      </c>
      <c r="DA377" s="13" t="s">
        <v>10348</v>
      </c>
      <c r="DB377" s="13" t="s">
        <v>10348</v>
      </c>
    </row>
    <row r="378" spans="1:106" s="13" customFormat="1" ht="12.75" customHeight="1" x14ac:dyDescent="0.2">
      <c r="A378" s="13" t="s">
        <v>102</v>
      </c>
      <c r="B378" s="13" t="s">
        <v>103</v>
      </c>
      <c r="D378" s="13" t="s">
        <v>5212</v>
      </c>
      <c r="E378" s="13" t="s">
        <v>471</v>
      </c>
      <c r="F378" s="13" t="s">
        <v>5212</v>
      </c>
      <c r="G378" s="13" t="s">
        <v>229</v>
      </c>
      <c r="H378" s="13" t="s">
        <v>7712</v>
      </c>
      <c r="J378" s="13" t="s">
        <v>106</v>
      </c>
      <c r="W378" s="13">
        <v>471</v>
      </c>
      <c r="X378" s="13">
        <v>471</v>
      </c>
      <c r="Y378" s="13" t="s">
        <v>107</v>
      </c>
      <c r="Z378" s="13" t="s">
        <v>108</v>
      </c>
      <c r="AA378" s="13" t="s">
        <v>107</v>
      </c>
      <c r="AB378" s="13" t="s">
        <v>5283</v>
      </c>
      <c r="AC378" s="13" t="s">
        <v>5283</v>
      </c>
      <c r="AD378" s="13" t="s">
        <v>5283</v>
      </c>
      <c r="AE378" s="35" t="s">
        <v>112</v>
      </c>
      <c r="AF378" s="13" t="s">
        <v>5283</v>
      </c>
      <c r="AG378" s="13" t="s">
        <v>5283</v>
      </c>
      <c r="AH378" s="35" t="s">
        <v>5284</v>
      </c>
      <c r="AL378" s="13" t="s">
        <v>5285</v>
      </c>
      <c r="AN378" s="13">
        <v>329</v>
      </c>
      <c r="AO378" s="13" t="s">
        <v>5286</v>
      </c>
      <c r="AQ378" s="13" t="s">
        <v>5283</v>
      </c>
      <c r="AR378" s="13" t="s">
        <v>5283</v>
      </c>
      <c r="AS378" s="13" t="s">
        <v>116</v>
      </c>
      <c r="AT378" s="13" t="s">
        <v>5285</v>
      </c>
      <c r="AU378" s="13" t="s">
        <v>5285</v>
      </c>
      <c r="AV378" s="13" t="s">
        <v>1127</v>
      </c>
      <c r="AW378" s="26" t="s">
        <v>2447</v>
      </c>
      <c r="AX378" s="26" t="s">
        <v>2448</v>
      </c>
      <c r="AY378" s="13" t="s">
        <v>5285</v>
      </c>
      <c r="AZ378" s="13" t="s">
        <v>5287</v>
      </c>
      <c r="BA378" s="13" t="s">
        <v>5287</v>
      </c>
      <c r="BB378" s="13" t="s">
        <v>5288</v>
      </c>
      <c r="BC378" s="13" t="s">
        <v>5288</v>
      </c>
      <c r="BD378" s="13">
        <f t="shared" si="13"/>
        <v>27</v>
      </c>
      <c r="BE378" s="17" t="s">
        <v>2453</v>
      </c>
      <c r="BF378" s="17" t="s">
        <v>5221</v>
      </c>
      <c r="BG378" s="17"/>
      <c r="BH378" s="17"/>
      <c r="BI378" s="17"/>
      <c r="BJ378" s="17"/>
      <c r="BK378" s="17"/>
      <c r="BL378" s="17"/>
      <c r="BM378" s="17"/>
      <c r="BN378" s="17"/>
      <c r="BO378" s="17" t="s">
        <v>4464</v>
      </c>
      <c r="BP378" s="17"/>
      <c r="BQ378" s="17"/>
      <c r="BR378" s="17"/>
      <c r="BS378" s="17" t="s">
        <v>127</v>
      </c>
      <c r="BT378" s="17"/>
      <c r="BU378" s="17" t="s">
        <v>129</v>
      </c>
      <c r="BV378" s="17"/>
      <c r="BW378" s="17"/>
      <c r="BX378" s="25" t="s">
        <v>5289</v>
      </c>
      <c r="DA378" s="13" t="s">
        <v>10348</v>
      </c>
      <c r="DB378" s="13" t="s">
        <v>10348</v>
      </c>
    </row>
    <row r="379" spans="1:106" s="13" customFormat="1" ht="12.75" customHeight="1" x14ac:dyDescent="0.2">
      <c r="A379" s="13" t="s">
        <v>102</v>
      </c>
      <c r="B379" s="13" t="s">
        <v>103</v>
      </c>
      <c r="D379" s="13" t="s">
        <v>5212</v>
      </c>
      <c r="E379" s="13" t="s">
        <v>471</v>
      </c>
      <c r="F379" s="13" t="s">
        <v>5212</v>
      </c>
      <c r="G379" s="13" t="s">
        <v>229</v>
      </c>
      <c r="H379" s="13" t="s">
        <v>7712</v>
      </c>
      <c r="J379" s="13" t="s">
        <v>106</v>
      </c>
      <c r="W379" s="13">
        <v>474</v>
      </c>
      <c r="X379" s="13">
        <v>474</v>
      </c>
      <c r="Y379" s="13" t="s">
        <v>107</v>
      </c>
      <c r="Z379" s="13" t="s">
        <v>108</v>
      </c>
      <c r="AA379" s="13" t="s">
        <v>107</v>
      </c>
      <c r="AB379" s="13" t="s">
        <v>5309</v>
      </c>
      <c r="AC379" s="13" t="s">
        <v>5309</v>
      </c>
      <c r="AD379" s="13" t="s">
        <v>5309</v>
      </c>
      <c r="AE379" s="35" t="s">
        <v>112</v>
      </c>
      <c r="AF379" s="13" t="s">
        <v>5309</v>
      </c>
      <c r="AG379" s="13" t="s">
        <v>5309</v>
      </c>
      <c r="AH379" s="35" t="s">
        <v>5310</v>
      </c>
      <c r="AL379" s="13" t="s">
        <v>5311</v>
      </c>
      <c r="AN379" s="13">
        <v>329</v>
      </c>
      <c r="AO379" s="13" t="s">
        <v>5312</v>
      </c>
      <c r="AQ379" s="13" t="s">
        <v>5309</v>
      </c>
      <c r="AR379" s="13" t="s">
        <v>5309</v>
      </c>
      <c r="AS379" s="13" t="s">
        <v>116</v>
      </c>
      <c r="AT379" s="13" t="s">
        <v>5313</v>
      </c>
      <c r="AU379" s="13" t="s">
        <v>5314</v>
      </c>
      <c r="AV379" s="13" t="s">
        <v>1127</v>
      </c>
      <c r="AW379" s="13" t="s">
        <v>2447</v>
      </c>
      <c r="AX379" s="13" t="s">
        <v>2448</v>
      </c>
      <c r="AY379" s="13" t="s">
        <v>5313</v>
      </c>
      <c r="AZ379" s="13" t="s">
        <v>5315</v>
      </c>
      <c r="BA379" s="13" t="s">
        <v>5315</v>
      </c>
      <c r="BB379" s="13" t="s">
        <v>5316</v>
      </c>
      <c r="BC379" s="13" t="s">
        <v>5316</v>
      </c>
      <c r="BD379" s="13">
        <f t="shared" si="13"/>
        <v>41</v>
      </c>
      <c r="BE379" s="17" t="s">
        <v>2453</v>
      </c>
      <c r="BF379" s="17" t="s">
        <v>1133</v>
      </c>
      <c r="BG379" s="17"/>
      <c r="BH379" s="17" t="s">
        <v>5317</v>
      </c>
      <c r="BI379" s="17"/>
      <c r="BJ379" s="17" t="s">
        <v>2455</v>
      </c>
      <c r="BK379" s="17"/>
      <c r="BL379" s="17"/>
      <c r="BM379" s="17"/>
      <c r="BN379" s="17" t="s">
        <v>1163</v>
      </c>
      <c r="BO379" s="17" t="s">
        <v>4364</v>
      </c>
      <c r="BP379" s="17"/>
      <c r="BQ379" s="17"/>
      <c r="BR379" s="17"/>
      <c r="BS379" s="17" t="s">
        <v>127</v>
      </c>
      <c r="BT379" s="17"/>
      <c r="BU379" s="17" t="s">
        <v>129</v>
      </c>
      <c r="BV379" s="17"/>
      <c r="BW379" s="17"/>
      <c r="BX379" s="25" t="s">
        <v>5318</v>
      </c>
      <c r="DA379" s="13" t="s">
        <v>10348</v>
      </c>
      <c r="DB379" s="13" t="s">
        <v>10348</v>
      </c>
    </row>
    <row r="380" spans="1:106" s="13" customFormat="1" ht="12.75" customHeight="1" x14ac:dyDescent="0.2">
      <c r="A380" s="13" t="s">
        <v>102</v>
      </c>
      <c r="B380" s="13" t="s">
        <v>103</v>
      </c>
      <c r="D380" s="13" t="s">
        <v>5212</v>
      </c>
      <c r="E380" s="13" t="s">
        <v>471</v>
      </c>
      <c r="F380" s="13" t="s">
        <v>5212</v>
      </c>
      <c r="G380" s="13" t="s">
        <v>229</v>
      </c>
      <c r="H380" s="13" t="s">
        <v>7712</v>
      </c>
      <c r="J380" s="13" t="s">
        <v>106</v>
      </c>
      <c r="W380" s="13">
        <v>475</v>
      </c>
      <c r="X380" s="13">
        <v>475</v>
      </c>
      <c r="Y380" s="13" t="s">
        <v>107</v>
      </c>
      <c r="Z380" s="13" t="s">
        <v>108</v>
      </c>
      <c r="AA380" s="13" t="s">
        <v>107</v>
      </c>
      <c r="AB380" s="13" t="s">
        <v>5319</v>
      </c>
      <c r="AC380" s="13" t="s">
        <v>5319</v>
      </c>
      <c r="AD380" s="13" t="s">
        <v>5319</v>
      </c>
      <c r="AE380" s="35" t="s">
        <v>112</v>
      </c>
      <c r="AF380" s="13" t="s">
        <v>5319</v>
      </c>
      <c r="AG380" s="13" t="s">
        <v>5319</v>
      </c>
      <c r="AH380" s="35" t="s">
        <v>5320</v>
      </c>
      <c r="AL380" s="13" t="s">
        <v>5321</v>
      </c>
      <c r="AN380" s="13">
        <v>329</v>
      </c>
      <c r="AO380" s="13" t="s">
        <v>5322</v>
      </c>
      <c r="AQ380" s="13" t="s">
        <v>5319</v>
      </c>
      <c r="AR380" s="13" t="s">
        <v>5319</v>
      </c>
      <c r="AS380" s="13" t="s">
        <v>116</v>
      </c>
      <c r="AT380" s="13" t="s">
        <v>5323</v>
      </c>
      <c r="AU380" s="13" t="s">
        <v>5314</v>
      </c>
      <c r="AV380" s="13" t="s">
        <v>1127</v>
      </c>
      <c r="AW380" s="26" t="s">
        <v>2447</v>
      </c>
      <c r="AX380" s="26" t="s">
        <v>2448</v>
      </c>
      <c r="AY380" s="13" t="s">
        <v>5323</v>
      </c>
      <c r="AZ380" s="13" t="s">
        <v>5324</v>
      </c>
      <c r="BA380" s="13" t="s">
        <v>5324</v>
      </c>
      <c r="BB380" s="13" t="s">
        <v>5325</v>
      </c>
      <c r="BC380" s="13" t="s">
        <v>5325</v>
      </c>
      <c r="BD380" s="13">
        <f t="shared" si="13"/>
        <v>41</v>
      </c>
      <c r="BE380" s="17" t="s">
        <v>2453</v>
      </c>
      <c r="BF380" s="17" t="s">
        <v>1133</v>
      </c>
      <c r="BG380" s="17"/>
      <c r="BH380" s="17" t="s">
        <v>5317</v>
      </c>
      <c r="BI380" s="17"/>
      <c r="BJ380" s="17" t="s">
        <v>2517</v>
      </c>
      <c r="BK380" s="17"/>
      <c r="BL380" s="17"/>
      <c r="BM380" s="17"/>
      <c r="BN380" s="17" t="s">
        <v>1163</v>
      </c>
      <c r="BO380" s="17" t="s">
        <v>4364</v>
      </c>
      <c r="BP380" s="17"/>
      <c r="BQ380" s="17"/>
      <c r="BR380" s="17"/>
      <c r="BS380" s="17" t="s">
        <v>127</v>
      </c>
      <c r="BT380" s="17"/>
      <c r="BU380" s="17" t="s">
        <v>129</v>
      </c>
      <c r="BV380" s="17"/>
      <c r="BW380" s="17"/>
      <c r="BX380" s="25" t="s">
        <v>5326</v>
      </c>
      <c r="DA380" s="13" t="s">
        <v>10348</v>
      </c>
      <c r="DB380" s="13" t="s">
        <v>10348</v>
      </c>
    </row>
    <row r="381" spans="1:106" s="13" customFormat="1" ht="12.75" customHeight="1" x14ac:dyDescent="0.2">
      <c r="A381" s="13" t="s">
        <v>102</v>
      </c>
      <c r="B381" s="13" t="s">
        <v>103</v>
      </c>
      <c r="D381" s="13" t="s">
        <v>5212</v>
      </c>
      <c r="E381" s="13" t="s">
        <v>471</v>
      </c>
      <c r="F381" s="13" t="s">
        <v>5212</v>
      </c>
      <c r="G381" s="13" t="s">
        <v>229</v>
      </c>
      <c r="H381" s="13" t="s">
        <v>7712</v>
      </c>
      <c r="J381" s="13" t="s">
        <v>106</v>
      </c>
      <c r="W381" s="13">
        <v>476</v>
      </c>
      <c r="X381" s="13">
        <v>476</v>
      </c>
      <c r="Y381" s="13" t="s">
        <v>107</v>
      </c>
      <c r="Z381" s="13" t="s">
        <v>108</v>
      </c>
      <c r="AA381" s="13" t="s">
        <v>107</v>
      </c>
      <c r="AB381" s="13" t="s">
        <v>5327</v>
      </c>
      <c r="AC381" s="13" t="s">
        <v>5327</v>
      </c>
      <c r="AD381" s="13">
        <v>497811</v>
      </c>
      <c r="AE381" s="35" t="s">
        <v>112</v>
      </c>
      <c r="AF381" s="13" t="s">
        <v>5327</v>
      </c>
      <c r="AG381" s="13" t="s">
        <v>5327</v>
      </c>
      <c r="AH381" s="35" t="s">
        <v>5328</v>
      </c>
      <c r="AL381" s="13" t="s">
        <v>5311</v>
      </c>
      <c r="AN381" s="13">
        <v>329</v>
      </c>
      <c r="AO381" s="13" t="s">
        <v>5329</v>
      </c>
      <c r="AQ381" s="13" t="s">
        <v>5327</v>
      </c>
      <c r="AR381" s="13" t="s">
        <v>5327</v>
      </c>
      <c r="AS381" s="13" t="s">
        <v>116</v>
      </c>
      <c r="AT381" s="13" t="s">
        <v>5313</v>
      </c>
      <c r="AU381" s="13" t="s">
        <v>5314</v>
      </c>
      <c r="AV381" s="13" t="s">
        <v>1127</v>
      </c>
      <c r="AW381" s="26" t="s">
        <v>2447</v>
      </c>
      <c r="AX381" s="26" t="s">
        <v>2448</v>
      </c>
      <c r="AY381" s="13" t="s">
        <v>5313</v>
      </c>
      <c r="AZ381" s="13" t="s">
        <v>5315</v>
      </c>
      <c r="BA381" s="13" t="s">
        <v>5330</v>
      </c>
      <c r="BB381" s="13" t="s">
        <v>5316</v>
      </c>
      <c r="BC381" s="13" t="s">
        <v>5331</v>
      </c>
      <c r="BD381" s="13">
        <f t="shared" si="13"/>
        <v>48</v>
      </c>
      <c r="BE381" s="17" t="s">
        <v>2453</v>
      </c>
      <c r="BF381" s="17" t="s">
        <v>1133</v>
      </c>
      <c r="BG381" s="17"/>
      <c r="BH381" s="17" t="s">
        <v>5317</v>
      </c>
      <c r="BI381" s="17"/>
      <c r="BJ381" s="17" t="s">
        <v>2455</v>
      </c>
      <c r="BK381" s="17"/>
      <c r="BL381" s="17"/>
      <c r="BM381" s="17"/>
      <c r="BN381" s="17" t="s">
        <v>1163</v>
      </c>
      <c r="BO381" s="17" t="s">
        <v>4364</v>
      </c>
      <c r="BP381" s="17"/>
      <c r="BQ381" s="17"/>
      <c r="BR381" s="17"/>
      <c r="BS381" s="17" t="s">
        <v>127</v>
      </c>
      <c r="BT381" s="17"/>
      <c r="BU381" s="17" t="s">
        <v>129</v>
      </c>
      <c r="BV381" s="17"/>
      <c r="BW381" s="17"/>
      <c r="BX381" s="25" t="s">
        <v>5332</v>
      </c>
      <c r="CA381" s="13" t="s">
        <v>5308</v>
      </c>
      <c r="DA381" s="13" t="s">
        <v>10348</v>
      </c>
      <c r="DB381" s="13" t="s">
        <v>10348</v>
      </c>
    </row>
    <row r="382" spans="1:106" s="13" customFormat="1" ht="12.75" customHeight="1" x14ac:dyDescent="0.2">
      <c r="A382" s="13" t="s">
        <v>102</v>
      </c>
      <c r="B382" s="13" t="s">
        <v>103</v>
      </c>
      <c r="D382" s="13" t="s">
        <v>5212</v>
      </c>
      <c r="E382" s="13" t="s">
        <v>471</v>
      </c>
      <c r="F382" s="13" t="s">
        <v>5212</v>
      </c>
      <c r="G382" s="13" t="s">
        <v>229</v>
      </c>
      <c r="H382" s="13" t="s">
        <v>7712</v>
      </c>
      <c r="J382" s="13" t="s">
        <v>106</v>
      </c>
      <c r="W382" s="13">
        <v>477</v>
      </c>
      <c r="X382" s="13">
        <v>477</v>
      </c>
      <c r="Y382" s="13" t="s">
        <v>107</v>
      </c>
      <c r="Z382" s="13" t="s">
        <v>108</v>
      </c>
      <c r="AA382" s="13" t="s">
        <v>107</v>
      </c>
      <c r="AB382" s="13" t="s">
        <v>5333</v>
      </c>
      <c r="AC382" s="13" t="s">
        <v>5333</v>
      </c>
      <c r="AD382" s="13" t="s">
        <v>5333</v>
      </c>
      <c r="AE382" s="35" t="s">
        <v>112</v>
      </c>
      <c r="AF382" s="13" t="s">
        <v>5333</v>
      </c>
      <c r="AG382" s="13" t="s">
        <v>5333</v>
      </c>
      <c r="AH382" s="35" t="s">
        <v>5334</v>
      </c>
      <c r="AL382" s="13" t="s">
        <v>5321</v>
      </c>
      <c r="AN382" s="13">
        <v>329</v>
      </c>
      <c r="AO382" s="13" t="s">
        <v>5335</v>
      </c>
      <c r="AQ382" s="13" t="s">
        <v>5333</v>
      </c>
      <c r="AR382" s="13" t="s">
        <v>5333</v>
      </c>
      <c r="AS382" s="13" t="s">
        <v>116</v>
      </c>
      <c r="AT382" s="13" t="s">
        <v>5323</v>
      </c>
      <c r="AU382" s="13" t="s">
        <v>5314</v>
      </c>
      <c r="AV382" s="13" t="s">
        <v>1127</v>
      </c>
      <c r="AW382" s="26" t="s">
        <v>2447</v>
      </c>
      <c r="AX382" s="26" t="s">
        <v>2448</v>
      </c>
      <c r="AY382" s="13" t="s">
        <v>5323</v>
      </c>
      <c r="AZ382" s="13" t="s">
        <v>5324</v>
      </c>
      <c r="BA382" s="13" t="s">
        <v>5336</v>
      </c>
      <c r="BB382" s="13" t="s">
        <v>5325</v>
      </c>
      <c r="BC382" s="13" t="s">
        <v>5337</v>
      </c>
      <c r="BD382" s="13">
        <f t="shared" si="13"/>
        <v>48</v>
      </c>
      <c r="BE382" s="17" t="s">
        <v>2453</v>
      </c>
      <c r="BF382" s="17" t="s">
        <v>1133</v>
      </c>
      <c r="BG382" s="17"/>
      <c r="BH382" s="17" t="s">
        <v>5317</v>
      </c>
      <c r="BI382" s="17"/>
      <c r="BJ382" s="17" t="s">
        <v>2517</v>
      </c>
      <c r="BK382" s="17"/>
      <c r="BL382" s="17"/>
      <c r="BM382" s="17"/>
      <c r="BN382" s="17" t="s">
        <v>1163</v>
      </c>
      <c r="BO382" s="17" t="s">
        <v>4364</v>
      </c>
      <c r="BP382" s="17"/>
      <c r="BQ382" s="17"/>
      <c r="BR382" s="17"/>
      <c r="BS382" s="17" t="s">
        <v>127</v>
      </c>
      <c r="BT382" s="17"/>
      <c r="BU382" s="17" t="s">
        <v>129</v>
      </c>
      <c r="BV382" s="17"/>
      <c r="BW382" s="17"/>
      <c r="BX382" s="25" t="s">
        <v>5338</v>
      </c>
      <c r="CA382" s="13" t="s">
        <v>5308</v>
      </c>
      <c r="DA382" s="13" t="s">
        <v>10348</v>
      </c>
      <c r="DB382" s="13" t="s">
        <v>10348</v>
      </c>
    </row>
    <row r="383" spans="1:106" s="13" customFormat="1" ht="12.75" customHeight="1" x14ac:dyDescent="0.2">
      <c r="A383" s="13" t="s">
        <v>102</v>
      </c>
      <c r="B383" s="13" t="s">
        <v>103</v>
      </c>
      <c r="D383" s="13" t="s">
        <v>5212</v>
      </c>
      <c r="E383" s="13" t="s">
        <v>471</v>
      </c>
      <c r="F383" s="13" t="s">
        <v>5212</v>
      </c>
      <c r="G383" s="13" t="s">
        <v>229</v>
      </c>
      <c r="H383" s="13" t="s">
        <v>7712</v>
      </c>
      <c r="J383" s="13" t="s">
        <v>106</v>
      </c>
      <c r="W383" s="13">
        <v>478</v>
      </c>
      <c r="X383" s="13">
        <v>478</v>
      </c>
      <c r="Y383" s="13" t="s">
        <v>107</v>
      </c>
      <c r="Z383" s="13" t="s">
        <v>108</v>
      </c>
      <c r="AA383" s="13" t="s">
        <v>107</v>
      </c>
      <c r="AB383" s="13" t="s">
        <v>5339</v>
      </c>
      <c r="AC383" s="13" t="s">
        <v>5339</v>
      </c>
      <c r="AD383" s="13" t="s">
        <v>5339</v>
      </c>
      <c r="AE383" s="35" t="s">
        <v>112</v>
      </c>
      <c r="AF383" s="13" t="s">
        <v>5339</v>
      </c>
      <c r="AG383" s="13" t="s">
        <v>5339</v>
      </c>
      <c r="AH383" s="35" t="s">
        <v>5340</v>
      </c>
      <c r="AL383" s="13" t="s">
        <v>5311</v>
      </c>
      <c r="AN383" s="13">
        <v>329</v>
      </c>
      <c r="AO383" s="13" t="s">
        <v>5341</v>
      </c>
      <c r="AQ383" s="13" t="s">
        <v>5339</v>
      </c>
      <c r="AR383" s="13" t="s">
        <v>5339</v>
      </c>
      <c r="AS383" s="13" t="s">
        <v>116</v>
      </c>
      <c r="AT383" s="13" t="s">
        <v>5313</v>
      </c>
      <c r="AU383" s="13" t="s">
        <v>5314</v>
      </c>
      <c r="AV383" s="13" t="s">
        <v>1127</v>
      </c>
      <c r="AW383" s="26" t="s">
        <v>2447</v>
      </c>
      <c r="AX383" s="26" t="s">
        <v>2448</v>
      </c>
      <c r="AY383" s="13" t="s">
        <v>5313</v>
      </c>
      <c r="AZ383" s="13" t="s">
        <v>5315</v>
      </c>
      <c r="BA383" s="13" t="s">
        <v>5342</v>
      </c>
      <c r="BB383" s="13" t="s">
        <v>5316</v>
      </c>
      <c r="BC383" s="13" t="s">
        <v>5343</v>
      </c>
      <c r="BD383" s="13">
        <f t="shared" si="13"/>
        <v>48</v>
      </c>
      <c r="BE383" s="17" t="s">
        <v>2453</v>
      </c>
      <c r="BF383" s="17" t="s">
        <v>1133</v>
      </c>
      <c r="BG383" s="17"/>
      <c r="BH383" s="17" t="s">
        <v>5317</v>
      </c>
      <c r="BI383" s="17"/>
      <c r="BJ383" s="17" t="s">
        <v>2455</v>
      </c>
      <c r="BK383" s="17"/>
      <c r="BL383" s="17"/>
      <c r="BM383" s="17"/>
      <c r="BN383" s="17" t="s">
        <v>1163</v>
      </c>
      <c r="BO383" s="17" t="s">
        <v>4364</v>
      </c>
      <c r="BP383" s="17"/>
      <c r="BQ383" s="17"/>
      <c r="BR383" s="17"/>
      <c r="BS383" s="17" t="s">
        <v>127</v>
      </c>
      <c r="BT383" s="17"/>
      <c r="BU383" s="17" t="s">
        <v>129</v>
      </c>
      <c r="BV383" s="17"/>
      <c r="BW383" s="17"/>
      <c r="BX383" s="25" t="s">
        <v>5344</v>
      </c>
      <c r="CA383" s="13" t="s">
        <v>5308</v>
      </c>
      <c r="DA383" s="13" t="s">
        <v>10348</v>
      </c>
      <c r="DB383" s="13" t="s">
        <v>10348</v>
      </c>
    </row>
    <row r="384" spans="1:106" s="13" customFormat="1" ht="12.75" customHeight="1" x14ac:dyDescent="0.2">
      <c r="A384" s="13" t="s">
        <v>102</v>
      </c>
      <c r="B384" s="13" t="s">
        <v>103</v>
      </c>
      <c r="D384" s="13" t="s">
        <v>5212</v>
      </c>
      <c r="E384" s="13" t="s">
        <v>471</v>
      </c>
      <c r="F384" s="13" t="s">
        <v>5212</v>
      </c>
      <c r="G384" s="13" t="s">
        <v>229</v>
      </c>
      <c r="H384" s="13" t="s">
        <v>7712</v>
      </c>
      <c r="J384" s="13" t="s">
        <v>106</v>
      </c>
      <c r="W384" s="13">
        <v>479</v>
      </c>
      <c r="X384" s="13">
        <v>479</v>
      </c>
      <c r="Y384" s="13" t="s">
        <v>107</v>
      </c>
      <c r="Z384" s="13" t="s">
        <v>108</v>
      </c>
      <c r="AA384" s="13" t="s">
        <v>107</v>
      </c>
      <c r="AB384" s="13" t="s">
        <v>5345</v>
      </c>
      <c r="AC384" s="13" t="s">
        <v>5345</v>
      </c>
      <c r="AD384" s="13" t="s">
        <v>5345</v>
      </c>
      <c r="AE384" s="35" t="s">
        <v>112</v>
      </c>
      <c r="AF384" s="13" t="s">
        <v>5345</v>
      </c>
      <c r="AG384" s="13" t="s">
        <v>5345</v>
      </c>
      <c r="AH384" s="35" t="s">
        <v>5346</v>
      </c>
      <c r="AL384" s="13" t="s">
        <v>5321</v>
      </c>
      <c r="AN384" s="13">
        <v>329</v>
      </c>
      <c r="AO384" s="13" t="s">
        <v>5347</v>
      </c>
      <c r="AQ384" s="13" t="s">
        <v>5345</v>
      </c>
      <c r="AR384" s="13" t="s">
        <v>5345</v>
      </c>
      <c r="AS384" s="13" t="s">
        <v>116</v>
      </c>
      <c r="AT384" s="13" t="s">
        <v>5323</v>
      </c>
      <c r="AU384" s="13" t="s">
        <v>5314</v>
      </c>
      <c r="AV384" s="13" t="s">
        <v>1127</v>
      </c>
      <c r="AW384" s="26" t="s">
        <v>2447</v>
      </c>
      <c r="AX384" s="26" t="s">
        <v>2448</v>
      </c>
      <c r="AY384" s="13" t="s">
        <v>5323</v>
      </c>
      <c r="AZ384" s="13" t="s">
        <v>5324</v>
      </c>
      <c r="BA384" s="13" t="s">
        <v>5348</v>
      </c>
      <c r="BB384" s="13" t="s">
        <v>5325</v>
      </c>
      <c r="BC384" s="13" t="s">
        <v>5349</v>
      </c>
      <c r="BD384" s="13">
        <f t="shared" si="13"/>
        <v>48</v>
      </c>
      <c r="BE384" s="17" t="s">
        <v>2453</v>
      </c>
      <c r="BF384" s="17" t="s">
        <v>1133</v>
      </c>
      <c r="BG384" s="17"/>
      <c r="BH384" s="17" t="s">
        <v>5317</v>
      </c>
      <c r="BI384" s="17"/>
      <c r="BJ384" s="17" t="s">
        <v>2517</v>
      </c>
      <c r="BK384" s="17"/>
      <c r="BL384" s="17"/>
      <c r="BM384" s="17"/>
      <c r="BN384" s="17" t="s">
        <v>1163</v>
      </c>
      <c r="BO384" s="17" t="s">
        <v>4364</v>
      </c>
      <c r="BP384" s="17"/>
      <c r="BQ384" s="17"/>
      <c r="BR384" s="17"/>
      <c r="BS384" s="17" t="s">
        <v>127</v>
      </c>
      <c r="BT384" s="17"/>
      <c r="BU384" s="17" t="s">
        <v>129</v>
      </c>
      <c r="BV384" s="17"/>
      <c r="BW384" s="17"/>
      <c r="BX384" s="25" t="s">
        <v>5350</v>
      </c>
      <c r="CA384" s="13" t="s">
        <v>5308</v>
      </c>
      <c r="DA384" s="13" t="s">
        <v>10348</v>
      </c>
      <c r="DB384" s="13" t="s">
        <v>10348</v>
      </c>
    </row>
    <row r="385" spans="1:106" s="13" customFormat="1" ht="12.75" customHeight="1" x14ac:dyDescent="0.2">
      <c r="A385" s="13" t="s">
        <v>102</v>
      </c>
      <c r="B385" s="13" t="s">
        <v>103</v>
      </c>
      <c r="D385" s="13" t="s">
        <v>5212</v>
      </c>
      <c r="E385" s="13" t="s">
        <v>228</v>
      </c>
      <c r="F385" s="13" t="s">
        <v>5212</v>
      </c>
      <c r="G385" s="13" t="s">
        <v>229</v>
      </c>
      <c r="H385" s="13" t="s">
        <v>7712</v>
      </c>
      <c r="J385" s="13" t="s">
        <v>106</v>
      </c>
      <c r="W385" s="13">
        <v>480</v>
      </c>
      <c r="X385" s="13">
        <v>480</v>
      </c>
      <c r="Y385" s="13" t="s">
        <v>107</v>
      </c>
      <c r="Z385" s="13" t="s">
        <v>108</v>
      </c>
      <c r="AA385" s="13" t="s">
        <v>107</v>
      </c>
      <c r="AB385" s="13" t="s">
        <v>5351</v>
      </c>
      <c r="AC385" s="13" t="s">
        <v>5351</v>
      </c>
      <c r="AD385" s="13" t="s">
        <v>5351</v>
      </c>
      <c r="AE385" s="35" t="s">
        <v>112</v>
      </c>
      <c r="AF385" s="13" t="s">
        <v>5351</v>
      </c>
      <c r="AG385" s="13" t="s">
        <v>5351</v>
      </c>
      <c r="AH385" s="35" t="s">
        <v>5352</v>
      </c>
      <c r="AL385" s="13" t="s">
        <v>5353</v>
      </c>
      <c r="AN385" s="13">
        <v>329</v>
      </c>
      <c r="AO385" s="13" t="s">
        <v>5354</v>
      </c>
      <c r="AQ385" s="13" t="s">
        <v>5351</v>
      </c>
      <c r="AR385" s="13" t="s">
        <v>5351</v>
      </c>
      <c r="AS385" s="13" t="s">
        <v>116</v>
      </c>
      <c r="AT385" s="13" t="s">
        <v>5355</v>
      </c>
      <c r="AU385" s="13" t="s">
        <v>5356</v>
      </c>
      <c r="AV385" s="13" t="s">
        <v>1127</v>
      </c>
      <c r="AW385" s="26" t="s">
        <v>2447</v>
      </c>
      <c r="AX385" s="26" t="s">
        <v>2448</v>
      </c>
      <c r="AY385" s="13" t="s">
        <v>5357</v>
      </c>
      <c r="AZ385" s="13" t="s">
        <v>5358</v>
      </c>
      <c r="BA385" s="13" t="s">
        <v>5358</v>
      </c>
      <c r="BB385" s="13" t="s">
        <v>5359</v>
      </c>
      <c r="BC385" s="13" t="s">
        <v>5360</v>
      </c>
      <c r="BD385" s="13">
        <f t="shared" si="13"/>
        <v>56</v>
      </c>
      <c r="BE385" s="17" t="s">
        <v>2453</v>
      </c>
      <c r="BF385" s="17" t="s">
        <v>1133</v>
      </c>
      <c r="BG385" s="17" t="s">
        <v>5361</v>
      </c>
      <c r="BH385" s="17"/>
      <c r="BI385" s="17"/>
      <c r="BJ385" s="17" t="s">
        <v>2455</v>
      </c>
      <c r="BK385" s="17"/>
      <c r="BL385" s="17"/>
      <c r="BM385" s="17"/>
      <c r="BN385" s="17"/>
      <c r="BO385" s="17" t="s">
        <v>5362</v>
      </c>
      <c r="BP385" s="17"/>
      <c r="BQ385" s="17"/>
      <c r="BR385" s="17"/>
      <c r="BS385" s="17" t="s">
        <v>127</v>
      </c>
      <c r="BT385" s="17" t="s">
        <v>5363</v>
      </c>
      <c r="BU385" s="17" t="s">
        <v>129</v>
      </c>
      <c r="BV385" s="17"/>
      <c r="BW385" s="17"/>
      <c r="BX385" s="25" t="s">
        <v>5364</v>
      </c>
      <c r="DA385" s="13" t="s">
        <v>10348</v>
      </c>
      <c r="DB385" s="13" t="s">
        <v>10348</v>
      </c>
    </row>
    <row r="386" spans="1:106" s="13" customFormat="1" ht="12.75" customHeight="1" x14ac:dyDescent="0.2">
      <c r="A386" s="13" t="s">
        <v>102</v>
      </c>
      <c r="B386" s="13" t="s">
        <v>103</v>
      </c>
      <c r="D386" s="13" t="s">
        <v>5212</v>
      </c>
      <c r="E386" s="13" t="s">
        <v>228</v>
      </c>
      <c r="F386" s="13" t="s">
        <v>5212</v>
      </c>
      <c r="G386" s="13" t="s">
        <v>229</v>
      </c>
      <c r="H386" s="13" t="s">
        <v>7712</v>
      </c>
      <c r="J386" s="13" t="s">
        <v>106</v>
      </c>
      <c r="W386" s="13">
        <v>481</v>
      </c>
      <c r="X386" s="13">
        <v>481</v>
      </c>
      <c r="Y386" s="13" t="s">
        <v>107</v>
      </c>
      <c r="Z386" s="13" t="s">
        <v>108</v>
      </c>
      <c r="AA386" s="13" t="s">
        <v>107</v>
      </c>
      <c r="AB386" s="13" t="s">
        <v>5365</v>
      </c>
      <c r="AC386" s="13" t="s">
        <v>5365</v>
      </c>
      <c r="AD386" s="13" t="s">
        <v>5365</v>
      </c>
      <c r="AE386" s="35" t="s">
        <v>112</v>
      </c>
      <c r="AF386" s="13" t="s">
        <v>5365</v>
      </c>
      <c r="AG386" s="13" t="s">
        <v>5365</v>
      </c>
      <c r="AH386" s="35" t="s">
        <v>5366</v>
      </c>
      <c r="AL386" s="13" t="s">
        <v>5353</v>
      </c>
      <c r="AN386" s="13">
        <v>329</v>
      </c>
      <c r="AO386" s="13" t="s">
        <v>5367</v>
      </c>
      <c r="AQ386" s="13" t="s">
        <v>5365</v>
      </c>
      <c r="AR386" s="13" t="s">
        <v>5365</v>
      </c>
      <c r="AS386" s="13" t="s">
        <v>116</v>
      </c>
      <c r="AT386" s="13" t="s">
        <v>5368</v>
      </c>
      <c r="AU386" s="13" t="s">
        <v>5369</v>
      </c>
      <c r="AV386" s="13" t="s">
        <v>1127</v>
      </c>
      <c r="AW386" s="26" t="s">
        <v>2447</v>
      </c>
      <c r="AX386" s="26" t="s">
        <v>2448</v>
      </c>
      <c r="AY386" s="13" t="s">
        <v>5370</v>
      </c>
      <c r="AZ386" s="13" t="s">
        <v>5371</v>
      </c>
      <c r="BA386" s="13" t="s">
        <v>5371</v>
      </c>
      <c r="BB386" s="13" t="s">
        <v>5372</v>
      </c>
      <c r="BC386" s="13" t="s">
        <v>5373</v>
      </c>
      <c r="BD386" s="13">
        <f t="shared" si="13"/>
        <v>59</v>
      </c>
      <c r="BE386" s="17" t="s">
        <v>2453</v>
      </c>
      <c r="BF386" s="17" t="s">
        <v>1133</v>
      </c>
      <c r="BG386" s="17" t="s">
        <v>5361</v>
      </c>
      <c r="BH386" s="17"/>
      <c r="BI386" s="17"/>
      <c r="BJ386" s="17" t="s">
        <v>2455</v>
      </c>
      <c r="BK386" s="17"/>
      <c r="BL386" s="17"/>
      <c r="BM386" s="17"/>
      <c r="BN386" s="17"/>
      <c r="BO386" s="17" t="s">
        <v>5374</v>
      </c>
      <c r="BP386" s="17"/>
      <c r="BQ386" s="17"/>
      <c r="BR386" s="17"/>
      <c r="BS386" s="17" t="s">
        <v>127</v>
      </c>
      <c r="BT386" s="17" t="s">
        <v>5363</v>
      </c>
      <c r="BU386" s="17" t="s">
        <v>129</v>
      </c>
      <c r="BV386" s="17"/>
      <c r="BW386" s="17"/>
      <c r="BX386" s="25" t="s">
        <v>5375</v>
      </c>
      <c r="DA386" s="13" t="s">
        <v>10348</v>
      </c>
      <c r="DB386" s="13" t="s">
        <v>10348</v>
      </c>
    </row>
    <row r="387" spans="1:106" s="13" customFormat="1" ht="12.75" customHeight="1" x14ac:dyDescent="0.2">
      <c r="A387" s="13" t="s">
        <v>102</v>
      </c>
      <c r="B387" s="13" t="s">
        <v>103</v>
      </c>
      <c r="D387" s="13" t="s">
        <v>5212</v>
      </c>
      <c r="E387" s="13" t="s">
        <v>228</v>
      </c>
      <c r="F387" s="13" t="s">
        <v>5212</v>
      </c>
      <c r="G387" s="13" t="s">
        <v>229</v>
      </c>
      <c r="H387" s="13" t="s">
        <v>7712</v>
      </c>
      <c r="J387" s="13" t="s">
        <v>106</v>
      </c>
      <c r="W387" s="13">
        <v>482</v>
      </c>
      <c r="X387" s="13">
        <v>482</v>
      </c>
      <c r="Y387" s="13" t="s">
        <v>107</v>
      </c>
      <c r="Z387" s="13" t="s">
        <v>108</v>
      </c>
      <c r="AA387" s="13" t="s">
        <v>107</v>
      </c>
      <c r="AB387" s="13" t="s">
        <v>5376</v>
      </c>
      <c r="AC387" s="13" t="s">
        <v>5376</v>
      </c>
      <c r="AD387" s="13" t="s">
        <v>5376</v>
      </c>
      <c r="AE387" s="35" t="s">
        <v>112</v>
      </c>
      <c r="AF387" s="13" t="s">
        <v>5376</v>
      </c>
      <c r="AG387" s="13" t="s">
        <v>5376</v>
      </c>
      <c r="AH387" s="35" t="s">
        <v>5377</v>
      </c>
      <c r="AL387" s="13" t="s">
        <v>5378</v>
      </c>
      <c r="AN387" s="13">
        <v>329</v>
      </c>
      <c r="AO387" s="13" t="s">
        <v>5379</v>
      </c>
      <c r="AQ387" s="13" t="s">
        <v>5376</v>
      </c>
      <c r="AR387" s="13" t="s">
        <v>5376</v>
      </c>
      <c r="AS387" s="13" t="s">
        <v>116</v>
      </c>
      <c r="AT387" s="13" t="s">
        <v>5380</v>
      </c>
      <c r="AU387" s="13" t="s">
        <v>5369</v>
      </c>
      <c r="AV387" s="13" t="s">
        <v>1127</v>
      </c>
      <c r="AW387" s="26" t="s">
        <v>2447</v>
      </c>
      <c r="AX387" s="26" t="s">
        <v>2448</v>
      </c>
      <c r="AY387" s="13" t="s">
        <v>5357</v>
      </c>
      <c r="AZ387" s="13" t="s">
        <v>5381</v>
      </c>
      <c r="BA387" s="13" t="s">
        <v>5381</v>
      </c>
      <c r="BB387" s="13" t="s">
        <v>5382</v>
      </c>
      <c r="BC387" s="13" t="s">
        <v>5383</v>
      </c>
      <c r="BD387" s="13">
        <f t="shared" si="13"/>
        <v>56</v>
      </c>
      <c r="BE387" s="17" t="s">
        <v>2453</v>
      </c>
      <c r="BF387" s="17" t="s">
        <v>1133</v>
      </c>
      <c r="BG387" s="17" t="s">
        <v>5361</v>
      </c>
      <c r="BH387" s="17"/>
      <c r="BI387" s="17"/>
      <c r="BJ387" s="17" t="s">
        <v>2517</v>
      </c>
      <c r="BK387" s="17"/>
      <c r="BL387" s="17"/>
      <c r="BM387" s="17"/>
      <c r="BN387" s="17"/>
      <c r="BO387" s="17" t="s">
        <v>5362</v>
      </c>
      <c r="BP387" s="17"/>
      <c r="BQ387" s="17"/>
      <c r="BR387" s="17"/>
      <c r="BS387" s="17" t="s">
        <v>127</v>
      </c>
      <c r="BT387" s="17" t="s">
        <v>5363</v>
      </c>
      <c r="BU387" s="17" t="s">
        <v>129</v>
      </c>
      <c r="BV387" s="17"/>
      <c r="BW387" s="17"/>
      <c r="BX387" s="25" t="s">
        <v>5384</v>
      </c>
      <c r="DA387" s="13" t="s">
        <v>10348</v>
      </c>
      <c r="DB387" s="13" t="s">
        <v>10348</v>
      </c>
    </row>
    <row r="388" spans="1:106" s="13" customFormat="1" ht="12.75" customHeight="1" x14ac:dyDescent="0.2">
      <c r="A388" s="13" t="s">
        <v>102</v>
      </c>
      <c r="B388" s="13" t="s">
        <v>103</v>
      </c>
      <c r="D388" s="13" t="s">
        <v>5212</v>
      </c>
      <c r="E388" s="13" t="s">
        <v>228</v>
      </c>
      <c r="F388" s="13" t="s">
        <v>5212</v>
      </c>
      <c r="G388" s="13" t="s">
        <v>229</v>
      </c>
      <c r="H388" s="13" t="s">
        <v>7712</v>
      </c>
      <c r="J388" s="13" t="s">
        <v>106</v>
      </c>
      <c r="W388" s="13">
        <v>483</v>
      </c>
      <c r="X388" s="13">
        <v>483</v>
      </c>
      <c r="Y388" s="13" t="s">
        <v>107</v>
      </c>
      <c r="Z388" s="13" t="s">
        <v>108</v>
      </c>
      <c r="AA388" s="13" t="s">
        <v>107</v>
      </c>
      <c r="AB388" s="13" t="s">
        <v>5385</v>
      </c>
      <c r="AC388" s="13" t="s">
        <v>5385</v>
      </c>
      <c r="AD388" s="13" t="s">
        <v>5385</v>
      </c>
      <c r="AE388" s="35" t="s">
        <v>112</v>
      </c>
      <c r="AF388" s="13" t="s">
        <v>5385</v>
      </c>
      <c r="AG388" s="13" t="s">
        <v>5385</v>
      </c>
      <c r="AH388" s="35" t="s">
        <v>5386</v>
      </c>
      <c r="AL388" s="13" t="s">
        <v>5378</v>
      </c>
      <c r="AN388" s="13">
        <v>329</v>
      </c>
      <c r="AO388" s="13" t="s">
        <v>5387</v>
      </c>
      <c r="AQ388" s="13" t="s">
        <v>5385</v>
      </c>
      <c r="AR388" s="13" t="s">
        <v>5385</v>
      </c>
      <c r="AS388" s="13" t="s">
        <v>116</v>
      </c>
      <c r="AT388" s="13" t="s">
        <v>5380</v>
      </c>
      <c r="AU388" s="13" t="s">
        <v>5369</v>
      </c>
      <c r="AV388" s="13" t="s">
        <v>1127</v>
      </c>
      <c r="AW388" s="26" t="s">
        <v>2447</v>
      </c>
      <c r="AX388" s="26" t="s">
        <v>2448</v>
      </c>
      <c r="AY388" s="13" t="s">
        <v>5370</v>
      </c>
      <c r="AZ388" s="13" t="s">
        <v>5388</v>
      </c>
      <c r="BA388" s="13" t="s">
        <v>5388</v>
      </c>
      <c r="BB388" s="13" t="s">
        <v>5389</v>
      </c>
      <c r="BC388" s="13" t="s">
        <v>5390</v>
      </c>
      <c r="BD388" s="13">
        <f t="shared" si="13"/>
        <v>59</v>
      </c>
      <c r="BE388" s="17" t="s">
        <v>2453</v>
      </c>
      <c r="BF388" s="17" t="s">
        <v>1133</v>
      </c>
      <c r="BG388" s="17" t="s">
        <v>5361</v>
      </c>
      <c r="BH388" s="17"/>
      <c r="BI388" s="17"/>
      <c r="BJ388" s="17" t="s">
        <v>2517</v>
      </c>
      <c r="BK388" s="17"/>
      <c r="BL388" s="17"/>
      <c r="BM388" s="17"/>
      <c r="BN388" s="17"/>
      <c r="BO388" s="17" t="s">
        <v>5374</v>
      </c>
      <c r="BP388" s="17"/>
      <c r="BQ388" s="17"/>
      <c r="BR388" s="17"/>
      <c r="BS388" s="17" t="s">
        <v>127</v>
      </c>
      <c r="BT388" s="17" t="s">
        <v>5363</v>
      </c>
      <c r="BU388" s="17" t="s">
        <v>129</v>
      </c>
      <c r="BV388" s="17"/>
      <c r="BW388" s="17"/>
      <c r="BX388" s="25" t="s">
        <v>5391</v>
      </c>
      <c r="DA388" s="13" t="s">
        <v>10348</v>
      </c>
      <c r="DB388" s="13" t="s">
        <v>10348</v>
      </c>
    </row>
    <row r="389" spans="1:106" s="13" customFormat="1" ht="12.75" customHeight="1" x14ac:dyDescent="0.2">
      <c r="A389" s="13" t="s">
        <v>102</v>
      </c>
      <c r="B389" s="13" t="s">
        <v>103</v>
      </c>
      <c r="D389" s="13" t="s">
        <v>5212</v>
      </c>
      <c r="E389" s="13" t="s">
        <v>228</v>
      </c>
      <c r="F389" s="13" t="s">
        <v>5212</v>
      </c>
      <c r="G389" s="13" t="s">
        <v>229</v>
      </c>
      <c r="H389" s="13" t="s">
        <v>7712</v>
      </c>
      <c r="J389" s="13" t="s">
        <v>106</v>
      </c>
      <c r="W389" s="13">
        <v>484</v>
      </c>
      <c r="X389" s="13">
        <v>484</v>
      </c>
      <c r="Y389" s="13" t="s">
        <v>107</v>
      </c>
      <c r="Z389" s="13" t="s">
        <v>108</v>
      </c>
      <c r="AA389" s="13" t="s">
        <v>107</v>
      </c>
      <c r="AB389" s="13" t="s">
        <v>5392</v>
      </c>
      <c r="AC389" s="13" t="s">
        <v>5392</v>
      </c>
      <c r="AD389" s="13" t="s">
        <v>5392</v>
      </c>
      <c r="AE389" s="35" t="s">
        <v>112</v>
      </c>
      <c r="AF389" s="13" t="s">
        <v>5392</v>
      </c>
      <c r="AG389" s="13" t="s">
        <v>5392</v>
      </c>
      <c r="AH389" s="35" t="s">
        <v>5393</v>
      </c>
      <c r="AL389" s="13" t="s">
        <v>5394</v>
      </c>
      <c r="AN389" s="13">
        <v>329</v>
      </c>
      <c r="AO389" s="13" t="s">
        <v>5395</v>
      </c>
      <c r="AQ389" s="13" t="s">
        <v>5392</v>
      </c>
      <c r="AR389" s="13" t="s">
        <v>5392</v>
      </c>
      <c r="AS389" s="13" t="s">
        <v>116</v>
      </c>
      <c r="AT389" s="13" t="s">
        <v>5396</v>
      </c>
      <c r="AU389" s="13" t="s">
        <v>5369</v>
      </c>
      <c r="AV389" s="13" t="s">
        <v>1127</v>
      </c>
      <c r="AW389" s="26" t="s">
        <v>2447</v>
      </c>
      <c r="AX389" s="26" t="s">
        <v>2448</v>
      </c>
      <c r="AY389" s="13" t="s">
        <v>5357</v>
      </c>
      <c r="AZ389" s="13" t="s">
        <v>5397</v>
      </c>
      <c r="BA389" s="13" t="s">
        <v>5397</v>
      </c>
      <c r="BB389" s="13" t="s">
        <v>5398</v>
      </c>
      <c r="BC389" s="13" t="s">
        <v>5399</v>
      </c>
      <c r="BD389" s="13">
        <f t="shared" ref="BD389:BD420" si="14">LEN(SUBSTITUTE(BC389, ", "," "))</f>
        <v>56</v>
      </c>
      <c r="BE389" s="17" t="s">
        <v>2453</v>
      </c>
      <c r="BF389" s="17" t="s">
        <v>1133</v>
      </c>
      <c r="BG389" s="17" t="s">
        <v>5361</v>
      </c>
      <c r="BH389" s="17"/>
      <c r="BI389" s="17"/>
      <c r="BJ389" s="17" t="s">
        <v>2644</v>
      </c>
      <c r="BK389" s="17"/>
      <c r="BL389" s="17"/>
      <c r="BM389" s="17"/>
      <c r="BN389" s="17"/>
      <c r="BO389" s="17" t="s">
        <v>5362</v>
      </c>
      <c r="BP389" s="17"/>
      <c r="BQ389" s="17"/>
      <c r="BR389" s="17"/>
      <c r="BS389" s="17" t="s">
        <v>127</v>
      </c>
      <c r="BT389" s="17" t="s">
        <v>5363</v>
      </c>
      <c r="BU389" s="17" t="s">
        <v>129</v>
      </c>
      <c r="BV389" s="17"/>
      <c r="BW389" s="17"/>
      <c r="BX389" s="25" t="s">
        <v>5400</v>
      </c>
      <c r="DA389" s="13" t="s">
        <v>10348</v>
      </c>
      <c r="DB389" s="13" t="s">
        <v>10348</v>
      </c>
    </row>
    <row r="390" spans="1:106" s="13" customFormat="1" ht="12.75" customHeight="1" x14ac:dyDescent="0.2">
      <c r="A390" s="13" t="s">
        <v>102</v>
      </c>
      <c r="B390" s="13" t="s">
        <v>103</v>
      </c>
      <c r="D390" s="13" t="s">
        <v>5212</v>
      </c>
      <c r="E390" s="13" t="s">
        <v>228</v>
      </c>
      <c r="F390" s="13" t="s">
        <v>5212</v>
      </c>
      <c r="G390" s="13" t="s">
        <v>229</v>
      </c>
      <c r="H390" s="13" t="s">
        <v>7712</v>
      </c>
      <c r="J390" s="13" t="s">
        <v>106</v>
      </c>
      <c r="W390" s="13">
        <v>485</v>
      </c>
      <c r="X390" s="13">
        <v>485</v>
      </c>
      <c r="Y390" s="13" t="s">
        <v>107</v>
      </c>
      <c r="Z390" s="13" t="s">
        <v>108</v>
      </c>
      <c r="AA390" s="13" t="s">
        <v>107</v>
      </c>
      <c r="AB390" s="13" t="s">
        <v>5401</v>
      </c>
      <c r="AC390" s="13" t="s">
        <v>5401</v>
      </c>
      <c r="AD390" s="13" t="s">
        <v>5401</v>
      </c>
      <c r="AE390" s="35" t="s">
        <v>112</v>
      </c>
      <c r="AF390" s="13" t="s">
        <v>5401</v>
      </c>
      <c r="AG390" s="13" t="s">
        <v>5401</v>
      </c>
      <c r="AH390" s="35" t="s">
        <v>5402</v>
      </c>
      <c r="AL390" s="13" t="s">
        <v>5394</v>
      </c>
      <c r="AN390" s="13">
        <v>329</v>
      </c>
      <c r="AO390" s="13" t="s">
        <v>5403</v>
      </c>
      <c r="AQ390" s="13" t="s">
        <v>5401</v>
      </c>
      <c r="AR390" s="13" t="s">
        <v>5401</v>
      </c>
      <c r="AS390" s="13" t="s">
        <v>116</v>
      </c>
      <c r="AT390" s="13" t="s">
        <v>5396</v>
      </c>
      <c r="AU390" s="13" t="s">
        <v>5369</v>
      </c>
      <c r="AV390" s="13" t="s">
        <v>1127</v>
      </c>
      <c r="AW390" s="26" t="s">
        <v>2447</v>
      </c>
      <c r="AX390" s="26" t="s">
        <v>2448</v>
      </c>
      <c r="AY390" s="13" t="s">
        <v>5370</v>
      </c>
      <c r="AZ390" s="13" t="s">
        <v>5404</v>
      </c>
      <c r="BA390" s="13" t="s">
        <v>5404</v>
      </c>
      <c r="BB390" s="13" t="s">
        <v>5405</v>
      </c>
      <c r="BC390" s="13" t="s">
        <v>5406</v>
      </c>
      <c r="BD390" s="13">
        <f t="shared" si="14"/>
        <v>59</v>
      </c>
      <c r="BE390" s="17" t="s">
        <v>2453</v>
      </c>
      <c r="BF390" s="17" t="s">
        <v>1133</v>
      </c>
      <c r="BG390" s="17" t="s">
        <v>5361</v>
      </c>
      <c r="BH390" s="17"/>
      <c r="BI390" s="17"/>
      <c r="BJ390" s="17" t="s">
        <v>2644</v>
      </c>
      <c r="BK390" s="17"/>
      <c r="BL390" s="17"/>
      <c r="BM390" s="17"/>
      <c r="BN390" s="17"/>
      <c r="BO390" s="17" t="s">
        <v>5374</v>
      </c>
      <c r="BP390" s="17"/>
      <c r="BQ390" s="17"/>
      <c r="BR390" s="17"/>
      <c r="BS390" s="17" t="s">
        <v>127</v>
      </c>
      <c r="BT390" s="17" t="s">
        <v>5363</v>
      </c>
      <c r="BU390" s="17" t="s">
        <v>129</v>
      </c>
      <c r="BV390" s="17"/>
      <c r="BW390" s="17"/>
      <c r="BX390" s="25" t="s">
        <v>5407</v>
      </c>
      <c r="DA390" s="13" t="s">
        <v>10348</v>
      </c>
      <c r="DB390" s="13" t="s">
        <v>10348</v>
      </c>
    </row>
    <row r="391" spans="1:106" s="13" customFormat="1" ht="12.75" customHeight="1" x14ac:dyDescent="0.2">
      <c r="A391" s="13" t="s">
        <v>102</v>
      </c>
      <c r="B391" s="13" t="s">
        <v>103</v>
      </c>
      <c r="D391" s="13" t="s">
        <v>5212</v>
      </c>
      <c r="E391" s="13" t="s">
        <v>228</v>
      </c>
      <c r="F391" s="13" t="s">
        <v>5212</v>
      </c>
      <c r="G391" s="13" t="s">
        <v>229</v>
      </c>
      <c r="H391" s="13" t="s">
        <v>7712</v>
      </c>
      <c r="J391" s="13" t="s">
        <v>106</v>
      </c>
      <c r="W391" s="13">
        <v>486</v>
      </c>
      <c r="X391" s="13">
        <v>486</v>
      </c>
      <c r="Y391" s="13" t="s">
        <v>107</v>
      </c>
      <c r="Z391" s="13" t="s">
        <v>108</v>
      </c>
      <c r="AA391" s="13" t="s">
        <v>107</v>
      </c>
      <c r="AB391" s="13" t="s">
        <v>5408</v>
      </c>
      <c r="AC391" s="13" t="s">
        <v>5408</v>
      </c>
      <c r="AD391" s="13">
        <v>497844</v>
      </c>
      <c r="AE391" s="35" t="s">
        <v>112</v>
      </c>
      <c r="AF391" s="13" t="s">
        <v>5408</v>
      </c>
      <c r="AG391" s="13" t="s">
        <v>5408</v>
      </c>
      <c r="AH391" s="35" t="s">
        <v>5409</v>
      </c>
      <c r="AL391" s="13" t="s">
        <v>5394</v>
      </c>
      <c r="AN391" s="13">
        <v>329</v>
      </c>
      <c r="AO391" s="13" t="s">
        <v>5410</v>
      </c>
      <c r="AQ391" s="13" t="s">
        <v>5408</v>
      </c>
      <c r="AR391" s="13" t="s">
        <v>5408</v>
      </c>
      <c r="AS391" s="13" t="s">
        <v>116</v>
      </c>
      <c r="AT391" s="13" t="s">
        <v>5411</v>
      </c>
      <c r="AU391" s="13" t="s">
        <v>5369</v>
      </c>
      <c r="AV391" s="13" t="s">
        <v>1127</v>
      </c>
      <c r="AW391" s="26" t="s">
        <v>2447</v>
      </c>
      <c r="AX391" s="26" t="s">
        <v>2448</v>
      </c>
      <c r="AY391" s="13" t="s">
        <v>5370</v>
      </c>
      <c r="AZ391" s="13" t="s">
        <v>5404</v>
      </c>
      <c r="BA391" s="13" t="s">
        <v>5412</v>
      </c>
      <c r="BB391" s="13" t="s">
        <v>5405</v>
      </c>
      <c r="BC391" s="13" t="s">
        <v>5413</v>
      </c>
      <c r="BD391" s="13">
        <f t="shared" si="14"/>
        <v>56</v>
      </c>
      <c r="BE391" s="17" t="s">
        <v>2453</v>
      </c>
      <c r="BF391" s="17" t="s">
        <v>1133</v>
      </c>
      <c r="BG391" s="17" t="s">
        <v>5361</v>
      </c>
      <c r="BH391" s="17"/>
      <c r="BI391" s="17"/>
      <c r="BJ391" s="17" t="s">
        <v>2644</v>
      </c>
      <c r="BK391" s="17"/>
      <c r="BL391" s="17"/>
      <c r="BM391" s="17"/>
      <c r="BN391" s="17"/>
      <c r="BO391" s="17" t="s">
        <v>5374</v>
      </c>
      <c r="BP391" s="17"/>
      <c r="BQ391" s="17"/>
      <c r="BR391" s="17"/>
      <c r="BS391" s="17" t="s">
        <v>127</v>
      </c>
      <c r="BT391" s="17" t="s">
        <v>5363</v>
      </c>
      <c r="BU391" s="17" t="s">
        <v>129</v>
      </c>
      <c r="BV391" s="17"/>
      <c r="BW391" s="17"/>
      <c r="BX391" s="25" t="s">
        <v>5414</v>
      </c>
      <c r="CA391" s="13" t="s">
        <v>5308</v>
      </c>
      <c r="DA391" s="13" t="s">
        <v>10348</v>
      </c>
      <c r="DB391" s="13" t="s">
        <v>10348</v>
      </c>
    </row>
    <row r="392" spans="1:106" s="13" customFormat="1" ht="12.75" customHeight="1" x14ac:dyDescent="0.2">
      <c r="A392" s="13" t="s">
        <v>102</v>
      </c>
      <c r="B392" s="13" t="s">
        <v>103</v>
      </c>
      <c r="D392" s="13" t="s">
        <v>5212</v>
      </c>
      <c r="E392" s="13" t="s">
        <v>471</v>
      </c>
      <c r="F392" s="13" t="s">
        <v>5212</v>
      </c>
      <c r="G392" s="13" t="s">
        <v>229</v>
      </c>
      <c r="H392" s="13" t="s">
        <v>7712</v>
      </c>
      <c r="J392" s="13" t="s">
        <v>106</v>
      </c>
      <c r="W392" s="13">
        <v>487</v>
      </c>
      <c r="X392" s="13">
        <v>487</v>
      </c>
      <c r="Y392" s="13" t="s">
        <v>107</v>
      </c>
      <c r="Z392" s="13" t="s">
        <v>108</v>
      </c>
      <c r="AA392" s="13" t="s">
        <v>107</v>
      </c>
      <c r="AB392" s="13" t="s">
        <v>5415</v>
      </c>
      <c r="AC392" s="13" t="s">
        <v>5415</v>
      </c>
      <c r="AD392" s="13" t="s">
        <v>5415</v>
      </c>
      <c r="AE392" s="35" t="s">
        <v>112</v>
      </c>
      <c r="AF392" s="13" t="s">
        <v>5415</v>
      </c>
      <c r="AG392" s="13" t="s">
        <v>5415</v>
      </c>
      <c r="AH392" s="35" t="s">
        <v>5416</v>
      </c>
      <c r="AL392" s="13" t="s">
        <v>5417</v>
      </c>
      <c r="AN392" s="13">
        <v>329</v>
      </c>
      <c r="AO392" s="13" t="s">
        <v>5418</v>
      </c>
      <c r="AQ392" s="13" t="s">
        <v>5415</v>
      </c>
      <c r="AR392" s="13" t="s">
        <v>5415</v>
      </c>
      <c r="AS392" s="13" t="s">
        <v>116</v>
      </c>
      <c r="AT392" s="13" t="s">
        <v>5419</v>
      </c>
      <c r="AU392" s="13" t="s">
        <v>5369</v>
      </c>
      <c r="AV392" s="13" t="s">
        <v>1127</v>
      </c>
      <c r="AW392" s="26" t="s">
        <v>2447</v>
      </c>
      <c r="AX392" s="26" t="s">
        <v>2448</v>
      </c>
      <c r="AY392" s="13" t="s">
        <v>5419</v>
      </c>
      <c r="AZ392" s="13" t="s">
        <v>5420</v>
      </c>
      <c r="BA392" s="13" t="s">
        <v>5420</v>
      </c>
      <c r="BB392" s="13" t="s">
        <v>5421</v>
      </c>
      <c r="BC392" s="13" t="s">
        <v>5421</v>
      </c>
      <c r="BD392" s="13">
        <f t="shared" si="14"/>
        <v>49</v>
      </c>
      <c r="BE392" s="17" t="s">
        <v>2453</v>
      </c>
      <c r="BF392" s="17" t="s">
        <v>1133</v>
      </c>
      <c r="BG392" s="17" t="s">
        <v>5361</v>
      </c>
      <c r="BH392" s="17"/>
      <c r="BI392" s="17"/>
      <c r="BJ392" s="17" t="s">
        <v>2756</v>
      </c>
      <c r="BK392" s="17"/>
      <c r="BL392" s="17"/>
      <c r="BM392" s="17"/>
      <c r="BN392" s="17"/>
      <c r="BO392" s="17" t="s">
        <v>4364</v>
      </c>
      <c r="BP392" s="17"/>
      <c r="BQ392" s="17"/>
      <c r="BR392" s="17"/>
      <c r="BS392" s="17" t="s">
        <v>127</v>
      </c>
      <c r="BT392" s="17" t="s">
        <v>5363</v>
      </c>
      <c r="BU392" s="17" t="s">
        <v>129</v>
      </c>
      <c r="BV392" s="17"/>
      <c r="BW392" s="17"/>
      <c r="BX392" s="25" t="s">
        <v>5422</v>
      </c>
      <c r="DA392" s="13" t="s">
        <v>10348</v>
      </c>
      <c r="DB392" s="13" t="s">
        <v>10348</v>
      </c>
    </row>
    <row r="393" spans="1:106" s="13" customFormat="1" ht="12.75" customHeight="1" x14ac:dyDescent="0.2">
      <c r="A393" s="13" t="s">
        <v>102</v>
      </c>
      <c r="B393" s="13" t="s">
        <v>103</v>
      </c>
      <c r="D393" s="13" t="s">
        <v>5212</v>
      </c>
      <c r="E393" s="13" t="s">
        <v>471</v>
      </c>
      <c r="F393" s="13" t="s">
        <v>5212</v>
      </c>
      <c r="G393" s="13" t="s">
        <v>229</v>
      </c>
      <c r="H393" s="13" t="s">
        <v>7712</v>
      </c>
      <c r="J393" s="13" t="s">
        <v>106</v>
      </c>
      <c r="W393" s="13">
        <v>488</v>
      </c>
      <c r="X393" s="13">
        <v>488</v>
      </c>
      <c r="Y393" s="13" t="s">
        <v>107</v>
      </c>
      <c r="Z393" s="13" t="s">
        <v>108</v>
      </c>
      <c r="AA393" s="13" t="s">
        <v>107</v>
      </c>
      <c r="AB393" s="13" t="s">
        <v>5423</v>
      </c>
      <c r="AC393" s="13" t="s">
        <v>5423</v>
      </c>
      <c r="AD393" s="13">
        <v>497850</v>
      </c>
      <c r="AE393" s="35" t="s">
        <v>112</v>
      </c>
      <c r="AF393" s="13" t="s">
        <v>5423</v>
      </c>
      <c r="AG393" s="13" t="s">
        <v>5423</v>
      </c>
      <c r="AH393" s="35" t="s">
        <v>5424</v>
      </c>
      <c r="AL393" s="13" t="s">
        <v>5394</v>
      </c>
      <c r="AN393" s="13">
        <v>329</v>
      </c>
      <c r="AO393" s="13" t="s">
        <v>5425</v>
      </c>
      <c r="AQ393" s="13" t="s">
        <v>5423</v>
      </c>
      <c r="AR393" s="13" t="s">
        <v>5423</v>
      </c>
      <c r="AS393" s="13" t="s">
        <v>116</v>
      </c>
      <c r="AT393" s="13" t="s">
        <v>5396</v>
      </c>
      <c r="AU393" s="13" t="s">
        <v>5369</v>
      </c>
      <c r="AV393" s="13" t="s">
        <v>1127</v>
      </c>
      <c r="AW393" s="26" t="s">
        <v>2447</v>
      </c>
      <c r="AX393" s="26" t="s">
        <v>2448</v>
      </c>
      <c r="AY393" s="13" t="s">
        <v>5426</v>
      </c>
      <c r="AZ393" s="13" t="s">
        <v>5427</v>
      </c>
      <c r="BA393" s="13" t="s">
        <v>5427</v>
      </c>
      <c r="BB393" s="13" t="s">
        <v>5428</v>
      </c>
      <c r="BC393" s="13" t="s">
        <v>5428</v>
      </c>
      <c r="BD393" s="13">
        <f t="shared" si="14"/>
        <v>49</v>
      </c>
      <c r="BE393" s="17" t="s">
        <v>2453</v>
      </c>
      <c r="BF393" s="17" t="s">
        <v>1133</v>
      </c>
      <c r="BG393" s="17" t="s">
        <v>5361</v>
      </c>
      <c r="BH393" s="17"/>
      <c r="BI393" s="17"/>
      <c r="BJ393" s="17" t="s">
        <v>2644</v>
      </c>
      <c r="BK393" s="17"/>
      <c r="BL393" s="17"/>
      <c r="BM393" s="17"/>
      <c r="BN393" s="17"/>
      <c r="BO393" s="17" t="s">
        <v>4364</v>
      </c>
      <c r="BP393" s="17"/>
      <c r="BQ393" s="17"/>
      <c r="BR393" s="17"/>
      <c r="BS393" s="17" t="s">
        <v>127</v>
      </c>
      <c r="BT393" s="17" t="s">
        <v>5363</v>
      </c>
      <c r="BU393" s="17" t="s">
        <v>129</v>
      </c>
      <c r="BV393" s="17"/>
      <c r="BW393" s="17"/>
      <c r="BX393" s="25" t="s">
        <v>5429</v>
      </c>
      <c r="DA393" s="13" t="s">
        <v>10348</v>
      </c>
      <c r="DB393" s="13" t="s">
        <v>10348</v>
      </c>
    </row>
    <row r="394" spans="1:106" s="13" customFormat="1" ht="12.75" customHeight="1" x14ac:dyDescent="0.2">
      <c r="A394" s="13" t="s">
        <v>102</v>
      </c>
      <c r="B394" s="13" t="s">
        <v>103</v>
      </c>
      <c r="D394" s="13" t="s">
        <v>5212</v>
      </c>
      <c r="E394" s="13" t="s">
        <v>228</v>
      </c>
      <c r="F394" s="13" t="s">
        <v>5212</v>
      </c>
      <c r="G394" s="13" t="s">
        <v>229</v>
      </c>
      <c r="H394" s="13" t="s">
        <v>7712</v>
      </c>
      <c r="J394" s="13" t="s">
        <v>106</v>
      </c>
      <c r="W394" s="13">
        <v>489</v>
      </c>
      <c r="X394" s="13">
        <v>489</v>
      </c>
      <c r="Y394" s="13" t="s">
        <v>107</v>
      </c>
      <c r="Z394" s="13" t="s">
        <v>108</v>
      </c>
      <c r="AA394" s="13" t="s">
        <v>107</v>
      </c>
      <c r="AB394" s="13" t="s">
        <v>5430</v>
      </c>
      <c r="AC394" s="13" t="s">
        <v>5430</v>
      </c>
      <c r="AD394" s="13" t="s">
        <v>5430</v>
      </c>
      <c r="AE394" s="35" t="s">
        <v>112</v>
      </c>
      <c r="AF394" s="13" t="s">
        <v>5430</v>
      </c>
      <c r="AG394" s="13" t="s">
        <v>5430</v>
      </c>
      <c r="AH394" s="35" t="s">
        <v>5431</v>
      </c>
      <c r="AL394" s="13" t="s">
        <v>5432</v>
      </c>
      <c r="AN394" s="13">
        <v>329</v>
      </c>
      <c r="AO394" s="13" t="s">
        <v>5433</v>
      </c>
      <c r="AQ394" s="13" t="s">
        <v>5430</v>
      </c>
      <c r="AR394" s="13" t="s">
        <v>5430</v>
      </c>
      <c r="AS394" s="13" t="s">
        <v>116</v>
      </c>
      <c r="AT394" s="13" t="s">
        <v>5434</v>
      </c>
      <c r="AU394" s="13" t="s">
        <v>5369</v>
      </c>
      <c r="AV394" s="13" t="s">
        <v>1127</v>
      </c>
      <c r="AW394" s="26" t="s">
        <v>2447</v>
      </c>
      <c r="AX394" s="26" t="s">
        <v>2448</v>
      </c>
      <c r="AY394" s="13" t="s">
        <v>5435</v>
      </c>
      <c r="AZ394" s="13" t="s">
        <v>5436</v>
      </c>
      <c r="BA394" s="13" t="s">
        <v>5436</v>
      </c>
      <c r="BB394" s="13" t="s">
        <v>5437</v>
      </c>
      <c r="BC394" s="13" t="s">
        <v>5438</v>
      </c>
      <c r="BD394" s="13">
        <f t="shared" si="14"/>
        <v>56</v>
      </c>
      <c r="BE394" s="17" t="s">
        <v>2453</v>
      </c>
      <c r="BF394" s="17" t="s">
        <v>1133</v>
      </c>
      <c r="BG394" s="17" t="s">
        <v>5361</v>
      </c>
      <c r="BH394" s="17"/>
      <c r="BI394" s="17"/>
      <c r="BJ394" s="17" t="s">
        <v>2767</v>
      </c>
      <c r="BK394" s="17"/>
      <c r="BL394" s="17"/>
      <c r="BM394" s="17"/>
      <c r="BN394" s="17"/>
      <c r="BO394" s="17" t="s">
        <v>5362</v>
      </c>
      <c r="BP394" s="17"/>
      <c r="BQ394" s="17"/>
      <c r="BR394" s="17"/>
      <c r="BS394" s="17" t="s">
        <v>127</v>
      </c>
      <c r="BT394" s="17" t="s">
        <v>5363</v>
      </c>
      <c r="BU394" s="17" t="s">
        <v>129</v>
      </c>
      <c r="BV394" s="17"/>
      <c r="BW394" s="17"/>
      <c r="BX394" s="25" t="s">
        <v>5439</v>
      </c>
      <c r="DA394" s="13" t="s">
        <v>10348</v>
      </c>
      <c r="DB394" s="13" t="s">
        <v>10348</v>
      </c>
    </row>
    <row r="395" spans="1:106" s="13" customFormat="1" ht="12.75" customHeight="1" x14ac:dyDescent="0.2">
      <c r="A395" s="13" t="s">
        <v>102</v>
      </c>
      <c r="B395" s="13" t="s">
        <v>103</v>
      </c>
      <c r="D395" s="13" t="s">
        <v>5212</v>
      </c>
      <c r="E395" s="13" t="s">
        <v>228</v>
      </c>
      <c r="F395" s="13" t="s">
        <v>5212</v>
      </c>
      <c r="G395" s="13" t="s">
        <v>229</v>
      </c>
      <c r="H395" s="13" t="s">
        <v>7712</v>
      </c>
      <c r="J395" s="13" t="s">
        <v>106</v>
      </c>
      <c r="W395" s="13">
        <v>490</v>
      </c>
      <c r="X395" s="13">
        <v>490</v>
      </c>
      <c r="Y395" s="13" t="s">
        <v>107</v>
      </c>
      <c r="Z395" s="13" t="s">
        <v>108</v>
      </c>
      <c r="AA395" s="13" t="s">
        <v>107</v>
      </c>
      <c r="AB395" s="13" t="s">
        <v>5440</v>
      </c>
      <c r="AC395" s="13" t="s">
        <v>5440</v>
      </c>
      <c r="AD395" s="13">
        <v>497853</v>
      </c>
      <c r="AE395" s="35" t="s">
        <v>112</v>
      </c>
      <c r="AF395" s="13" t="s">
        <v>5440</v>
      </c>
      <c r="AG395" s="13" t="s">
        <v>5440</v>
      </c>
      <c r="AH395" s="35" t="s">
        <v>5441</v>
      </c>
      <c r="AL395" s="13" t="s">
        <v>5394</v>
      </c>
      <c r="AN395" s="13">
        <v>329</v>
      </c>
      <c r="AO395" s="13" t="s">
        <v>5442</v>
      </c>
      <c r="AQ395" s="13" t="s">
        <v>5440</v>
      </c>
      <c r="AR395" s="13" t="s">
        <v>5440</v>
      </c>
      <c r="AS395" s="13" t="s">
        <v>116</v>
      </c>
      <c r="AT395" s="13" t="s">
        <v>5396</v>
      </c>
      <c r="AU395" s="13" t="s">
        <v>5369</v>
      </c>
      <c r="AV395" s="13" t="s">
        <v>1127</v>
      </c>
      <c r="AW395" s="26" t="s">
        <v>2447</v>
      </c>
      <c r="AX395" s="26" t="s">
        <v>2448</v>
      </c>
      <c r="AY395" s="13" t="s">
        <v>5357</v>
      </c>
      <c r="AZ395" s="13" t="s">
        <v>5397</v>
      </c>
      <c r="BA395" s="13" t="s">
        <v>5443</v>
      </c>
      <c r="BB395" s="13" t="s">
        <v>5398</v>
      </c>
      <c r="BC395" s="13" t="s">
        <v>5444</v>
      </c>
      <c r="BD395" s="13">
        <f t="shared" si="14"/>
        <v>60</v>
      </c>
      <c r="BE395" s="17" t="s">
        <v>2453</v>
      </c>
      <c r="BF395" s="17" t="s">
        <v>1133</v>
      </c>
      <c r="BG395" s="17" t="s">
        <v>5361</v>
      </c>
      <c r="BH395" s="17"/>
      <c r="BI395" s="17"/>
      <c r="BJ395" s="17" t="s">
        <v>2644</v>
      </c>
      <c r="BK395" s="17"/>
      <c r="BL395" s="17"/>
      <c r="BM395" s="17"/>
      <c r="BN395" s="17"/>
      <c r="BO395" s="17" t="s">
        <v>5362</v>
      </c>
      <c r="BP395" s="17"/>
      <c r="BQ395" s="17"/>
      <c r="BR395" s="17"/>
      <c r="BS395" s="17" t="s">
        <v>127</v>
      </c>
      <c r="BT395" s="17" t="s">
        <v>5363</v>
      </c>
      <c r="BU395" s="17" t="s">
        <v>129</v>
      </c>
      <c r="BV395" s="17"/>
      <c r="BW395" s="17"/>
      <c r="BX395" s="25" t="s">
        <v>5445</v>
      </c>
      <c r="CA395" s="13" t="s">
        <v>5308</v>
      </c>
      <c r="DA395" s="13" t="s">
        <v>10348</v>
      </c>
      <c r="DB395" s="13" t="s">
        <v>10348</v>
      </c>
    </row>
    <row r="396" spans="1:106" s="13" customFormat="1" ht="12.75" customHeight="1" x14ac:dyDescent="0.2">
      <c r="A396" s="13" t="s">
        <v>102</v>
      </c>
      <c r="B396" s="13" t="s">
        <v>103</v>
      </c>
      <c r="D396" s="13" t="s">
        <v>5212</v>
      </c>
      <c r="E396" s="13" t="s">
        <v>228</v>
      </c>
      <c r="F396" s="13" t="s">
        <v>5212</v>
      </c>
      <c r="G396" s="13" t="s">
        <v>229</v>
      </c>
      <c r="H396" s="13" t="s">
        <v>7712</v>
      </c>
      <c r="J396" s="13" t="s">
        <v>106</v>
      </c>
      <c r="W396" s="13">
        <v>491</v>
      </c>
      <c r="X396" s="13">
        <v>491</v>
      </c>
      <c r="Y396" s="13" t="s">
        <v>107</v>
      </c>
      <c r="Z396" s="13" t="s">
        <v>108</v>
      </c>
      <c r="AA396" s="13" t="s">
        <v>107</v>
      </c>
      <c r="AB396" s="13" t="s">
        <v>5446</v>
      </c>
      <c r="AC396" s="13" t="s">
        <v>5446</v>
      </c>
      <c r="AD396" s="13" t="s">
        <v>5446</v>
      </c>
      <c r="AE396" s="35" t="s">
        <v>112</v>
      </c>
      <c r="AF396" s="13" t="s">
        <v>5446</v>
      </c>
      <c r="AG396" s="13" t="s">
        <v>5446</v>
      </c>
      <c r="AH396" s="35" t="s">
        <v>5447</v>
      </c>
      <c r="AL396" s="13" t="s">
        <v>5394</v>
      </c>
      <c r="AN396" s="13">
        <v>329</v>
      </c>
      <c r="AO396" s="13" t="s">
        <v>5448</v>
      </c>
      <c r="AQ396" s="13" t="s">
        <v>5446</v>
      </c>
      <c r="AR396" s="13" t="s">
        <v>5446</v>
      </c>
      <c r="AS396" s="13" t="s">
        <v>116</v>
      </c>
      <c r="AT396" s="13" t="s">
        <v>5396</v>
      </c>
      <c r="AU396" s="13" t="s">
        <v>5369</v>
      </c>
      <c r="AV396" s="13" t="s">
        <v>1127</v>
      </c>
      <c r="AW396" s="26" t="s">
        <v>2447</v>
      </c>
      <c r="AX396" s="26" t="s">
        <v>2448</v>
      </c>
      <c r="AY396" s="13" t="s">
        <v>5357</v>
      </c>
      <c r="AZ396" s="13" t="s">
        <v>5397</v>
      </c>
      <c r="BA396" s="13" t="s">
        <v>5449</v>
      </c>
      <c r="BB396" s="13" t="s">
        <v>5398</v>
      </c>
      <c r="BC396" s="13" t="s">
        <v>5450</v>
      </c>
      <c r="BD396" s="13">
        <f t="shared" si="14"/>
        <v>60</v>
      </c>
      <c r="BE396" s="17" t="s">
        <v>2453</v>
      </c>
      <c r="BF396" s="17" t="s">
        <v>1133</v>
      </c>
      <c r="BG396" s="17" t="s">
        <v>5361</v>
      </c>
      <c r="BH396" s="17"/>
      <c r="BI396" s="17"/>
      <c r="BJ396" s="17" t="s">
        <v>2644</v>
      </c>
      <c r="BK396" s="17"/>
      <c r="BL396" s="17"/>
      <c r="BM396" s="17"/>
      <c r="BN396" s="17"/>
      <c r="BO396" s="17" t="s">
        <v>5362</v>
      </c>
      <c r="BP396" s="17"/>
      <c r="BQ396" s="17"/>
      <c r="BR396" s="17"/>
      <c r="BS396" s="17" t="s">
        <v>127</v>
      </c>
      <c r="BT396" s="17" t="s">
        <v>5363</v>
      </c>
      <c r="BU396" s="17" t="s">
        <v>129</v>
      </c>
      <c r="BV396" s="17"/>
      <c r="BW396" s="17"/>
      <c r="BX396" s="25" t="s">
        <v>5451</v>
      </c>
      <c r="CA396" s="13" t="s">
        <v>5308</v>
      </c>
      <c r="DA396" s="13" t="s">
        <v>10348</v>
      </c>
      <c r="DB396" s="13" t="s">
        <v>10348</v>
      </c>
    </row>
    <row r="397" spans="1:106" s="13" customFormat="1" ht="12.75" customHeight="1" x14ac:dyDescent="0.2">
      <c r="A397" s="13" t="s">
        <v>102</v>
      </c>
      <c r="B397" s="13" t="s">
        <v>103</v>
      </c>
      <c r="D397" s="13" t="s">
        <v>5212</v>
      </c>
      <c r="E397" s="13" t="s">
        <v>228</v>
      </c>
      <c r="F397" s="13" t="s">
        <v>5212</v>
      </c>
      <c r="G397" s="13" t="s">
        <v>229</v>
      </c>
      <c r="H397" s="13" t="s">
        <v>7712</v>
      </c>
      <c r="J397" s="13" t="s">
        <v>106</v>
      </c>
      <c r="W397" s="13">
        <v>492</v>
      </c>
      <c r="X397" s="13">
        <v>492</v>
      </c>
      <c r="Y397" s="13" t="s">
        <v>107</v>
      </c>
      <c r="Z397" s="13" t="s">
        <v>108</v>
      </c>
      <c r="AA397" s="13" t="s">
        <v>107</v>
      </c>
      <c r="AB397" s="13" t="s">
        <v>5452</v>
      </c>
      <c r="AC397" s="13" t="s">
        <v>5452</v>
      </c>
      <c r="AD397" s="13" t="s">
        <v>5452</v>
      </c>
      <c r="AE397" s="13" t="s">
        <v>112</v>
      </c>
      <c r="AF397" s="13" t="s">
        <v>5452</v>
      </c>
      <c r="AG397" s="13" t="s">
        <v>5452</v>
      </c>
      <c r="AH397" s="13" t="s">
        <v>5453</v>
      </c>
      <c r="AL397" s="13" t="s">
        <v>5353</v>
      </c>
      <c r="AN397" s="13">
        <v>329</v>
      </c>
      <c r="AO397" s="13" t="s">
        <v>5454</v>
      </c>
      <c r="AQ397" s="13" t="s">
        <v>5452</v>
      </c>
      <c r="AR397" s="13" t="s">
        <v>5452</v>
      </c>
      <c r="AS397" s="13" t="s">
        <v>116</v>
      </c>
      <c r="AT397" s="13" t="s">
        <v>5368</v>
      </c>
      <c r="AU397" s="13" t="s">
        <v>5369</v>
      </c>
      <c r="AV397" s="13" t="s">
        <v>1127</v>
      </c>
      <c r="AW397" s="13" t="s">
        <v>2447</v>
      </c>
      <c r="AX397" s="13" t="s">
        <v>2448</v>
      </c>
      <c r="AY397" s="13" t="s">
        <v>5455</v>
      </c>
      <c r="AZ397" s="13" t="s">
        <v>5456</v>
      </c>
      <c r="BA397" s="13" t="s">
        <v>5456</v>
      </c>
      <c r="BB397" s="13" t="s">
        <v>5457</v>
      </c>
      <c r="BC397" s="13" t="s">
        <v>5458</v>
      </c>
      <c r="BD397" s="13">
        <f t="shared" si="14"/>
        <v>54</v>
      </c>
      <c r="BE397" s="17" t="s">
        <v>2453</v>
      </c>
      <c r="BF397" s="17" t="s">
        <v>1133</v>
      </c>
      <c r="BG397" s="17" t="s">
        <v>5361</v>
      </c>
      <c r="BH397" s="17"/>
      <c r="BI397" s="17"/>
      <c r="BJ397" s="17" t="s">
        <v>2455</v>
      </c>
      <c r="BK397" s="17"/>
      <c r="BL397" s="17"/>
      <c r="BM397" s="17"/>
      <c r="BN397" s="17"/>
      <c r="BO397" s="17" t="s">
        <v>5459</v>
      </c>
      <c r="BP397" s="17"/>
      <c r="BQ397" s="17"/>
      <c r="BR397" s="17"/>
      <c r="BS397" s="17" t="s">
        <v>127</v>
      </c>
      <c r="BT397" s="17" t="s">
        <v>5363</v>
      </c>
      <c r="BU397" s="17" t="s">
        <v>129</v>
      </c>
      <c r="BV397" s="17"/>
      <c r="BW397" s="17"/>
      <c r="BX397" s="25" t="s">
        <v>5460</v>
      </c>
      <c r="DA397" s="13" t="s">
        <v>10348</v>
      </c>
      <c r="DB397" s="13" t="s">
        <v>10348</v>
      </c>
    </row>
    <row r="398" spans="1:106" s="13" customFormat="1" ht="12.75" customHeight="1" x14ac:dyDescent="0.2">
      <c r="A398" s="13" t="s">
        <v>102</v>
      </c>
      <c r="B398" s="13" t="s">
        <v>103</v>
      </c>
      <c r="D398" s="13" t="s">
        <v>5212</v>
      </c>
      <c r="E398" s="13" t="s">
        <v>228</v>
      </c>
      <c r="F398" s="13" t="s">
        <v>5212</v>
      </c>
      <c r="G398" s="13" t="s">
        <v>229</v>
      </c>
      <c r="H398" s="13" t="s">
        <v>7712</v>
      </c>
      <c r="J398" s="13" t="s">
        <v>106</v>
      </c>
      <c r="W398" s="13">
        <v>493</v>
      </c>
      <c r="X398" s="13">
        <v>493</v>
      </c>
      <c r="Y398" s="13" t="s">
        <v>107</v>
      </c>
      <c r="Z398" s="13" t="s">
        <v>108</v>
      </c>
      <c r="AA398" s="13" t="s">
        <v>107</v>
      </c>
      <c r="AB398" s="13" t="s">
        <v>5461</v>
      </c>
      <c r="AC398" s="13" t="s">
        <v>5461</v>
      </c>
      <c r="AD398" s="13" t="s">
        <v>5461</v>
      </c>
      <c r="AE398" s="13" t="s">
        <v>112</v>
      </c>
      <c r="AF398" s="13" t="s">
        <v>5461</v>
      </c>
      <c r="AG398" s="13" t="s">
        <v>5461</v>
      </c>
      <c r="AH398" s="13" t="s">
        <v>5462</v>
      </c>
      <c r="AL398" s="13" t="s">
        <v>5417</v>
      </c>
      <c r="AN398" s="13">
        <v>329</v>
      </c>
      <c r="AO398" s="13" t="s">
        <v>5463</v>
      </c>
      <c r="AQ398" s="13" t="s">
        <v>5461</v>
      </c>
      <c r="AR398" s="13" t="s">
        <v>5461</v>
      </c>
      <c r="AS398" s="13" t="s">
        <v>116</v>
      </c>
      <c r="AT398" s="13" t="s">
        <v>5464</v>
      </c>
      <c r="AU398" s="13" t="s">
        <v>5369</v>
      </c>
      <c r="AV398" s="13" t="s">
        <v>1127</v>
      </c>
      <c r="AW398" s="13" t="s">
        <v>2447</v>
      </c>
      <c r="AX398" s="13" t="s">
        <v>2448</v>
      </c>
      <c r="AY398" s="13" t="s">
        <v>5455</v>
      </c>
      <c r="AZ398" s="13" t="s">
        <v>5465</v>
      </c>
      <c r="BA398" s="13" t="s">
        <v>5465</v>
      </c>
      <c r="BB398" s="13" t="s">
        <v>5466</v>
      </c>
      <c r="BC398" s="13" t="s">
        <v>5467</v>
      </c>
      <c r="BD398" s="13">
        <f t="shared" si="14"/>
        <v>54</v>
      </c>
      <c r="BE398" s="17" t="s">
        <v>2453</v>
      </c>
      <c r="BF398" s="17" t="s">
        <v>1133</v>
      </c>
      <c r="BG398" s="17" t="s">
        <v>5361</v>
      </c>
      <c r="BH398" s="17"/>
      <c r="BI398" s="17"/>
      <c r="BJ398" s="17" t="s">
        <v>2756</v>
      </c>
      <c r="BK398" s="17"/>
      <c r="BL398" s="17"/>
      <c r="BM398" s="17"/>
      <c r="BN398" s="17"/>
      <c r="BO398" s="17" t="s">
        <v>5459</v>
      </c>
      <c r="BP398" s="17"/>
      <c r="BQ398" s="17"/>
      <c r="BR398" s="17"/>
      <c r="BS398" s="17" t="s">
        <v>127</v>
      </c>
      <c r="BT398" s="17" t="s">
        <v>5363</v>
      </c>
      <c r="BU398" s="17" t="s">
        <v>129</v>
      </c>
      <c r="BV398" s="17"/>
      <c r="BW398" s="17"/>
      <c r="BX398" s="25" t="s">
        <v>5468</v>
      </c>
      <c r="DA398" s="13" t="s">
        <v>10348</v>
      </c>
      <c r="DB398" s="13" t="s">
        <v>10348</v>
      </c>
    </row>
    <row r="399" spans="1:106" s="13" customFormat="1" ht="12.75" customHeight="1" x14ac:dyDescent="0.2">
      <c r="A399" s="13" t="s">
        <v>102</v>
      </c>
      <c r="B399" s="13" t="s">
        <v>103</v>
      </c>
      <c r="D399" s="13" t="s">
        <v>5212</v>
      </c>
      <c r="E399" s="13" t="s">
        <v>228</v>
      </c>
      <c r="F399" s="13" t="s">
        <v>5212</v>
      </c>
      <c r="G399" s="13" t="s">
        <v>229</v>
      </c>
      <c r="H399" s="13" t="s">
        <v>7712</v>
      </c>
      <c r="J399" s="13" t="s">
        <v>106</v>
      </c>
      <c r="W399" s="13">
        <v>494</v>
      </c>
      <c r="X399" s="13">
        <v>494</v>
      </c>
      <c r="Y399" s="13" t="s">
        <v>107</v>
      </c>
      <c r="Z399" s="13" t="s">
        <v>108</v>
      </c>
      <c r="AA399" s="13" t="s">
        <v>107</v>
      </c>
      <c r="AB399" s="13" t="s">
        <v>5469</v>
      </c>
      <c r="AC399" s="13" t="s">
        <v>5469</v>
      </c>
      <c r="AD399" s="13" t="s">
        <v>5469</v>
      </c>
      <c r="AE399" s="13" t="s">
        <v>112</v>
      </c>
      <c r="AF399" s="13" t="s">
        <v>5469</v>
      </c>
      <c r="AG399" s="13" t="s">
        <v>5469</v>
      </c>
      <c r="AH399" s="13" t="s">
        <v>5470</v>
      </c>
      <c r="AL399" s="13" t="s">
        <v>5417</v>
      </c>
      <c r="AN399" s="13">
        <v>329</v>
      </c>
      <c r="AO399" s="13" t="s">
        <v>5471</v>
      </c>
      <c r="AQ399" s="13" t="s">
        <v>5469</v>
      </c>
      <c r="AR399" s="13" t="s">
        <v>5469</v>
      </c>
      <c r="AS399" s="13" t="s">
        <v>116</v>
      </c>
      <c r="AT399" s="13" t="s">
        <v>5464</v>
      </c>
      <c r="AU399" s="13" t="s">
        <v>5369</v>
      </c>
      <c r="AV399" s="13" t="s">
        <v>1127</v>
      </c>
      <c r="AW399" s="13" t="s">
        <v>2447</v>
      </c>
      <c r="AX399" s="13" t="s">
        <v>2448</v>
      </c>
      <c r="AY399" s="13" t="s">
        <v>5357</v>
      </c>
      <c r="AZ399" s="13" t="s">
        <v>5472</v>
      </c>
      <c r="BA399" s="13" t="s">
        <v>5472</v>
      </c>
      <c r="BB399" s="13" t="s">
        <v>5473</v>
      </c>
      <c r="BC399" s="13" t="s">
        <v>5474</v>
      </c>
      <c r="BD399" s="13">
        <f t="shared" si="14"/>
        <v>56</v>
      </c>
      <c r="BE399" s="17" t="s">
        <v>2453</v>
      </c>
      <c r="BF399" s="17" t="s">
        <v>1133</v>
      </c>
      <c r="BG399" s="17" t="s">
        <v>5361</v>
      </c>
      <c r="BH399" s="17"/>
      <c r="BI399" s="17"/>
      <c r="BJ399" s="17" t="s">
        <v>2756</v>
      </c>
      <c r="BK399" s="17"/>
      <c r="BL399" s="17"/>
      <c r="BM399" s="17"/>
      <c r="BN399" s="17"/>
      <c r="BO399" s="17" t="s">
        <v>5362</v>
      </c>
      <c r="BP399" s="17"/>
      <c r="BQ399" s="17"/>
      <c r="BR399" s="17"/>
      <c r="BS399" s="17" t="s">
        <v>127</v>
      </c>
      <c r="BT399" s="17" t="s">
        <v>5363</v>
      </c>
      <c r="BU399" s="17" t="s">
        <v>129</v>
      </c>
      <c r="BV399" s="17"/>
      <c r="BW399" s="17"/>
      <c r="BX399" s="25" t="s">
        <v>5475</v>
      </c>
      <c r="DA399" s="13" t="s">
        <v>10348</v>
      </c>
      <c r="DB399" s="13" t="s">
        <v>10348</v>
      </c>
    </row>
    <row r="400" spans="1:106" s="13" customFormat="1" ht="12.75" customHeight="1" x14ac:dyDescent="0.2">
      <c r="A400" s="13" t="s">
        <v>102</v>
      </c>
      <c r="B400" s="13" t="s">
        <v>103</v>
      </c>
      <c r="D400" s="13" t="s">
        <v>5212</v>
      </c>
      <c r="E400" s="13" t="s">
        <v>228</v>
      </c>
      <c r="F400" s="13" t="s">
        <v>5212</v>
      </c>
      <c r="G400" s="13" t="s">
        <v>229</v>
      </c>
      <c r="H400" s="13" t="s">
        <v>7712</v>
      </c>
      <c r="J400" s="13" t="s">
        <v>106</v>
      </c>
      <c r="W400" s="13">
        <v>495</v>
      </c>
      <c r="X400" s="13">
        <v>495</v>
      </c>
      <c r="Y400" s="13" t="s">
        <v>107</v>
      </c>
      <c r="Z400" s="13" t="s">
        <v>108</v>
      </c>
      <c r="AA400" s="13" t="s">
        <v>107</v>
      </c>
      <c r="AB400" s="13" t="s">
        <v>5476</v>
      </c>
      <c r="AC400" s="13" t="s">
        <v>5476</v>
      </c>
      <c r="AD400" s="13">
        <v>497862</v>
      </c>
      <c r="AE400" s="13" t="s">
        <v>112</v>
      </c>
      <c r="AF400" s="13" t="s">
        <v>5476</v>
      </c>
      <c r="AG400" s="13" t="s">
        <v>5476</v>
      </c>
      <c r="AH400" s="13" t="s">
        <v>5477</v>
      </c>
      <c r="AL400" s="13" t="s">
        <v>5432</v>
      </c>
      <c r="AN400" s="13">
        <v>329</v>
      </c>
      <c r="AO400" s="13" t="s">
        <v>5478</v>
      </c>
      <c r="AQ400" s="13" t="s">
        <v>5476</v>
      </c>
      <c r="AR400" s="13" t="s">
        <v>5476</v>
      </c>
      <c r="AS400" s="13" t="s">
        <v>116</v>
      </c>
      <c r="AT400" s="13" t="s">
        <v>5434</v>
      </c>
      <c r="AU400" s="13" t="s">
        <v>5369</v>
      </c>
      <c r="AV400" s="13" t="s">
        <v>1127</v>
      </c>
      <c r="AW400" s="13" t="s">
        <v>2447</v>
      </c>
      <c r="AX400" s="13" t="s">
        <v>2448</v>
      </c>
      <c r="AY400" s="13" t="s">
        <v>5357</v>
      </c>
      <c r="AZ400" s="13" t="s">
        <v>5436</v>
      </c>
      <c r="BA400" s="13" t="s">
        <v>5479</v>
      </c>
      <c r="BB400" s="13" t="s">
        <v>5437</v>
      </c>
      <c r="BC400" s="13" t="s">
        <v>5480</v>
      </c>
      <c r="BD400" s="13">
        <f t="shared" si="14"/>
        <v>60</v>
      </c>
      <c r="BE400" s="17" t="s">
        <v>2453</v>
      </c>
      <c r="BF400" s="17" t="s">
        <v>1133</v>
      </c>
      <c r="BG400" s="17" t="s">
        <v>5361</v>
      </c>
      <c r="BH400" s="17"/>
      <c r="BI400" s="17"/>
      <c r="BJ400" s="17" t="s">
        <v>2767</v>
      </c>
      <c r="BK400" s="17"/>
      <c r="BL400" s="17"/>
      <c r="BM400" s="17"/>
      <c r="BN400" s="17"/>
      <c r="BO400" s="17" t="s">
        <v>5362</v>
      </c>
      <c r="BP400" s="17"/>
      <c r="BQ400" s="17"/>
      <c r="BR400" s="17"/>
      <c r="BS400" s="17" t="s">
        <v>127</v>
      </c>
      <c r="BT400" s="17" t="s">
        <v>5363</v>
      </c>
      <c r="BU400" s="17" t="s">
        <v>129</v>
      </c>
      <c r="BV400" s="17"/>
      <c r="BW400" s="17"/>
      <c r="BX400" s="25" t="s">
        <v>5481</v>
      </c>
      <c r="CA400" s="13" t="s">
        <v>5308</v>
      </c>
      <c r="DA400" s="13" t="s">
        <v>10348</v>
      </c>
      <c r="DB400" s="13" t="s">
        <v>10348</v>
      </c>
    </row>
    <row r="401" spans="1:106" s="13" customFormat="1" ht="12.75" customHeight="1" x14ac:dyDescent="0.2">
      <c r="A401" s="13" t="s">
        <v>102</v>
      </c>
      <c r="B401" s="13" t="s">
        <v>103</v>
      </c>
      <c r="D401" s="13" t="s">
        <v>5212</v>
      </c>
      <c r="E401" s="13" t="s">
        <v>228</v>
      </c>
      <c r="F401" s="13" t="s">
        <v>5212</v>
      </c>
      <c r="G401" s="13" t="s">
        <v>229</v>
      </c>
      <c r="H401" s="13" t="s">
        <v>7712</v>
      </c>
      <c r="J401" s="13" t="s">
        <v>106</v>
      </c>
      <c r="W401" s="13">
        <v>496</v>
      </c>
      <c r="X401" s="13">
        <v>496</v>
      </c>
      <c r="Y401" s="13" t="s">
        <v>107</v>
      </c>
      <c r="Z401" s="13" t="s">
        <v>108</v>
      </c>
      <c r="AA401" s="13" t="s">
        <v>107</v>
      </c>
      <c r="AB401" s="13" t="s">
        <v>5482</v>
      </c>
      <c r="AC401" s="13" t="s">
        <v>5482</v>
      </c>
      <c r="AD401" s="13" t="s">
        <v>5482</v>
      </c>
      <c r="AE401" s="13" t="s">
        <v>112</v>
      </c>
      <c r="AF401" s="13" t="s">
        <v>5482</v>
      </c>
      <c r="AG401" s="13" t="s">
        <v>5482</v>
      </c>
      <c r="AH401" s="13" t="s">
        <v>5483</v>
      </c>
      <c r="AL401" s="13" t="s">
        <v>5417</v>
      </c>
      <c r="AN401" s="13">
        <v>329</v>
      </c>
      <c r="AO401" s="13" t="s">
        <v>5484</v>
      </c>
      <c r="AQ401" s="13" t="s">
        <v>5482</v>
      </c>
      <c r="AR401" s="13" t="s">
        <v>5482</v>
      </c>
      <c r="AS401" s="13" t="s">
        <v>116</v>
      </c>
      <c r="AT401" s="13" t="s">
        <v>5464</v>
      </c>
      <c r="AU401" s="13" t="s">
        <v>5369</v>
      </c>
      <c r="AV401" s="13" t="s">
        <v>1127</v>
      </c>
      <c r="AW401" s="13" t="s">
        <v>2447</v>
      </c>
      <c r="AX401" s="13" t="s">
        <v>2448</v>
      </c>
      <c r="AY401" s="13" t="s">
        <v>5357</v>
      </c>
      <c r="AZ401" s="13" t="s">
        <v>5472</v>
      </c>
      <c r="BA401" s="13" t="s">
        <v>5485</v>
      </c>
      <c r="BB401" s="13" t="s">
        <v>5473</v>
      </c>
      <c r="BC401" s="13" t="s">
        <v>5486</v>
      </c>
      <c r="BD401" s="13">
        <f t="shared" si="14"/>
        <v>60</v>
      </c>
      <c r="BE401" s="17" t="s">
        <v>2453</v>
      </c>
      <c r="BF401" s="17" t="s">
        <v>1133</v>
      </c>
      <c r="BG401" s="17" t="s">
        <v>5361</v>
      </c>
      <c r="BH401" s="17"/>
      <c r="BI401" s="17"/>
      <c r="BJ401" s="17" t="s">
        <v>2756</v>
      </c>
      <c r="BK401" s="17"/>
      <c r="BL401" s="17"/>
      <c r="BM401" s="17"/>
      <c r="BN401" s="17"/>
      <c r="BO401" s="17" t="s">
        <v>5362</v>
      </c>
      <c r="BP401" s="17"/>
      <c r="BQ401" s="17"/>
      <c r="BR401" s="17"/>
      <c r="BS401" s="17" t="s">
        <v>127</v>
      </c>
      <c r="BT401" s="17" t="s">
        <v>5363</v>
      </c>
      <c r="BU401" s="17" t="s">
        <v>129</v>
      </c>
      <c r="BV401" s="17"/>
      <c r="BW401" s="17"/>
      <c r="BX401" s="25" t="s">
        <v>5487</v>
      </c>
      <c r="CA401" s="13" t="s">
        <v>5308</v>
      </c>
      <c r="DA401" s="13" t="s">
        <v>10348</v>
      </c>
      <c r="DB401" s="13" t="s">
        <v>10348</v>
      </c>
    </row>
    <row r="402" spans="1:106" s="13" customFormat="1" ht="12.75" customHeight="1" x14ac:dyDescent="0.2">
      <c r="A402" s="13" t="s">
        <v>102</v>
      </c>
      <c r="B402" s="13" t="s">
        <v>103</v>
      </c>
      <c r="D402" s="13" t="s">
        <v>5212</v>
      </c>
      <c r="E402" s="13" t="s">
        <v>228</v>
      </c>
      <c r="F402" s="13" t="s">
        <v>5212</v>
      </c>
      <c r="G402" s="13" t="s">
        <v>229</v>
      </c>
      <c r="H402" s="13" t="s">
        <v>7712</v>
      </c>
      <c r="J402" s="13" t="s">
        <v>106</v>
      </c>
      <c r="W402" s="13">
        <v>497</v>
      </c>
      <c r="X402" s="13">
        <v>497</v>
      </c>
      <c r="Y402" s="13" t="s">
        <v>107</v>
      </c>
      <c r="Z402" s="13" t="s">
        <v>108</v>
      </c>
      <c r="AA402" s="13" t="s">
        <v>107</v>
      </c>
      <c r="AB402" s="13" t="s">
        <v>5488</v>
      </c>
      <c r="AC402" s="13" t="s">
        <v>5488</v>
      </c>
      <c r="AD402" s="13">
        <v>497864</v>
      </c>
      <c r="AE402" s="13" t="s">
        <v>112</v>
      </c>
      <c r="AF402" s="13" t="s">
        <v>5488</v>
      </c>
      <c r="AG402" s="13" t="s">
        <v>5488</v>
      </c>
      <c r="AH402" s="13" t="s">
        <v>5489</v>
      </c>
      <c r="AL402" s="13" t="s">
        <v>5394</v>
      </c>
      <c r="AN402" s="13">
        <v>329</v>
      </c>
      <c r="AO402" s="13" t="s">
        <v>5490</v>
      </c>
      <c r="AQ402" s="13" t="s">
        <v>5488</v>
      </c>
      <c r="AR402" s="13" t="s">
        <v>5488</v>
      </c>
      <c r="AS402" s="13" t="s">
        <v>116</v>
      </c>
      <c r="AT402" s="13" t="s">
        <v>5411</v>
      </c>
      <c r="AU402" s="13" t="s">
        <v>5369</v>
      </c>
      <c r="AV402" s="13" t="s">
        <v>1127</v>
      </c>
      <c r="AW402" s="13" t="s">
        <v>2447</v>
      </c>
      <c r="AX402" s="13" t="s">
        <v>2448</v>
      </c>
      <c r="AY402" s="13" t="s">
        <v>5370</v>
      </c>
      <c r="AZ402" s="13" t="s">
        <v>5404</v>
      </c>
      <c r="BA402" s="13" t="s">
        <v>5491</v>
      </c>
      <c r="BB402" s="13" t="s">
        <v>5405</v>
      </c>
      <c r="BC402" s="13" t="s">
        <v>5492</v>
      </c>
      <c r="BD402" s="13">
        <f t="shared" si="14"/>
        <v>56</v>
      </c>
      <c r="BE402" s="17" t="s">
        <v>2453</v>
      </c>
      <c r="BF402" s="17" t="s">
        <v>1133</v>
      </c>
      <c r="BG402" s="17" t="s">
        <v>5361</v>
      </c>
      <c r="BH402" s="17"/>
      <c r="BI402" s="17"/>
      <c r="BJ402" s="17" t="s">
        <v>2644</v>
      </c>
      <c r="BK402" s="17"/>
      <c r="BL402" s="17"/>
      <c r="BM402" s="17"/>
      <c r="BN402" s="17"/>
      <c r="BO402" s="17" t="s">
        <v>5374</v>
      </c>
      <c r="BP402" s="17"/>
      <c r="BQ402" s="17"/>
      <c r="BR402" s="17"/>
      <c r="BS402" s="17" t="s">
        <v>127</v>
      </c>
      <c r="BT402" s="17" t="s">
        <v>5363</v>
      </c>
      <c r="BU402" s="17" t="s">
        <v>129</v>
      </c>
      <c r="BV402" s="17"/>
      <c r="BW402" s="17"/>
      <c r="BX402" s="25" t="s">
        <v>5493</v>
      </c>
      <c r="CA402" s="13" t="s">
        <v>5308</v>
      </c>
      <c r="DA402" s="13" t="s">
        <v>10348</v>
      </c>
      <c r="DB402" s="13" t="s">
        <v>10348</v>
      </c>
    </row>
    <row r="403" spans="1:106" s="13" customFormat="1" ht="12.75" customHeight="1" x14ac:dyDescent="0.2">
      <c r="A403" s="13" t="s">
        <v>102</v>
      </c>
      <c r="B403" s="13" t="s">
        <v>103</v>
      </c>
      <c r="D403" s="13" t="s">
        <v>5212</v>
      </c>
      <c r="E403" s="13" t="s">
        <v>228</v>
      </c>
      <c r="F403" s="13" t="s">
        <v>5212</v>
      </c>
      <c r="G403" s="13" t="s">
        <v>229</v>
      </c>
      <c r="H403" s="13" t="s">
        <v>7712</v>
      </c>
      <c r="J403" s="13" t="s">
        <v>106</v>
      </c>
      <c r="W403" s="13">
        <v>498</v>
      </c>
      <c r="X403" s="13">
        <v>498</v>
      </c>
      <c r="Y403" s="13" t="s">
        <v>107</v>
      </c>
      <c r="Z403" s="13" t="s">
        <v>108</v>
      </c>
      <c r="AA403" s="13" t="s">
        <v>107</v>
      </c>
      <c r="AB403" s="13" t="s">
        <v>5494</v>
      </c>
      <c r="AC403" s="13" t="s">
        <v>5494</v>
      </c>
      <c r="AD403" s="13">
        <v>497865</v>
      </c>
      <c r="AE403" s="13" t="s">
        <v>112</v>
      </c>
      <c r="AF403" s="13" t="s">
        <v>5494</v>
      </c>
      <c r="AG403" s="13" t="s">
        <v>5494</v>
      </c>
      <c r="AH403" s="13" t="s">
        <v>5495</v>
      </c>
      <c r="AL403" s="13" t="s">
        <v>5378</v>
      </c>
      <c r="AN403" s="13">
        <v>329</v>
      </c>
      <c r="AO403" s="13" t="s">
        <v>5496</v>
      </c>
      <c r="AQ403" s="13" t="s">
        <v>5494</v>
      </c>
      <c r="AR403" s="13" t="s">
        <v>5494</v>
      </c>
      <c r="AS403" s="13" t="s">
        <v>116</v>
      </c>
      <c r="AT403" s="13" t="s">
        <v>5380</v>
      </c>
      <c r="AU403" s="13" t="s">
        <v>5369</v>
      </c>
      <c r="AV403" s="13" t="s">
        <v>1127</v>
      </c>
      <c r="AW403" s="13" t="s">
        <v>2447</v>
      </c>
      <c r="AX403" s="13" t="s">
        <v>2448</v>
      </c>
      <c r="AY403" s="13" t="s">
        <v>5370</v>
      </c>
      <c r="AZ403" s="13" t="s">
        <v>5388</v>
      </c>
      <c r="BA403" s="13" t="s">
        <v>5497</v>
      </c>
      <c r="BB403" s="13" t="s">
        <v>5389</v>
      </c>
      <c r="BC403" s="13" t="s">
        <v>5498</v>
      </c>
      <c r="BD403" s="13">
        <f t="shared" si="14"/>
        <v>56</v>
      </c>
      <c r="BE403" s="17" t="s">
        <v>2453</v>
      </c>
      <c r="BF403" s="17" t="s">
        <v>1133</v>
      </c>
      <c r="BG403" s="17" t="s">
        <v>5361</v>
      </c>
      <c r="BH403" s="17"/>
      <c r="BI403" s="17"/>
      <c r="BJ403" s="17" t="s">
        <v>2517</v>
      </c>
      <c r="BK403" s="17"/>
      <c r="BL403" s="17"/>
      <c r="BM403" s="17"/>
      <c r="BN403" s="17"/>
      <c r="BO403" s="17" t="s">
        <v>5374</v>
      </c>
      <c r="BP403" s="17"/>
      <c r="BQ403" s="17"/>
      <c r="BR403" s="17"/>
      <c r="BS403" s="17" t="s">
        <v>127</v>
      </c>
      <c r="BT403" s="17" t="s">
        <v>5363</v>
      </c>
      <c r="BU403" s="17" t="s">
        <v>129</v>
      </c>
      <c r="BV403" s="17"/>
      <c r="BW403" s="17"/>
      <c r="BX403" s="25" t="s">
        <v>5499</v>
      </c>
      <c r="CA403" s="13" t="s">
        <v>5308</v>
      </c>
      <c r="DA403" s="13" t="s">
        <v>10348</v>
      </c>
      <c r="DB403" s="13" t="s">
        <v>10348</v>
      </c>
    </row>
    <row r="404" spans="1:106" s="13" customFormat="1" ht="12.75" customHeight="1" x14ac:dyDescent="0.2">
      <c r="A404" s="13" t="s">
        <v>102</v>
      </c>
      <c r="B404" s="13" t="s">
        <v>103</v>
      </c>
      <c r="D404" s="13" t="s">
        <v>5212</v>
      </c>
      <c r="E404" s="13" t="s">
        <v>471</v>
      </c>
      <c r="F404" s="13" t="s">
        <v>5212</v>
      </c>
      <c r="G404" s="13" t="s">
        <v>229</v>
      </c>
      <c r="H404" s="13" t="s">
        <v>7712</v>
      </c>
      <c r="J404" s="13" t="s">
        <v>106</v>
      </c>
      <c r="W404" s="13">
        <v>499</v>
      </c>
      <c r="X404" s="13">
        <v>499</v>
      </c>
      <c r="Y404" s="13" t="s">
        <v>107</v>
      </c>
      <c r="Z404" s="13" t="s">
        <v>108</v>
      </c>
      <c r="AA404" s="13" t="s">
        <v>107</v>
      </c>
      <c r="AB404" s="13" t="s">
        <v>5500</v>
      </c>
      <c r="AC404" s="13" t="s">
        <v>5500</v>
      </c>
      <c r="AD404" s="13">
        <v>497866</v>
      </c>
      <c r="AE404" s="13" t="s">
        <v>112</v>
      </c>
      <c r="AF404" s="13" t="s">
        <v>5500</v>
      </c>
      <c r="AG404" s="13" t="s">
        <v>5500</v>
      </c>
      <c r="AH404" s="13" t="s">
        <v>5501</v>
      </c>
      <c r="AL404" s="13" t="s">
        <v>5394</v>
      </c>
      <c r="AN404" s="13">
        <v>329</v>
      </c>
      <c r="AO404" s="13" t="s">
        <v>5502</v>
      </c>
      <c r="AQ404" s="13" t="s">
        <v>5500</v>
      </c>
      <c r="AR404" s="13" t="s">
        <v>5500</v>
      </c>
      <c r="AS404" s="13" t="s">
        <v>116</v>
      </c>
      <c r="AT404" s="13" t="s">
        <v>5396</v>
      </c>
      <c r="AU404" s="13" t="s">
        <v>5369</v>
      </c>
      <c r="AV404" s="13" t="s">
        <v>1127</v>
      </c>
      <c r="AW404" s="13" t="s">
        <v>2447</v>
      </c>
      <c r="AX404" s="13" t="s">
        <v>2448</v>
      </c>
      <c r="AY404" s="13" t="s">
        <v>5426</v>
      </c>
      <c r="AZ404" s="13" t="s">
        <v>5427</v>
      </c>
      <c r="BA404" s="13" t="s">
        <v>5503</v>
      </c>
      <c r="BB404" s="13" t="s">
        <v>5428</v>
      </c>
      <c r="BC404" s="13" t="s">
        <v>5504</v>
      </c>
      <c r="BD404" s="13">
        <f t="shared" si="14"/>
        <v>56</v>
      </c>
      <c r="BE404" s="17" t="s">
        <v>2453</v>
      </c>
      <c r="BF404" s="17" t="s">
        <v>1133</v>
      </c>
      <c r="BG404" s="17" t="s">
        <v>5361</v>
      </c>
      <c r="BH404" s="17"/>
      <c r="BI404" s="17"/>
      <c r="BJ404" s="17" t="s">
        <v>2644</v>
      </c>
      <c r="BK404" s="17"/>
      <c r="BL404" s="17"/>
      <c r="BM404" s="17"/>
      <c r="BN404" s="17"/>
      <c r="BO404" s="17" t="s">
        <v>4364</v>
      </c>
      <c r="BP404" s="17"/>
      <c r="BQ404" s="17"/>
      <c r="BR404" s="17"/>
      <c r="BS404" s="17" t="s">
        <v>127</v>
      </c>
      <c r="BT404" s="17" t="s">
        <v>5363</v>
      </c>
      <c r="BU404" s="17" t="s">
        <v>129</v>
      </c>
      <c r="BV404" s="17"/>
      <c r="BW404" s="17"/>
      <c r="BX404" s="25" t="s">
        <v>5505</v>
      </c>
      <c r="CA404" s="13" t="s">
        <v>5308</v>
      </c>
      <c r="DA404" s="13" t="s">
        <v>10348</v>
      </c>
      <c r="DB404" s="13" t="s">
        <v>10348</v>
      </c>
    </row>
    <row r="405" spans="1:106" s="13" customFormat="1" ht="12.75" customHeight="1" x14ac:dyDescent="0.2">
      <c r="A405" s="13" t="s">
        <v>102</v>
      </c>
      <c r="B405" s="13" t="s">
        <v>103</v>
      </c>
      <c r="D405" s="13" t="s">
        <v>5212</v>
      </c>
      <c r="E405" s="13" t="s">
        <v>228</v>
      </c>
      <c r="F405" s="13" t="s">
        <v>5212</v>
      </c>
      <c r="G405" s="13" t="s">
        <v>229</v>
      </c>
      <c r="H405" s="13" t="s">
        <v>7712</v>
      </c>
      <c r="J405" s="13" t="s">
        <v>106</v>
      </c>
      <c r="W405" s="13">
        <v>500</v>
      </c>
      <c r="X405" s="13">
        <v>500</v>
      </c>
      <c r="Y405" s="13" t="s">
        <v>107</v>
      </c>
      <c r="Z405" s="13" t="s">
        <v>108</v>
      </c>
      <c r="AA405" s="13" t="s">
        <v>107</v>
      </c>
      <c r="AB405" s="13" t="s">
        <v>5506</v>
      </c>
      <c r="AC405" s="13" t="s">
        <v>5506</v>
      </c>
      <c r="AD405" s="13" t="s">
        <v>5506</v>
      </c>
      <c r="AE405" s="13" t="s">
        <v>112</v>
      </c>
      <c r="AF405" s="13" t="s">
        <v>5506</v>
      </c>
      <c r="AG405" s="13" t="s">
        <v>5506</v>
      </c>
      <c r="AH405" s="13" t="s">
        <v>5507</v>
      </c>
      <c r="AL405" s="13" t="s">
        <v>5417</v>
      </c>
      <c r="AN405" s="13">
        <v>329</v>
      </c>
      <c r="AO405" s="13" t="s">
        <v>5508</v>
      </c>
      <c r="AQ405" s="13" t="s">
        <v>5506</v>
      </c>
      <c r="AR405" s="13" t="s">
        <v>5506</v>
      </c>
      <c r="AS405" s="13" t="s">
        <v>116</v>
      </c>
      <c r="AT405" s="13" t="s">
        <v>5464</v>
      </c>
      <c r="AU405" s="13" t="s">
        <v>5369</v>
      </c>
      <c r="AV405" s="13" t="s">
        <v>1127</v>
      </c>
      <c r="AW405" s="13" t="s">
        <v>2447</v>
      </c>
      <c r="AX405" s="13" t="s">
        <v>2448</v>
      </c>
      <c r="AY405" s="13" t="s">
        <v>5370</v>
      </c>
      <c r="AZ405" s="13" t="s">
        <v>5509</v>
      </c>
      <c r="BA405" s="13" t="s">
        <v>5509</v>
      </c>
      <c r="BB405" s="13" t="s">
        <v>5510</v>
      </c>
      <c r="BC405" s="13" t="s">
        <v>5511</v>
      </c>
      <c r="BD405" s="13">
        <f t="shared" si="14"/>
        <v>59</v>
      </c>
      <c r="BE405" s="17" t="s">
        <v>2453</v>
      </c>
      <c r="BF405" s="17" t="s">
        <v>1133</v>
      </c>
      <c r="BG405" s="17" t="s">
        <v>5361</v>
      </c>
      <c r="BH405" s="17"/>
      <c r="BI405" s="17"/>
      <c r="BJ405" s="17" t="s">
        <v>2756</v>
      </c>
      <c r="BK405" s="17"/>
      <c r="BL405" s="17"/>
      <c r="BM405" s="17"/>
      <c r="BN405" s="17"/>
      <c r="BO405" s="17" t="s">
        <v>5374</v>
      </c>
      <c r="BP405" s="17"/>
      <c r="BQ405" s="17"/>
      <c r="BR405" s="17"/>
      <c r="BS405" s="17" t="s">
        <v>127</v>
      </c>
      <c r="BT405" s="17" t="s">
        <v>5363</v>
      </c>
      <c r="BU405" s="17" t="s">
        <v>129</v>
      </c>
      <c r="BV405" s="17"/>
      <c r="BW405" s="17"/>
      <c r="BX405" s="25" t="s">
        <v>5512</v>
      </c>
      <c r="DA405" s="13" t="s">
        <v>10348</v>
      </c>
      <c r="DB405" s="13" t="s">
        <v>10348</v>
      </c>
    </row>
    <row r="406" spans="1:106" s="13" customFormat="1" ht="12.75" customHeight="1" x14ac:dyDescent="0.2">
      <c r="A406" s="13" t="s">
        <v>102</v>
      </c>
      <c r="B406" s="13" t="s">
        <v>103</v>
      </c>
      <c r="D406" s="13" t="s">
        <v>5212</v>
      </c>
      <c r="E406" s="13" t="s">
        <v>228</v>
      </c>
      <c r="F406" s="13" t="s">
        <v>5212</v>
      </c>
      <c r="G406" s="13" t="s">
        <v>229</v>
      </c>
      <c r="H406" s="13" t="s">
        <v>7712</v>
      </c>
      <c r="J406" s="13" t="s">
        <v>106</v>
      </c>
      <c r="W406" s="13">
        <v>501</v>
      </c>
      <c r="X406" s="13">
        <v>501</v>
      </c>
      <c r="Y406" s="13" t="s">
        <v>107</v>
      </c>
      <c r="Z406" s="13" t="s">
        <v>108</v>
      </c>
      <c r="AA406" s="13" t="s">
        <v>107</v>
      </c>
      <c r="AB406" s="13" t="s">
        <v>5513</v>
      </c>
      <c r="AC406" s="13" t="s">
        <v>5513</v>
      </c>
      <c r="AD406" s="13">
        <v>497868</v>
      </c>
      <c r="AE406" s="13" t="s">
        <v>112</v>
      </c>
      <c r="AF406" s="13" t="s">
        <v>5513</v>
      </c>
      <c r="AG406" s="13" t="s">
        <v>5513</v>
      </c>
      <c r="AH406" s="13" t="s">
        <v>5514</v>
      </c>
      <c r="AL406" s="13" t="s">
        <v>5353</v>
      </c>
      <c r="AN406" s="13">
        <v>329</v>
      </c>
      <c r="AO406" s="13" t="s">
        <v>5515</v>
      </c>
      <c r="AQ406" s="13" t="s">
        <v>5513</v>
      </c>
      <c r="AR406" s="13" t="s">
        <v>5513</v>
      </c>
      <c r="AS406" s="13" t="s">
        <v>116</v>
      </c>
      <c r="AT406" s="13" t="s">
        <v>5516</v>
      </c>
      <c r="AU406" s="13" t="s">
        <v>5369</v>
      </c>
      <c r="AV406" s="13" t="s">
        <v>1127</v>
      </c>
      <c r="AW406" s="13" t="s">
        <v>2447</v>
      </c>
      <c r="AX406" s="13" t="s">
        <v>2448</v>
      </c>
      <c r="AY406" s="13" t="s">
        <v>5370</v>
      </c>
      <c r="AZ406" s="13" t="s">
        <v>5371</v>
      </c>
      <c r="BA406" s="13" t="s">
        <v>5517</v>
      </c>
      <c r="BB406" s="13" t="s">
        <v>5372</v>
      </c>
      <c r="BC406" s="13" t="s">
        <v>5518</v>
      </c>
      <c r="BD406" s="13">
        <f t="shared" si="14"/>
        <v>56</v>
      </c>
      <c r="BE406" s="17" t="s">
        <v>2453</v>
      </c>
      <c r="BF406" s="17" t="s">
        <v>1133</v>
      </c>
      <c r="BG406" s="17" t="s">
        <v>5361</v>
      </c>
      <c r="BH406" s="17"/>
      <c r="BI406" s="17"/>
      <c r="BJ406" s="17" t="s">
        <v>2455</v>
      </c>
      <c r="BK406" s="17"/>
      <c r="BL406" s="17"/>
      <c r="BM406" s="17"/>
      <c r="BN406" s="17"/>
      <c r="BO406" s="17" t="s">
        <v>5374</v>
      </c>
      <c r="BP406" s="17"/>
      <c r="BQ406" s="17"/>
      <c r="BR406" s="17"/>
      <c r="BS406" s="17" t="s">
        <v>127</v>
      </c>
      <c r="BT406" s="17" t="s">
        <v>5363</v>
      </c>
      <c r="BU406" s="17" t="s">
        <v>129</v>
      </c>
      <c r="BV406" s="17"/>
      <c r="BW406" s="17"/>
      <c r="BX406" s="25" t="s">
        <v>5519</v>
      </c>
      <c r="CA406" s="13" t="s">
        <v>5308</v>
      </c>
      <c r="DA406" s="13" t="s">
        <v>10348</v>
      </c>
      <c r="DB406" s="13" t="s">
        <v>10348</v>
      </c>
    </row>
    <row r="407" spans="1:106" s="13" customFormat="1" ht="12.75" customHeight="1" x14ac:dyDescent="0.2">
      <c r="A407" s="13" t="s">
        <v>102</v>
      </c>
      <c r="B407" s="13" t="s">
        <v>103</v>
      </c>
      <c r="D407" s="13" t="s">
        <v>5212</v>
      </c>
      <c r="E407" s="13" t="s">
        <v>471</v>
      </c>
      <c r="F407" s="13" t="s">
        <v>5212</v>
      </c>
      <c r="G407" s="13" t="s">
        <v>229</v>
      </c>
      <c r="H407" s="13" t="s">
        <v>7712</v>
      </c>
      <c r="J407" s="13" t="s">
        <v>106</v>
      </c>
      <c r="W407" s="13">
        <v>502</v>
      </c>
      <c r="X407" s="13">
        <v>502</v>
      </c>
      <c r="Y407" s="13" t="s">
        <v>107</v>
      </c>
      <c r="Z407" s="13" t="s">
        <v>108</v>
      </c>
      <c r="AA407" s="13" t="s">
        <v>107</v>
      </c>
      <c r="AB407" s="13" t="s">
        <v>5520</v>
      </c>
      <c r="AC407" s="13" t="s">
        <v>5520</v>
      </c>
      <c r="AD407" s="13" t="s">
        <v>5520</v>
      </c>
      <c r="AE407" s="13" t="s">
        <v>112</v>
      </c>
      <c r="AF407" s="13" t="s">
        <v>5520</v>
      </c>
      <c r="AG407" s="13" t="s">
        <v>5520</v>
      </c>
      <c r="AH407" s="13" t="s">
        <v>5521</v>
      </c>
      <c r="AL407" s="13" t="s">
        <v>5522</v>
      </c>
      <c r="AN407" s="13">
        <v>329</v>
      </c>
      <c r="AO407" s="13" t="s">
        <v>5523</v>
      </c>
      <c r="AQ407" s="13" t="s">
        <v>5520</v>
      </c>
      <c r="AR407" s="13" t="s">
        <v>5520</v>
      </c>
      <c r="AS407" s="13" t="s">
        <v>116</v>
      </c>
      <c r="AT407" s="13" t="s">
        <v>5524</v>
      </c>
      <c r="AU407" s="13" t="s">
        <v>5524</v>
      </c>
      <c r="AV407" s="13" t="s">
        <v>5525</v>
      </c>
      <c r="AY407" s="13" t="s">
        <v>5524</v>
      </c>
      <c r="AZ407" s="13" t="s">
        <v>5526</v>
      </c>
      <c r="BA407" s="13" t="s">
        <v>5526</v>
      </c>
      <c r="BB407" s="13" t="s">
        <v>5527</v>
      </c>
      <c r="BC407" s="13" t="s">
        <v>5527</v>
      </c>
      <c r="BD407" s="13">
        <f t="shared" si="14"/>
        <v>40</v>
      </c>
      <c r="BE407" s="17" t="s">
        <v>5528</v>
      </c>
      <c r="BF407" s="17"/>
      <c r="BG407" s="17" t="s">
        <v>5529</v>
      </c>
      <c r="BH407" s="17"/>
      <c r="BI407" s="17"/>
      <c r="BJ407" s="17"/>
      <c r="BK407" s="17"/>
      <c r="BL407" s="17"/>
      <c r="BM407" s="17"/>
      <c r="BN407" s="17"/>
      <c r="BO407" s="17"/>
      <c r="BP407" s="17" t="s">
        <v>5530</v>
      </c>
      <c r="BQ407" s="17"/>
      <c r="BR407" s="17"/>
      <c r="BS407" s="17" t="s">
        <v>127</v>
      </c>
      <c r="BT407" s="17"/>
      <c r="BU407" s="17" t="s">
        <v>129</v>
      </c>
      <c r="BV407" s="17"/>
      <c r="BW407" s="17"/>
      <c r="BX407" s="25" t="s">
        <v>5531</v>
      </c>
      <c r="DA407" s="13" t="s">
        <v>10348</v>
      </c>
      <c r="DB407" s="13" t="s">
        <v>10348</v>
      </c>
    </row>
    <row r="408" spans="1:106" s="13" customFormat="1" ht="12.75" customHeight="1" x14ac:dyDescent="0.2">
      <c r="A408" s="13" t="s">
        <v>102</v>
      </c>
      <c r="B408" s="13" t="s">
        <v>103</v>
      </c>
      <c r="D408" s="13" t="s">
        <v>5212</v>
      </c>
      <c r="E408" s="13" t="s">
        <v>228</v>
      </c>
      <c r="F408" s="13" t="s">
        <v>5212</v>
      </c>
      <c r="G408" s="13" t="s">
        <v>229</v>
      </c>
      <c r="H408" s="13" t="s">
        <v>7712</v>
      </c>
      <c r="J408" s="13" t="s">
        <v>106</v>
      </c>
      <c r="W408" s="13">
        <v>503</v>
      </c>
      <c r="X408" s="13">
        <v>503</v>
      </c>
      <c r="Y408" s="13" t="s">
        <v>107</v>
      </c>
      <c r="Z408" s="13" t="s">
        <v>108</v>
      </c>
      <c r="AA408" s="13" t="s">
        <v>107</v>
      </c>
      <c r="AB408" s="13" t="s">
        <v>5532</v>
      </c>
      <c r="AC408" s="13" t="s">
        <v>5532</v>
      </c>
      <c r="AD408" s="13" t="s">
        <v>5532</v>
      </c>
      <c r="AE408" s="13" t="s">
        <v>112</v>
      </c>
      <c r="AF408" s="13" t="s">
        <v>5532</v>
      </c>
      <c r="AG408" s="13" t="s">
        <v>5532</v>
      </c>
      <c r="AH408" s="13" t="s">
        <v>5533</v>
      </c>
      <c r="AL408" s="13" t="s">
        <v>5534</v>
      </c>
      <c r="AN408" s="13">
        <v>329</v>
      </c>
      <c r="AO408" s="13" t="s">
        <v>5535</v>
      </c>
      <c r="AQ408" s="13" t="s">
        <v>5532</v>
      </c>
      <c r="AR408" s="13" t="s">
        <v>5532</v>
      </c>
      <c r="AS408" s="13" t="s">
        <v>116</v>
      </c>
      <c r="AT408" s="13" t="s">
        <v>5536</v>
      </c>
      <c r="AU408" s="13" t="s">
        <v>5537</v>
      </c>
      <c r="AV408" s="13" t="s">
        <v>5538</v>
      </c>
      <c r="AY408" s="13" t="s">
        <v>5539</v>
      </c>
      <c r="AZ408" s="13" t="s">
        <v>5540</v>
      </c>
      <c r="BA408" s="13" t="s">
        <v>5540</v>
      </c>
      <c r="BB408" s="13" t="s">
        <v>5541</v>
      </c>
      <c r="BC408" s="13" t="s">
        <v>5541</v>
      </c>
      <c r="BD408" s="13">
        <f t="shared" si="14"/>
        <v>40</v>
      </c>
      <c r="BE408" s="17" t="s">
        <v>5221</v>
      </c>
      <c r="BF408" s="17" t="s">
        <v>534</v>
      </c>
      <c r="BG408" s="17"/>
      <c r="BH408" s="17" t="s">
        <v>125</v>
      </c>
      <c r="BI408" s="17"/>
      <c r="BJ408" s="17" t="s">
        <v>5542</v>
      </c>
      <c r="BK408" s="17"/>
      <c r="BL408" s="17"/>
      <c r="BM408" s="17"/>
      <c r="BN408" s="17"/>
      <c r="BO408" s="17" t="s">
        <v>4364</v>
      </c>
      <c r="BP408" s="17"/>
      <c r="BQ408" s="17"/>
      <c r="BR408" s="17"/>
      <c r="BS408" s="17" t="s">
        <v>127</v>
      </c>
      <c r="BT408" s="17"/>
      <c r="BU408" s="17" t="s">
        <v>129</v>
      </c>
      <c r="BV408" s="17"/>
      <c r="BW408" s="17"/>
      <c r="BX408" s="25" t="s">
        <v>5543</v>
      </c>
      <c r="DA408" s="13" t="s">
        <v>10348</v>
      </c>
      <c r="DB408" s="13" t="s">
        <v>10348</v>
      </c>
    </row>
    <row r="409" spans="1:106" s="13" customFormat="1" ht="12.75" customHeight="1" x14ac:dyDescent="0.2">
      <c r="A409" s="13" t="s">
        <v>102</v>
      </c>
      <c r="B409" s="13" t="s">
        <v>103</v>
      </c>
      <c r="D409" s="13" t="s">
        <v>5212</v>
      </c>
      <c r="E409" s="13" t="s">
        <v>228</v>
      </c>
      <c r="F409" s="13" t="s">
        <v>5212</v>
      </c>
      <c r="G409" s="13" t="s">
        <v>229</v>
      </c>
      <c r="H409" s="13" t="s">
        <v>7712</v>
      </c>
      <c r="J409" s="13" t="s">
        <v>106</v>
      </c>
      <c r="W409" s="13">
        <v>504</v>
      </c>
      <c r="X409" s="13">
        <v>504</v>
      </c>
      <c r="Y409" s="13" t="s">
        <v>107</v>
      </c>
      <c r="Z409" s="13" t="s">
        <v>108</v>
      </c>
      <c r="AA409" s="13" t="s">
        <v>107</v>
      </c>
      <c r="AB409" s="13" t="s">
        <v>5544</v>
      </c>
      <c r="AC409" s="13" t="s">
        <v>5544</v>
      </c>
      <c r="AD409" s="13" t="s">
        <v>5544</v>
      </c>
      <c r="AE409" s="13" t="s">
        <v>112</v>
      </c>
      <c r="AF409" s="13" t="s">
        <v>5544</v>
      </c>
      <c r="AG409" s="13" t="s">
        <v>5544</v>
      </c>
      <c r="AH409" s="13" t="s">
        <v>5545</v>
      </c>
      <c r="AL409" s="13" t="s">
        <v>5546</v>
      </c>
      <c r="AN409" s="13">
        <v>329</v>
      </c>
      <c r="AO409" s="13" t="s">
        <v>5547</v>
      </c>
      <c r="AQ409" s="13" t="s">
        <v>5544</v>
      </c>
      <c r="AR409" s="13" t="s">
        <v>5544</v>
      </c>
      <c r="AS409" s="13" t="s">
        <v>116</v>
      </c>
      <c r="AT409" s="13" t="s">
        <v>5548</v>
      </c>
      <c r="AU409" s="13" t="s">
        <v>5537</v>
      </c>
      <c r="AV409" s="13" t="s">
        <v>5538</v>
      </c>
      <c r="AY409" s="13" t="s">
        <v>5549</v>
      </c>
      <c r="AZ409" s="13" t="s">
        <v>5550</v>
      </c>
      <c r="BA409" s="13" t="s">
        <v>5550</v>
      </c>
      <c r="BB409" s="13" t="s">
        <v>5551</v>
      </c>
      <c r="BC409" s="13" t="s">
        <v>5551</v>
      </c>
      <c r="BD409" s="13">
        <f t="shared" si="14"/>
        <v>40</v>
      </c>
      <c r="BE409" s="17" t="s">
        <v>5221</v>
      </c>
      <c r="BF409" s="17" t="s">
        <v>534</v>
      </c>
      <c r="BG409" s="17"/>
      <c r="BH409" s="17" t="s">
        <v>125</v>
      </c>
      <c r="BI409" s="17"/>
      <c r="BJ409" s="17" t="s">
        <v>5552</v>
      </c>
      <c r="BK409" s="17"/>
      <c r="BL409" s="17"/>
      <c r="BM409" s="17"/>
      <c r="BN409" s="17"/>
      <c r="BO409" s="17" t="s">
        <v>4364</v>
      </c>
      <c r="BP409" s="17"/>
      <c r="BQ409" s="17"/>
      <c r="BR409" s="17"/>
      <c r="BS409" s="17" t="s">
        <v>127</v>
      </c>
      <c r="BT409" s="17"/>
      <c r="BU409" s="17" t="s">
        <v>129</v>
      </c>
      <c r="BV409" s="17"/>
      <c r="BW409" s="17"/>
      <c r="BX409" s="13" t="s">
        <v>5553</v>
      </c>
      <c r="DA409" s="13" t="s">
        <v>10348</v>
      </c>
      <c r="DB409" s="13" t="s">
        <v>10348</v>
      </c>
    </row>
    <row r="410" spans="1:106" s="13" customFormat="1" ht="12.75" customHeight="1" x14ac:dyDescent="0.2">
      <c r="A410" s="13" t="s">
        <v>102</v>
      </c>
      <c r="B410" s="13" t="s">
        <v>103</v>
      </c>
      <c r="D410" s="13" t="s">
        <v>5212</v>
      </c>
      <c r="E410" s="13" t="s">
        <v>471</v>
      </c>
      <c r="F410" s="13" t="s">
        <v>5212</v>
      </c>
      <c r="G410" s="13" t="s">
        <v>229</v>
      </c>
      <c r="H410" s="13" t="s">
        <v>7712</v>
      </c>
      <c r="J410" s="13" t="s">
        <v>106</v>
      </c>
      <c r="W410" s="13">
        <v>505</v>
      </c>
      <c r="X410" s="13">
        <v>505</v>
      </c>
      <c r="Y410" s="13" t="s">
        <v>107</v>
      </c>
      <c r="Z410" s="13" t="s">
        <v>108</v>
      </c>
      <c r="AA410" s="13" t="s">
        <v>107</v>
      </c>
      <c r="AB410" s="13" t="s">
        <v>5554</v>
      </c>
      <c r="AC410" s="13" t="s">
        <v>5554</v>
      </c>
      <c r="AD410" s="13" t="s">
        <v>5554</v>
      </c>
      <c r="AE410" s="13" t="s">
        <v>112</v>
      </c>
      <c r="AF410" s="13" t="s">
        <v>5554</v>
      </c>
      <c r="AG410" s="13" t="s">
        <v>5554</v>
      </c>
      <c r="AH410" s="13" t="s">
        <v>5555</v>
      </c>
      <c r="AL410" s="13" t="s">
        <v>5556</v>
      </c>
      <c r="AN410" s="13">
        <v>329</v>
      </c>
      <c r="AO410" s="13" t="s">
        <v>5557</v>
      </c>
      <c r="AQ410" s="13" t="s">
        <v>5554</v>
      </c>
      <c r="AR410" s="13" t="s">
        <v>5554</v>
      </c>
      <c r="AS410" s="13" t="s">
        <v>116</v>
      </c>
      <c r="AT410" s="13" t="s">
        <v>5558</v>
      </c>
      <c r="AU410" s="13" t="s">
        <v>5537</v>
      </c>
      <c r="AV410" s="13" t="s">
        <v>5538</v>
      </c>
      <c r="AY410" s="13" t="s">
        <v>5559</v>
      </c>
      <c r="AZ410" s="13" t="s">
        <v>5560</v>
      </c>
      <c r="BA410" s="13" t="s">
        <v>5560</v>
      </c>
      <c r="BB410" s="13" t="s">
        <v>5561</v>
      </c>
      <c r="BC410" s="13" t="s">
        <v>5561</v>
      </c>
      <c r="BD410" s="13">
        <f t="shared" si="14"/>
        <v>40</v>
      </c>
      <c r="BE410" s="17" t="s">
        <v>5221</v>
      </c>
      <c r="BF410" s="17" t="s">
        <v>534</v>
      </c>
      <c r="BG410" s="17"/>
      <c r="BH410" s="17" t="s">
        <v>125</v>
      </c>
      <c r="BI410" s="17"/>
      <c r="BJ410" s="17" t="s">
        <v>5562</v>
      </c>
      <c r="BK410" s="17"/>
      <c r="BL410" s="17"/>
      <c r="BM410" s="17"/>
      <c r="BN410" s="17"/>
      <c r="BO410" s="17" t="s">
        <v>4364</v>
      </c>
      <c r="BP410" s="17"/>
      <c r="BQ410" s="17"/>
      <c r="BR410" s="17"/>
      <c r="BS410" s="17" t="s">
        <v>127</v>
      </c>
      <c r="BT410" s="17"/>
      <c r="BU410" s="17" t="s">
        <v>129</v>
      </c>
      <c r="BV410" s="17"/>
      <c r="BW410" s="17"/>
      <c r="BX410" s="25" t="s">
        <v>5563</v>
      </c>
      <c r="DA410" s="13" t="s">
        <v>10348</v>
      </c>
      <c r="DB410" s="13" t="s">
        <v>10348</v>
      </c>
    </row>
    <row r="411" spans="1:106" s="13" customFormat="1" ht="12.75" customHeight="1" x14ac:dyDescent="0.2">
      <c r="A411" s="13" t="s">
        <v>102</v>
      </c>
      <c r="B411" s="13" t="s">
        <v>103</v>
      </c>
      <c r="D411" s="13" t="s">
        <v>5212</v>
      </c>
      <c r="E411" s="13" t="s">
        <v>471</v>
      </c>
      <c r="F411" s="13" t="s">
        <v>5212</v>
      </c>
      <c r="G411" s="13" t="s">
        <v>229</v>
      </c>
      <c r="H411" s="13" t="s">
        <v>7712</v>
      </c>
      <c r="J411" s="13" t="s">
        <v>106</v>
      </c>
      <c r="W411" s="13">
        <v>506</v>
      </c>
      <c r="X411" s="13">
        <v>506</v>
      </c>
      <c r="Y411" s="13" t="s">
        <v>107</v>
      </c>
      <c r="Z411" s="13" t="s">
        <v>108</v>
      </c>
      <c r="AA411" s="13" t="s">
        <v>107</v>
      </c>
      <c r="AB411" s="13" t="s">
        <v>5564</v>
      </c>
      <c r="AC411" s="13" t="s">
        <v>5564</v>
      </c>
      <c r="AD411" s="13" t="s">
        <v>5564</v>
      </c>
      <c r="AE411" s="13" t="s">
        <v>112</v>
      </c>
      <c r="AF411" s="13" t="s">
        <v>5564</v>
      </c>
      <c r="AG411" s="13" t="s">
        <v>5564</v>
      </c>
      <c r="AH411" s="13" t="s">
        <v>5565</v>
      </c>
      <c r="AL411" s="13" t="s">
        <v>5566</v>
      </c>
      <c r="AN411" s="13">
        <v>329</v>
      </c>
      <c r="AO411" s="13" t="s">
        <v>5567</v>
      </c>
      <c r="AQ411" s="13" t="s">
        <v>5564</v>
      </c>
      <c r="AR411" s="13" t="s">
        <v>5564</v>
      </c>
      <c r="AS411" s="13" t="s">
        <v>116</v>
      </c>
      <c r="AT411" s="13" t="s">
        <v>5568</v>
      </c>
      <c r="AU411" s="13" t="s">
        <v>5569</v>
      </c>
      <c r="AV411" s="13" t="s">
        <v>5525</v>
      </c>
      <c r="AY411" s="13" t="s">
        <v>5570</v>
      </c>
      <c r="AZ411" s="13" t="s">
        <v>5571</v>
      </c>
      <c r="BA411" s="13" t="s">
        <v>5571</v>
      </c>
      <c r="BB411" s="13" t="s">
        <v>5572</v>
      </c>
      <c r="BC411" s="13" t="s">
        <v>5572</v>
      </c>
      <c r="BD411" s="13">
        <f t="shared" si="14"/>
        <v>46</v>
      </c>
      <c r="BE411" s="17" t="s">
        <v>5573</v>
      </c>
      <c r="BF411" s="17"/>
      <c r="BG411" s="17"/>
      <c r="BH411" s="17"/>
      <c r="BI411" s="17"/>
      <c r="BJ411" s="17" t="s">
        <v>5542</v>
      </c>
      <c r="BK411" s="17"/>
      <c r="BL411" s="17"/>
      <c r="BM411" s="17"/>
      <c r="BN411" s="17" t="s">
        <v>5574</v>
      </c>
      <c r="BO411" s="17"/>
      <c r="BP411" s="17"/>
      <c r="BQ411" s="17"/>
      <c r="BR411" s="17"/>
      <c r="BS411" s="17" t="s">
        <v>127</v>
      </c>
      <c r="BT411" s="17"/>
      <c r="BU411" s="17" t="s">
        <v>129</v>
      </c>
      <c r="BV411" s="17"/>
      <c r="BW411" s="17"/>
      <c r="BX411" s="25" t="s">
        <v>5575</v>
      </c>
      <c r="DA411" s="13" t="s">
        <v>10348</v>
      </c>
      <c r="DB411" s="13" t="s">
        <v>10348</v>
      </c>
    </row>
    <row r="412" spans="1:106" s="13" customFormat="1" ht="12.75" customHeight="1" x14ac:dyDescent="0.2">
      <c r="A412" s="13" t="s">
        <v>102</v>
      </c>
      <c r="B412" s="13" t="s">
        <v>103</v>
      </c>
      <c r="D412" s="13" t="s">
        <v>5212</v>
      </c>
      <c r="E412" s="13" t="s">
        <v>471</v>
      </c>
      <c r="F412" s="13" t="s">
        <v>5212</v>
      </c>
      <c r="G412" s="13" t="s">
        <v>229</v>
      </c>
      <c r="H412" s="13" t="s">
        <v>7712</v>
      </c>
      <c r="J412" s="13" t="s">
        <v>106</v>
      </c>
      <c r="W412" s="13">
        <v>507</v>
      </c>
      <c r="X412" s="13">
        <v>507</v>
      </c>
      <c r="Y412" s="13" t="s">
        <v>107</v>
      </c>
      <c r="Z412" s="13" t="s">
        <v>108</v>
      </c>
      <c r="AA412" s="13" t="s">
        <v>107</v>
      </c>
      <c r="AB412" s="13" t="s">
        <v>5576</v>
      </c>
      <c r="AC412" s="13" t="s">
        <v>5576</v>
      </c>
      <c r="AD412" s="13" t="s">
        <v>5576</v>
      </c>
      <c r="AE412" s="13" t="s">
        <v>112</v>
      </c>
      <c r="AF412" s="13" t="s">
        <v>5576</v>
      </c>
      <c r="AG412" s="13" t="s">
        <v>5576</v>
      </c>
      <c r="AH412" s="13" t="s">
        <v>5577</v>
      </c>
      <c r="AL412" s="13" t="s">
        <v>5566</v>
      </c>
      <c r="AN412" s="13">
        <v>329</v>
      </c>
      <c r="AO412" s="13" t="s">
        <v>5578</v>
      </c>
      <c r="AQ412" s="13" t="s">
        <v>5576</v>
      </c>
      <c r="AR412" s="13" t="s">
        <v>5576</v>
      </c>
      <c r="AS412" s="13" t="s">
        <v>116</v>
      </c>
      <c r="AT412" s="13" t="s">
        <v>5579</v>
      </c>
      <c r="AU412" s="13" t="s">
        <v>5580</v>
      </c>
      <c r="AV412" s="13" t="s">
        <v>5525</v>
      </c>
      <c r="AY412" s="13" t="s">
        <v>5581</v>
      </c>
      <c r="AZ412" s="13" t="s">
        <v>5571</v>
      </c>
      <c r="BA412" s="13" t="s">
        <v>5582</v>
      </c>
      <c r="BB412" s="13" t="s">
        <v>5572</v>
      </c>
      <c r="BC412" s="13" t="s">
        <v>5583</v>
      </c>
      <c r="BD412" s="13">
        <f t="shared" si="14"/>
        <v>53</v>
      </c>
      <c r="BE412" s="17" t="s">
        <v>5573</v>
      </c>
      <c r="BF412" s="17"/>
      <c r="BG412" s="17"/>
      <c r="BH412" s="17"/>
      <c r="BI412" s="17"/>
      <c r="BJ412" s="17" t="s">
        <v>5542</v>
      </c>
      <c r="BK412" s="17"/>
      <c r="BL412" s="17"/>
      <c r="BM412" s="17"/>
      <c r="BN412" s="17" t="s">
        <v>5574</v>
      </c>
      <c r="BO412" s="17"/>
      <c r="BP412" s="17"/>
      <c r="BQ412" s="17"/>
      <c r="BR412" s="17"/>
      <c r="BS412" s="17" t="s">
        <v>127</v>
      </c>
      <c r="BT412" s="17"/>
      <c r="BU412" s="17" t="s">
        <v>129</v>
      </c>
      <c r="BV412" s="17"/>
      <c r="BW412" s="17"/>
      <c r="BX412" s="25" t="s">
        <v>5584</v>
      </c>
      <c r="CA412" s="13" t="s">
        <v>5308</v>
      </c>
      <c r="DA412" s="13" t="s">
        <v>10348</v>
      </c>
      <c r="DB412" s="13" t="s">
        <v>10348</v>
      </c>
    </row>
    <row r="413" spans="1:106" s="13" customFormat="1" ht="12.75" customHeight="1" x14ac:dyDescent="0.2">
      <c r="A413" s="13" t="s">
        <v>102</v>
      </c>
      <c r="B413" s="13" t="s">
        <v>103</v>
      </c>
      <c r="D413" s="13" t="s">
        <v>5212</v>
      </c>
      <c r="E413" s="13" t="s">
        <v>471</v>
      </c>
      <c r="F413" s="13" t="s">
        <v>5212</v>
      </c>
      <c r="G413" s="13" t="s">
        <v>229</v>
      </c>
      <c r="H413" s="13" t="s">
        <v>7712</v>
      </c>
      <c r="J413" s="13" t="s">
        <v>106</v>
      </c>
      <c r="W413" s="13">
        <v>512</v>
      </c>
      <c r="X413" s="13">
        <v>512</v>
      </c>
      <c r="Y413" s="13" t="s">
        <v>107</v>
      </c>
      <c r="Z413" s="13" t="s">
        <v>108</v>
      </c>
      <c r="AA413" s="13" t="s">
        <v>107</v>
      </c>
      <c r="AB413" s="13" t="s">
        <v>5617</v>
      </c>
      <c r="AC413" s="13" t="s">
        <v>5617</v>
      </c>
      <c r="AD413" s="13" t="s">
        <v>5617</v>
      </c>
      <c r="AE413" s="13" t="s">
        <v>112</v>
      </c>
      <c r="AF413" s="13">
        <v>498439</v>
      </c>
      <c r="AG413" s="13" t="s">
        <v>5617</v>
      </c>
      <c r="AH413" s="13" t="s">
        <v>5618</v>
      </c>
      <c r="AL413" s="13" t="s">
        <v>5566</v>
      </c>
      <c r="AN413" s="13">
        <v>329</v>
      </c>
      <c r="AO413" s="13" t="s">
        <v>5619</v>
      </c>
      <c r="AQ413" s="13" t="s">
        <v>5617</v>
      </c>
      <c r="AR413" s="13" t="s">
        <v>5617</v>
      </c>
      <c r="AS413" s="13" t="s">
        <v>116</v>
      </c>
      <c r="AT413" s="13" t="s">
        <v>5568</v>
      </c>
      <c r="AU413" s="13" t="s">
        <v>5569</v>
      </c>
      <c r="AV413" s="13" t="s">
        <v>5525</v>
      </c>
      <c r="AY413" s="13" t="s">
        <v>5570</v>
      </c>
      <c r="AZ413" s="13" t="s">
        <v>5571</v>
      </c>
      <c r="BA413" s="13" t="s">
        <v>5620</v>
      </c>
      <c r="BB413" s="13" t="s">
        <v>5572</v>
      </c>
      <c r="BC413" s="13" t="s">
        <v>5621</v>
      </c>
      <c r="BD413" s="13">
        <f t="shared" si="14"/>
        <v>53</v>
      </c>
      <c r="BE413" s="17" t="s">
        <v>5573</v>
      </c>
      <c r="BF413" s="17"/>
      <c r="BG413" s="17"/>
      <c r="BH413" s="17"/>
      <c r="BI413" s="17"/>
      <c r="BJ413" s="17" t="s">
        <v>5542</v>
      </c>
      <c r="BK413" s="17"/>
      <c r="BL413" s="17"/>
      <c r="BM413" s="17"/>
      <c r="BN413" s="17" t="s">
        <v>5574</v>
      </c>
      <c r="BO413" s="17"/>
      <c r="BP413" s="17"/>
      <c r="BQ413" s="17"/>
      <c r="BR413" s="17"/>
      <c r="BS413" s="17" t="s">
        <v>127</v>
      </c>
      <c r="BT413" s="17"/>
      <c r="BU413" s="17" t="s">
        <v>129</v>
      </c>
      <c r="BV413" s="17"/>
      <c r="BW413" s="17"/>
      <c r="BX413" s="25" t="s">
        <v>5622</v>
      </c>
      <c r="CA413" s="13" t="s">
        <v>5308</v>
      </c>
      <c r="DA413" s="13" t="s">
        <v>10348</v>
      </c>
      <c r="DB413" s="13" t="s">
        <v>10348</v>
      </c>
    </row>
    <row r="414" spans="1:106" s="13" customFormat="1" ht="12.75" customHeight="1" x14ac:dyDescent="0.2">
      <c r="A414" s="13" t="s">
        <v>102</v>
      </c>
      <c r="B414" s="13" t="s">
        <v>103</v>
      </c>
      <c r="D414" s="13" t="s">
        <v>5212</v>
      </c>
      <c r="E414" s="13" t="s">
        <v>471</v>
      </c>
      <c r="F414" s="13" t="s">
        <v>5212</v>
      </c>
      <c r="G414" s="13" t="s">
        <v>229</v>
      </c>
      <c r="H414" s="13" t="s">
        <v>7712</v>
      </c>
      <c r="J414" s="13" t="s">
        <v>106</v>
      </c>
      <c r="W414" s="13">
        <v>513</v>
      </c>
      <c r="X414" s="13">
        <v>513</v>
      </c>
      <c r="Y414" s="13" t="s">
        <v>107</v>
      </c>
      <c r="Z414" s="13" t="s">
        <v>108</v>
      </c>
      <c r="AA414" s="13" t="s">
        <v>107</v>
      </c>
      <c r="AB414" s="13" t="s">
        <v>5623</v>
      </c>
      <c r="AC414" s="13" t="s">
        <v>5623</v>
      </c>
      <c r="AD414" s="13" t="s">
        <v>5623</v>
      </c>
      <c r="AE414" s="13" t="s">
        <v>112</v>
      </c>
      <c r="AF414" s="13">
        <v>498440</v>
      </c>
      <c r="AG414" s="13" t="s">
        <v>5623</v>
      </c>
      <c r="AH414" s="13" t="s">
        <v>5624</v>
      </c>
      <c r="AL414" s="13" t="s">
        <v>5566</v>
      </c>
      <c r="AN414" s="13">
        <v>329</v>
      </c>
      <c r="AO414" s="13" t="s">
        <v>5625</v>
      </c>
      <c r="AQ414" s="13" t="s">
        <v>5623</v>
      </c>
      <c r="AR414" s="13" t="s">
        <v>5623</v>
      </c>
      <c r="AS414" s="13" t="s">
        <v>116</v>
      </c>
      <c r="AT414" s="13" t="s">
        <v>5568</v>
      </c>
      <c r="AU414" s="13" t="s">
        <v>5569</v>
      </c>
      <c r="AV414" s="13" t="s">
        <v>5525</v>
      </c>
      <c r="AY414" s="13" t="s">
        <v>5570</v>
      </c>
      <c r="AZ414" s="13" t="s">
        <v>5571</v>
      </c>
      <c r="BA414" s="13" t="s">
        <v>5626</v>
      </c>
      <c r="BB414" s="13" t="s">
        <v>5572</v>
      </c>
      <c r="BC414" s="13" t="s">
        <v>5627</v>
      </c>
      <c r="BD414" s="13">
        <f t="shared" si="14"/>
        <v>53</v>
      </c>
      <c r="BE414" s="17" t="s">
        <v>5573</v>
      </c>
      <c r="BF414" s="17"/>
      <c r="BG414" s="17"/>
      <c r="BH414" s="17"/>
      <c r="BI414" s="17"/>
      <c r="BJ414" s="17" t="s">
        <v>5542</v>
      </c>
      <c r="BK414" s="17"/>
      <c r="BL414" s="17"/>
      <c r="BM414" s="17"/>
      <c r="BN414" s="17" t="s">
        <v>5574</v>
      </c>
      <c r="BO414" s="17"/>
      <c r="BP414" s="17"/>
      <c r="BQ414" s="17"/>
      <c r="BR414" s="17"/>
      <c r="BS414" s="17" t="s">
        <v>127</v>
      </c>
      <c r="BT414" s="17"/>
      <c r="BU414" s="17" t="s">
        <v>129</v>
      </c>
      <c r="BV414" s="17"/>
      <c r="BW414" s="17"/>
      <c r="BX414" s="25" t="s">
        <v>5628</v>
      </c>
      <c r="CA414" s="13" t="s">
        <v>5308</v>
      </c>
      <c r="DA414" s="13" t="s">
        <v>10348</v>
      </c>
      <c r="DB414" s="13" t="s">
        <v>10348</v>
      </c>
    </row>
    <row r="415" spans="1:106" s="13" customFormat="1" ht="12.75" customHeight="1" x14ac:dyDescent="0.2">
      <c r="A415" s="13" t="s">
        <v>102</v>
      </c>
      <c r="B415" s="13" t="s">
        <v>103</v>
      </c>
      <c r="D415" s="13" t="s">
        <v>5212</v>
      </c>
      <c r="E415" s="13" t="s">
        <v>471</v>
      </c>
      <c r="F415" s="13" t="s">
        <v>5212</v>
      </c>
      <c r="G415" s="13" t="s">
        <v>229</v>
      </c>
      <c r="H415" s="13" t="s">
        <v>7712</v>
      </c>
      <c r="J415" s="13" t="s">
        <v>106</v>
      </c>
      <c r="W415" s="13">
        <v>514</v>
      </c>
      <c r="X415" s="13">
        <v>514</v>
      </c>
      <c r="Y415" s="13" t="s">
        <v>107</v>
      </c>
      <c r="Z415" s="13" t="s">
        <v>108</v>
      </c>
      <c r="AA415" s="13" t="s">
        <v>107</v>
      </c>
      <c r="AB415" s="13" t="s">
        <v>5629</v>
      </c>
      <c r="AC415" s="13" t="s">
        <v>5629</v>
      </c>
      <c r="AD415" s="13" t="s">
        <v>5629</v>
      </c>
      <c r="AE415" s="13" t="s">
        <v>112</v>
      </c>
      <c r="AF415" s="13" t="s">
        <v>5629</v>
      </c>
      <c r="AG415" s="13" t="s">
        <v>5629</v>
      </c>
      <c r="AH415" s="13" t="s">
        <v>5630</v>
      </c>
      <c r="AL415" s="13" t="s">
        <v>5566</v>
      </c>
      <c r="AN415" s="13">
        <v>329</v>
      </c>
      <c r="AO415" s="13" t="s">
        <v>5631</v>
      </c>
      <c r="AQ415" s="13" t="s">
        <v>5629</v>
      </c>
      <c r="AR415" s="13" t="s">
        <v>5629</v>
      </c>
      <c r="AS415" s="13" t="s">
        <v>116</v>
      </c>
      <c r="AT415" s="13" t="s">
        <v>5568</v>
      </c>
      <c r="AU415" s="13" t="s">
        <v>5569</v>
      </c>
      <c r="AV415" s="13" t="s">
        <v>5525</v>
      </c>
      <c r="AY415" s="13" t="s">
        <v>5570</v>
      </c>
      <c r="AZ415" s="13" t="s">
        <v>5571</v>
      </c>
      <c r="BA415" s="13" t="s">
        <v>5632</v>
      </c>
      <c r="BB415" s="13" t="s">
        <v>5572</v>
      </c>
      <c r="BC415" s="13" t="s">
        <v>5633</v>
      </c>
      <c r="BD415" s="13">
        <f t="shared" si="14"/>
        <v>53</v>
      </c>
      <c r="BE415" s="17" t="s">
        <v>5573</v>
      </c>
      <c r="BF415" s="17"/>
      <c r="BG415" s="17"/>
      <c r="BH415" s="17"/>
      <c r="BI415" s="17"/>
      <c r="BJ415" s="17" t="s">
        <v>5542</v>
      </c>
      <c r="BK415" s="17"/>
      <c r="BL415" s="17"/>
      <c r="BM415" s="17"/>
      <c r="BN415" s="17" t="s">
        <v>5574</v>
      </c>
      <c r="BO415" s="17"/>
      <c r="BP415" s="17"/>
      <c r="BQ415" s="17"/>
      <c r="BR415" s="17"/>
      <c r="BS415" s="17" t="s">
        <v>127</v>
      </c>
      <c r="BT415" s="17"/>
      <c r="BU415" s="17" t="s">
        <v>129</v>
      </c>
      <c r="BV415" s="17"/>
      <c r="BW415" s="17"/>
      <c r="BX415" s="25" t="s">
        <v>5634</v>
      </c>
      <c r="CA415" s="13" t="s">
        <v>5308</v>
      </c>
      <c r="DA415" s="13" t="s">
        <v>10348</v>
      </c>
      <c r="DB415" s="13" t="s">
        <v>10348</v>
      </c>
    </row>
    <row r="416" spans="1:106" s="13" customFormat="1" ht="12.75" customHeight="1" x14ac:dyDescent="0.2">
      <c r="A416" s="13" t="s">
        <v>102</v>
      </c>
      <c r="B416" s="13" t="s">
        <v>103</v>
      </c>
      <c r="D416" s="13" t="s">
        <v>5212</v>
      </c>
      <c r="E416" s="13" t="s">
        <v>471</v>
      </c>
      <c r="F416" s="13" t="s">
        <v>5212</v>
      </c>
      <c r="G416" s="13" t="s">
        <v>229</v>
      </c>
      <c r="H416" s="13" t="s">
        <v>7712</v>
      </c>
      <c r="J416" s="13" t="s">
        <v>106</v>
      </c>
      <c r="W416" s="13">
        <v>515</v>
      </c>
      <c r="X416" s="13">
        <v>515</v>
      </c>
      <c r="Y416" s="13" t="s">
        <v>107</v>
      </c>
      <c r="Z416" s="13" t="s">
        <v>108</v>
      </c>
      <c r="AA416" s="13" t="s">
        <v>107</v>
      </c>
      <c r="AB416" s="13" t="s">
        <v>5635</v>
      </c>
      <c r="AC416" s="13" t="s">
        <v>5635</v>
      </c>
      <c r="AD416" s="13" t="s">
        <v>5635</v>
      </c>
      <c r="AE416" s="13" t="s">
        <v>112</v>
      </c>
      <c r="AF416" s="13" t="s">
        <v>5635</v>
      </c>
      <c r="AG416" s="13" t="s">
        <v>5635</v>
      </c>
      <c r="AH416" s="13" t="s">
        <v>5636</v>
      </c>
      <c r="AL416" s="13" t="s">
        <v>5637</v>
      </c>
      <c r="AN416" s="13">
        <v>329</v>
      </c>
      <c r="AO416" s="13" t="s">
        <v>5638</v>
      </c>
      <c r="AQ416" s="13" t="s">
        <v>5635</v>
      </c>
      <c r="AR416" s="13" t="s">
        <v>5635</v>
      </c>
      <c r="AS416" s="13" t="s">
        <v>116</v>
      </c>
      <c r="AT416" s="13" t="s">
        <v>5639</v>
      </c>
      <c r="AU416" s="13" t="s">
        <v>5569</v>
      </c>
      <c r="AV416" s="13" t="s">
        <v>5525</v>
      </c>
      <c r="AY416" s="13" t="s">
        <v>5640</v>
      </c>
      <c r="AZ416" s="13" t="s">
        <v>5641</v>
      </c>
      <c r="BA416" s="13" t="s">
        <v>5641</v>
      </c>
      <c r="BB416" s="13" t="s">
        <v>5642</v>
      </c>
      <c r="BC416" s="13" t="s">
        <v>5642</v>
      </c>
      <c r="BD416" s="13">
        <f t="shared" si="14"/>
        <v>46</v>
      </c>
      <c r="BE416" s="17" t="s">
        <v>5573</v>
      </c>
      <c r="BF416" s="17"/>
      <c r="BG416" s="17"/>
      <c r="BH416" s="17"/>
      <c r="BI416" s="17"/>
      <c r="BJ416" s="17" t="s">
        <v>5643</v>
      </c>
      <c r="BK416" s="17"/>
      <c r="BL416" s="17"/>
      <c r="BM416" s="17"/>
      <c r="BN416" s="17" t="s">
        <v>5574</v>
      </c>
      <c r="BO416" s="17"/>
      <c r="BP416" s="17"/>
      <c r="BQ416" s="17"/>
      <c r="BR416" s="17"/>
      <c r="BS416" s="17" t="s">
        <v>127</v>
      </c>
      <c r="BT416" s="17"/>
      <c r="BU416" s="17" t="s">
        <v>129</v>
      </c>
      <c r="BV416" s="17"/>
      <c r="BW416" s="17"/>
      <c r="BX416" s="25" t="s">
        <v>5644</v>
      </c>
      <c r="DA416" s="13" t="s">
        <v>10348</v>
      </c>
      <c r="DB416" s="13" t="s">
        <v>10348</v>
      </c>
    </row>
    <row r="417" spans="1:106" s="13" customFormat="1" ht="12.75" customHeight="1" x14ac:dyDescent="0.2">
      <c r="A417" s="13" t="s">
        <v>102</v>
      </c>
      <c r="B417" s="13" t="s">
        <v>103</v>
      </c>
      <c r="D417" s="13" t="s">
        <v>5212</v>
      </c>
      <c r="E417" s="13" t="s">
        <v>471</v>
      </c>
      <c r="F417" s="13" t="s">
        <v>5212</v>
      </c>
      <c r="G417" s="13" t="s">
        <v>229</v>
      </c>
      <c r="H417" s="13" t="s">
        <v>7712</v>
      </c>
      <c r="J417" s="13" t="s">
        <v>106</v>
      </c>
      <c r="W417" s="13">
        <v>516</v>
      </c>
      <c r="X417" s="13">
        <v>516</v>
      </c>
      <c r="Y417" s="13" t="s">
        <v>107</v>
      </c>
      <c r="Z417" s="13" t="s">
        <v>108</v>
      </c>
      <c r="AA417" s="13" t="s">
        <v>107</v>
      </c>
      <c r="AB417" s="13" t="s">
        <v>5645</v>
      </c>
      <c r="AC417" s="13" t="s">
        <v>5645</v>
      </c>
      <c r="AD417" s="13" t="s">
        <v>5645</v>
      </c>
      <c r="AE417" s="13" t="s">
        <v>112</v>
      </c>
      <c r="AF417" s="13" t="s">
        <v>5645</v>
      </c>
      <c r="AG417" s="13" t="s">
        <v>5645</v>
      </c>
      <c r="AH417" s="13" t="s">
        <v>5646</v>
      </c>
      <c r="AL417" s="13" t="s">
        <v>5587</v>
      </c>
      <c r="AN417" s="13">
        <v>329</v>
      </c>
      <c r="AO417" s="13" t="s">
        <v>5647</v>
      </c>
      <c r="AQ417" s="13" t="s">
        <v>5645</v>
      </c>
      <c r="AR417" s="13" t="s">
        <v>5645</v>
      </c>
      <c r="AS417" s="13" t="s">
        <v>116</v>
      </c>
      <c r="AT417" s="13" t="s">
        <v>5589</v>
      </c>
      <c r="AU417" s="13" t="s">
        <v>5569</v>
      </c>
      <c r="AV417" s="13" t="s">
        <v>5525</v>
      </c>
      <c r="AY417" s="13" t="s">
        <v>5648</v>
      </c>
      <c r="AZ417" s="13" t="s">
        <v>5649</v>
      </c>
      <c r="BA417" s="13" t="s">
        <v>5649</v>
      </c>
      <c r="BB417" s="13" t="s">
        <v>5650</v>
      </c>
      <c r="BC417" s="13" t="s">
        <v>5650</v>
      </c>
      <c r="BD417" s="13">
        <f t="shared" si="14"/>
        <v>46</v>
      </c>
      <c r="BE417" s="17" t="s">
        <v>5573</v>
      </c>
      <c r="BF417" s="17"/>
      <c r="BG417" s="17"/>
      <c r="BH417" s="17"/>
      <c r="BI417" s="17"/>
      <c r="BJ417" s="17" t="s">
        <v>5552</v>
      </c>
      <c r="BK417" s="17"/>
      <c r="BL417" s="17"/>
      <c r="BM417" s="17"/>
      <c r="BN417" s="17" t="s">
        <v>5574</v>
      </c>
      <c r="BO417" s="17"/>
      <c r="BP417" s="17"/>
      <c r="BQ417" s="17"/>
      <c r="BR417" s="17"/>
      <c r="BS417" s="17" t="s">
        <v>127</v>
      </c>
      <c r="BT417" s="17"/>
      <c r="BU417" s="17" t="s">
        <v>129</v>
      </c>
      <c r="BV417" s="17"/>
      <c r="BW417" s="17"/>
      <c r="BX417" s="25" t="s">
        <v>5651</v>
      </c>
      <c r="DA417" s="13" t="s">
        <v>10348</v>
      </c>
      <c r="DB417" s="13" t="s">
        <v>10348</v>
      </c>
    </row>
    <row r="418" spans="1:106" s="13" customFormat="1" ht="12.75" customHeight="1" x14ac:dyDescent="0.2">
      <c r="A418" s="13" t="s">
        <v>102</v>
      </c>
      <c r="B418" s="13" t="s">
        <v>103</v>
      </c>
      <c r="D418" s="13" t="s">
        <v>4273</v>
      </c>
      <c r="E418" s="13" t="s">
        <v>4274</v>
      </c>
      <c r="F418" s="13" t="s">
        <v>4273</v>
      </c>
      <c r="H418" s="13" t="s">
        <v>7712</v>
      </c>
      <c r="J418" s="13" t="s">
        <v>106</v>
      </c>
      <c r="W418" s="13">
        <v>518</v>
      </c>
      <c r="X418" s="13">
        <v>518</v>
      </c>
      <c r="Y418" s="13" t="s">
        <v>107</v>
      </c>
      <c r="Z418" s="13" t="s">
        <v>108</v>
      </c>
      <c r="AA418" s="13" t="s">
        <v>107</v>
      </c>
      <c r="AB418" s="13" t="s">
        <v>5666</v>
      </c>
      <c r="AC418" s="13" t="s">
        <v>5666</v>
      </c>
      <c r="AD418" s="17">
        <v>500200</v>
      </c>
      <c r="AE418" s="13" t="s">
        <v>112</v>
      </c>
      <c r="AF418" s="13">
        <v>500200</v>
      </c>
      <c r="AG418" s="32" t="s">
        <v>5666</v>
      </c>
      <c r="AH418" s="13" t="s">
        <v>5667</v>
      </c>
      <c r="AL418" s="13" t="s">
        <v>5668</v>
      </c>
      <c r="AN418" s="13">
        <v>329</v>
      </c>
      <c r="AO418" s="13" t="s">
        <v>5669</v>
      </c>
      <c r="AQ418" s="13" t="s">
        <v>5666</v>
      </c>
      <c r="AR418" s="13" t="s">
        <v>5666</v>
      </c>
      <c r="AS418" s="13" t="s">
        <v>116</v>
      </c>
      <c r="AT418" s="13" t="s">
        <v>5668</v>
      </c>
      <c r="AU418" s="13" t="s">
        <v>5668</v>
      </c>
      <c r="AV418" s="13" t="s">
        <v>1127</v>
      </c>
      <c r="AY418" s="17" t="s">
        <v>5670</v>
      </c>
      <c r="AZ418" s="13" t="s">
        <v>5671</v>
      </c>
      <c r="BA418" s="13" t="s">
        <v>5671</v>
      </c>
      <c r="BB418" s="13" t="s">
        <v>5672</v>
      </c>
      <c r="BC418" s="13" t="s">
        <v>5672</v>
      </c>
      <c r="BD418" s="13">
        <f t="shared" si="14"/>
        <v>37</v>
      </c>
      <c r="BE418" s="17" t="s">
        <v>2453</v>
      </c>
      <c r="BF418" s="17" t="s">
        <v>1133</v>
      </c>
      <c r="BG418" s="17"/>
      <c r="BH418" s="17" t="s">
        <v>5673</v>
      </c>
      <c r="BI418" s="17"/>
      <c r="BJ418" s="17"/>
      <c r="BK418" s="17"/>
      <c r="BL418" s="17"/>
      <c r="BM418" s="17"/>
      <c r="BN418" s="17" t="s">
        <v>1163</v>
      </c>
      <c r="BO418" s="17" t="s">
        <v>4464</v>
      </c>
      <c r="BP418" s="17"/>
      <c r="BQ418" s="17"/>
      <c r="BR418" s="17"/>
      <c r="BS418" s="17" t="s">
        <v>127</v>
      </c>
      <c r="BT418" s="17"/>
      <c r="BU418" s="17" t="s">
        <v>129</v>
      </c>
      <c r="BV418" s="17"/>
      <c r="BW418" s="17"/>
      <c r="BX418" s="13" t="s">
        <v>5674</v>
      </c>
      <c r="BY418" s="13" t="s">
        <v>4286</v>
      </c>
      <c r="DA418" s="13" t="s">
        <v>10348</v>
      </c>
      <c r="DB418" s="13" t="s">
        <v>10348</v>
      </c>
    </row>
    <row r="419" spans="1:106" s="13" customFormat="1" ht="12.75" customHeight="1" x14ac:dyDescent="0.2">
      <c r="A419" s="13" t="s">
        <v>102</v>
      </c>
      <c r="B419" s="13" t="s">
        <v>103</v>
      </c>
      <c r="D419" s="13" t="s">
        <v>4273</v>
      </c>
      <c r="E419" s="13" t="s">
        <v>471</v>
      </c>
      <c r="F419" s="13" t="s">
        <v>4273</v>
      </c>
      <c r="H419" s="13" t="s">
        <v>7712</v>
      </c>
      <c r="J419" s="13" t="s">
        <v>106</v>
      </c>
      <c r="W419" s="13">
        <v>521</v>
      </c>
      <c r="X419" s="13">
        <v>521</v>
      </c>
      <c r="Y419" s="13" t="s">
        <v>107</v>
      </c>
      <c r="Z419" s="13" t="s">
        <v>108</v>
      </c>
      <c r="AA419" s="39" t="s">
        <v>107</v>
      </c>
      <c r="AB419" s="13" t="s">
        <v>5698</v>
      </c>
      <c r="AC419" s="13" t="s">
        <v>5698</v>
      </c>
      <c r="AD419" s="17">
        <v>501303</v>
      </c>
      <c r="AE419" s="39" t="s">
        <v>112</v>
      </c>
      <c r="AF419" s="13">
        <v>501303</v>
      </c>
      <c r="AG419" s="32" t="s">
        <v>5698</v>
      </c>
      <c r="AH419" s="13" t="s">
        <v>5699</v>
      </c>
      <c r="AL419" s="13" t="s">
        <v>5700</v>
      </c>
      <c r="AN419" s="13">
        <v>329</v>
      </c>
      <c r="AO419" s="13" t="s">
        <v>5701</v>
      </c>
      <c r="AQ419" s="13" t="s">
        <v>5698</v>
      </c>
      <c r="AR419" s="13" t="s">
        <v>5698</v>
      </c>
      <c r="AS419" s="13" t="s">
        <v>116</v>
      </c>
      <c r="AT419" s="13" t="s">
        <v>5702</v>
      </c>
      <c r="AU419" s="13" t="s">
        <v>5702</v>
      </c>
      <c r="AV419" s="13" t="s">
        <v>5703</v>
      </c>
      <c r="AY419" s="17" t="s">
        <v>5700</v>
      </c>
      <c r="AZ419" s="13" t="s">
        <v>5704</v>
      </c>
      <c r="BA419" s="13" t="s">
        <v>5704</v>
      </c>
      <c r="BB419" s="13" t="s">
        <v>5705</v>
      </c>
      <c r="BC419" s="13" t="s">
        <v>5705</v>
      </c>
      <c r="BD419" s="13">
        <f t="shared" si="14"/>
        <v>29</v>
      </c>
      <c r="BE419" s="17" t="s">
        <v>5706</v>
      </c>
      <c r="BF419" s="17" t="s">
        <v>1287</v>
      </c>
      <c r="BG419" s="17"/>
      <c r="BH419" s="17"/>
      <c r="BI419" s="17"/>
      <c r="BJ419" s="17"/>
      <c r="BK419" s="17"/>
      <c r="BL419" s="17"/>
      <c r="BM419" s="17"/>
      <c r="BN419" s="17"/>
      <c r="BO419" s="17" t="s">
        <v>5707</v>
      </c>
      <c r="BP419" s="17"/>
      <c r="BQ419" s="17"/>
      <c r="BR419" s="17"/>
      <c r="BS419" s="17" t="s">
        <v>127</v>
      </c>
      <c r="BT419" s="17"/>
      <c r="BU419" s="17" t="s">
        <v>129</v>
      </c>
      <c r="BV419" s="17"/>
      <c r="BW419" s="17"/>
      <c r="BX419" s="13" t="s">
        <v>5708</v>
      </c>
      <c r="DA419" s="13" t="s">
        <v>10348</v>
      </c>
      <c r="DB419" s="13" t="s">
        <v>10348</v>
      </c>
    </row>
    <row r="420" spans="1:106" s="13" customFormat="1" ht="12.75" customHeight="1" x14ac:dyDescent="0.2">
      <c r="A420" s="13" t="s">
        <v>102</v>
      </c>
      <c r="B420" s="13" t="s">
        <v>103</v>
      </c>
      <c r="D420" s="13" t="s">
        <v>820</v>
      </c>
      <c r="E420" s="13" t="s">
        <v>228</v>
      </c>
      <c r="F420" s="13" t="s">
        <v>820</v>
      </c>
      <c r="G420" s="13" t="s">
        <v>229</v>
      </c>
      <c r="H420" s="13" t="s">
        <v>7712</v>
      </c>
      <c r="J420" s="13" t="s">
        <v>106</v>
      </c>
      <c r="W420" s="13">
        <v>54</v>
      </c>
      <c r="X420" s="13">
        <v>54</v>
      </c>
      <c r="Y420" s="13" t="s">
        <v>107</v>
      </c>
      <c r="Z420" s="13" t="s">
        <v>108</v>
      </c>
      <c r="AA420" s="13" t="s">
        <v>107</v>
      </c>
      <c r="AB420" s="13" t="s">
        <v>821</v>
      </c>
      <c r="AC420" s="13" t="s">
        <v>821</v>
      </c>
      <c r="AD420" s="13" t="s">
        <v>821</v>
      </c>
      <c r="AE420" s="13" t="s">
        <v>112</v>
      </c>
      <c r="AF420" s="13" t="s">
        <v>821</v>
      </c>
      <c r="AG420" s="13" t="s">
        <v>821</v>
      </c>
      <c r="AH420" s="13" t="s">
        <v>822</v>
      </c>
      <c r="AL420" s="13" t="s">
        <v>823</v>
      </c>
      <c r="AN420" s="13">
        <v>329</v>
      </c>
      <c r="AO420" s="13" t="s">
        <v>824</v>
      </c>
      <c r="AQ420" s="13" t="s">
        <v>821</v>
      </c>
      <c r="AR420" s="13" t="s">
        <v>821</v>
      </c>
      <c r="AS420" s="13" t="s">
        <v>116</v>
      </c>
      <c r="AT420" s="13" t="s">
        <v>825</v>
      </c>
      <c r="AU420" s="13" t="s">
        <v>826</v>
      </c>
      <c r="AV420" s="13" t="s">
        <v>827</v>
      </c>
      <c r="AW420" s="13" t="s">
        <v>828</v>
      </c>
      <c r="AX420" s="13" t="s">
        <v>829</v>
      </c>
      <c r="AY420" s="13" t="s">
        <v>830</v>
      </c>
      <c r="AZ420" s="13" t="s">
        <v>831</v>
      </c>
      <c r="BA420" s="13" t="s">
        <v>831</v>
      </c>
      <c r="BB420" s="13" t="s">
        <v>832</v>
      </c>
      <c r="BC420" s="13" t="s">
        <v>833</v>
      </c>
      <c r="BD420" s="13">
        <f t="shared" si="14"/>
        <v>59</v>
      </c>
      <c r="BE420" s="17" t="s">
        <v>834</v>
      </c>
      <c r="BF420" s="17" t="s">
        <v>736</v>
      </c>
      <c r="BG420" s="17" t="s">
        <v>751</v>
      </c>
      <c r="BH420" s="17" t="s">
        <v>835</v>
      </c>
      <c r="BJ420" s="31" t="s">
        <v>836</v>
      </c>
      <c r="BS420" s="17" t="s">
        <v>127</v>
      </c>
      <c r="BT420" s="17" t="s">
        <v>837</v>
      </c>
      <c r="BU420" s="17" t="s">
        <v>129</v>
      </c>
      <c r="BX420" s="13" t="s">
        <v>838</v>
      </c>
      <c r="DA420" s="13" t="s">
        <v>10348</v>
      </c>
      <c r="DB420" s="13" t="s">
        <v>10348</v>
      </c>
    </row>
    <row r="421" spans="1:106" s="13" customFormat="1" ht="12.75" customHeight="1" x14ac:dyDescent="0.2">
      <c r="A421" s="13" t="s">
        <v>102</v>
      </c>
      <c r="B421" s="13" t="s">
        <v>103</v>
      </c>
      <c r="D421" s="13" t="s">
        <v>820</v>
      </c>
      <c r="E421" s="13" t="s">
        <v>228</v>
      </c>
      <c r="F421" s="13" t="s">
        <v>820</v>
      </c>
      <c r="G421" s="13" t="s">
        <v>229</v>
      </c>
      <c r="H421" s="13" t="s">
        <v>7712</v>
      </c>
      <c r="J421" s="13" t="s">
        <v>106</v>
      </c>
      <c r="W421" s="13">
        <v>55</v>
      </c>
      <c r="X421" s="13">
        <v>55</v>
      </c>
      <c r="Y421" s="13" t="s">
        <v>107</v>
      </c>
      <c r="Z421" s="13" t="s">
        <v>108</v>
      </c>
      <c r="AA421" s="13" t="s">
        <v>107</v>
      </c>
      <c r="AB421" s="13" t="s">
        <v>839</v>
      </c>
      <c r="AC421" s="13" t="s">
        <v>839</v>
      </c>
      <c r="AD421" s="13" t="s">
        <v>839</v>
      </c>
      <c r="AE421" s="13" t="s">
        <v>112</v>
      </c>
      <c r="AF421" s="13" t="s">
        <v>839</v>
      </c>
      <c r="AG421" s="13" t="s">
        <v>839</v>
      </c>
      <c r="AH421" s="13" t="s">
        <v>840</v>
      </c>
      <c r="AL421" s="13" t="s">
        <v>841</v>
      </c>
      <c r="AN421" s="13">
        <v>329</v>
      </c>
      <c r="AO421" s="13" t="s">
        <v>842</v>
      </c>
      <c r="AQ421" s="13" t="s">
        <v>839</v>
      </c>
      <c r="AR421" s="13" t="s">
        <v>839</v>
      </c>
      <c r="AS421" s="13" t="s">
        <v>116</v>
      </c>
      <c r="AT421" s="13" t="s">
        <v>843</v>
      </c>
      <c r="AU421" s="13" t="s">
        <v>844</v>
      </c>
      <c r="AV421" s="13" t="s">
        <v>827</v>
      </c>
      <c r="AW421" s="13" t="s">
        <v>828</v>
      </c>
      <c r="AX421" s="13" t="s">
        <v>829</v>
      </c>
      <c r="AY421" s="13" t="s">
        <v>845</v>
      </c>
      <c r="AZ421" s="13" t="s">
        <v>846</v>
      </c>
      <c r="BA421" s="13" t="s">
        <v>846</v>
      </c>
      <c r="BB421" s="13" t="s">
        <v>847</v>
      </c>
      <c r="BC421" s="13" t="s">
        <v>848</v>
      </c>
      <c r="BD421" s="13">
        <f t="shared" ref="BD421:BD452" si="15">LEN(SUBSTITUTE(BC421, ", "," "))</f>
        <v>60</v>
      </c>
      <c r="BE421" s="17" t="s">
        <v>834</v>
      </c>
      <c r="BF421" s="17" t="s">
        <v>736</v>
      </c>
      <c r="BG421" s="17" t="s">
        <v>751</v>
      </c>
      <c r="BH421" s="17" t="s">
        <v>835</v>
      </c>
      <c r="BJ421" s="31" t="s">
        <v>849</v>
      </c>
      <c r="BS421" s="17" t="s">
        <v>127</v>
      </c>
      <c r="BT421" s="17" t="s">
        <v>837</v>
      </c>
      <c r="BU421" s="17" t="s">
        <v>129</v>
      </c>
      <c r="BX421" s="13" t="s">
        <v>850</v>
      </c>
      <c r="DA421" s="13" t="s">
        <v>10348</v>
      </c>
      <c r="DB421" s="13" t="s">
        <v>10348</v>
      </c>
    </row>
    <row r="422" spans="1:106" s="13" customFormat="1" ht="12.75" customHeight="1" x14ac:dyDescent="0.2">
      <c r="A422" s="13" t="s">
        <v>102</v>
      </c>
      <c r="B422" s="13" t="s">
        <v>103</v>
      </c>
      <c r="D422" s="13" t="s">
        <v>820</v>
      </c>
      <c r="E422" s="13" t="s">
        <v>228</v>
      </c>
      <c r="F422" s="13" t="s">
        <v>820</v>
      </c>
      <c r="G422" s="13" t="s">
        <v>229</v>
      </c>
      <c r="H422" s="13" t="s">
        <v>7712</v>
      </c>
      <c r="J422" s="13" t="s">
        <v>106</v>
      </c>
      <c r="W422" s="13">
        <v>56</v>
      </c>
      <c r="X422" s="13">
        <v>56</v>
      </c>
      <c r="Y422" s="13" t="s">
        <v>107</v>
      </c>
      <c r="Z422" s="13" t="s">
        <v>108</v>
      </c>
      <c r="AA422" s="13" t="s">
        <v>107</v>
      </c>
      <c r="AB422" s="13" t="s">
        <v>851</v>
      </c>
      <c r="AC422" s="13" t="s">
        <v>851</v>
      </c>
      <c r="AD422" s="13" t="s">
        <v>851</v>
      </c>
      <c r="AE422" s="13" t="s">
        <v>112</v>
      </c>
      <c r="AF422" s="13" t="s">
        <v>851</v>
      </c>
      <c r="AG422" s="13" t="s">
        <v>851</v>
      </c>
      <c r="AH422" s="13" t="s">
        <v>852</v>
      </c>
      <c r="AL422" s="13" t="s">
        <v>853</v>
      </c>
      <c r="AN422" s="13">
        <v>329</v>
      </c>
      <c r="AO422" s="13" t="s">
        <v>854</v>
      </c>
      <c r="AQ422" s="13" t="s">
        <v>851</v>
      </c>
      <c r="AR422" s="13" t="s">
        <v>851</v>
      </c>
      <c r="AS422" s="13" t="s">
        <v>116</v>
      </c>
      <c r="AT422" s="13" t="s">
        <v>855</v>
      </c>
      <c r="AU422" s="13" t="s">
        <v>826</v>
      </c>
      <c r="AV422" s="13" t="s">
        <v>827</v>
      </c>
      <c r="AW422" s="13" t="s">
        <v>828</v>
      </c>
      <c r="AX422" s="13" t="s">
        <v>829</v>
      </c>
      <c r="AY422" s="13" t="s">
        <v>856</v>
      </c>
      <c r="AZ422" s="13" t="s">
        <v>857</v>
      </c>
      <c r="BA422" s="13" t="s">
        <v>857</v>
      </c>
      <c r="BB422" s="13" t="s">
        <v>858</v>
      </c>
      <c r="BC422" s="13" t="s">
        <v>859</v>
      </c>
      <c r="BD422" s="13">
        <f t="shared" si="15"/>
        <v>60</v>
      </c>
      <c r="BE422" s="17" t="s">
        <v>834</v>
      </c>
      <c r="BF422" s="17" t="s">
        <v>736</v>
      </c>
      <c r="BG422" s="17" t="s">
        <v>751</v>
      </c>
      <c r="BH422" s="17" t="s">
        <v>835</v>
      </c>
      <c r="BJ422" s="31" t="s">
        <v>860</v>
      </c>
      <c r="BS422" s="17" t="s">
        <v>127</v>
      </c>
      <c r="BT422" s="17" t="s">
        <v>837</v>
      </c>
      <c r="BU422" s="17" t="s">
        <v>129</v>
      </c>
      <c r="BX422" s="13" t="s">
        <v>861</v>
      </c>
      <c r="DA422" s="13" t="s">
        <v>10348</v>
      </c>
      <c r="DB422" s="13" t="s">
        <v>10348</v>
      </c>
    </row>
    <row r="423" spans="1:106" s="13" customFormat="1" ht="12.75" customHeight="1" x14ac:dyDescent="0.2">
      <c r="A423" s="13" t="s">
        <v>102</v>
      </c>
      <c r="B423" s="13" t="s">
        <v>103</v>
      </c>
      <c r="D423" s="13" t="s">
        <v>820</v>
      </c>
      <c r="E423" s="13" t="s">
        <v>228</v>
      </c>
      <c r="F423" s="13" t="s">
        <v>820</v>
      </c>
      <c r="G423" s="13" t="s">
        <v>229</v>
      </c>
      <c r="H423" s="13" t="s">
        <v>7712</v>
      </c>
      <c r="J423" s="13" t="s">
        <v>106</v>
      </c>
      <c r="W423" s="13">
        <v>57</v>
      </c>
      <c r="X423" s="13">
        <v>57</v>
      </c>
      <c r="Y423" s="13" t="s">
        <v>107</v>
      </c>
      <c r="Z423" s="13" t="s">
        <v>108</v>
      </c>
      <c r="AA423" s="13" t="s">
        <v>107</v>
      </c>
      <c r="AB423" s="13" t="s">
        <v>862</v>
      </c>
      <c r="AC423" s="13" t="s">
        <v>862</v>
      </c>
      <c r="AD423" s="13" t="s">
        <v>862</v>
      </c>
      <c r="AE423" s="13" t="s">
        <v>112</v>
      </c>
      <c r="AF423" s="13" t="s">
        <v>862</v>
      </c>
      <c r="AG423" s="13" t="s">
        <v>862</v>
      </c>
      <c r="AH423" s="13" t="s">
        <v>863</v>
      </c>
      <c r="AL423" s="13" t="s">
        <v>864</v>
      </c>
      <c r="AN423" s="13">
        <v>329</v>
      </c>
      <c r="AO423" s="13" t="s">
        <v>865</v>
      </c>
      <c r="AQ423" s="13" t="s">
        <v>862</v>
      </c>
      <c r="AR423" s="13" t="s">
        <v>862</v>
      </c>
      <c r="AS423" s="13" t="s">
        <v>116</v>
      </c>
      <c r="AT423" s="13" t="s">
        <v>866</v>
      </c>
      <c r="AU423" s="13" t="s">
        <v>826</v>
      </c>
      <c r="AV423" s="13" t="s">
        <v>827</v>
      </c>
      <c r="AW423" s="13" t="s">
        <v>828</v>
      </c>
      <c r="AX423" s="13" t="s">
        <v>829</v>
      </c>
      <c r="AY423" s="13" t="s">
        <v>867</v>
      </c>
      <c r="AZ423" s="13" t="s">
        <v>868</v>
      </c>
      <c r="BA423" s="13" t="s">
        <v>868</v>
      </c>
      <c r="BB423" s="13" t="s">
        <v>869</v>
      </c>
      <c r="BC423" s="13" t="s">
        <v>870</v>
      </c>
      <c r="BD423" s="13">
        <f t="shared" si="15"/>
        <v>60</v>
      </c>
      <c r="BE423" s="17" t="s">
        <v>834</v>
      </c>
      <c r="BF423" s="17" t="s">
        <v>736</v>
      </c>
      <c r="BG423" s="17" t="s">
        <v>751</v>
      </c>
      <c r="BH423" s="17" t="s">
        <v>835</v>
      </c>
      <c r="BJ423" s="31" t="s">
        <v>871</v>
      </c>
      <c r="BS423" s="17" t="s">
        <v>127</v>
      </c>
      <c r="BT423" s="17" t="s">
        <v>837</v>
      </c>
      <c r="BU423" s="17" t="s">
        <v>129</v>
      </c>
      <c r="BX423" s="13" t="s">
        <v>872</v>
      </c>
      <c r="DA423" s="13" t="s">
        <v>10348</v>
      </c>
      <c r="DB423" s="13" t="s">
        <v>10348</v>
      </c>
    </row>
    <row r="424" spans="1:106" s="13" customFormat="1" ht="12.75" customHeight="1" x14ac:dyDescent="0.2">
      <c r="A424" s="13" t="s">
        <v>102</v>
      </c>
      <c r="B424" s="13" t="s">
        <v>103</v>
      </c>
      <c r="D424" s="13" t="s">
        <v>820</v>
      </c>
      <c r="E424" s="13" t="s">
        <v>228</v>
      </c>
      <c r="F424" s="13" t="s">
        <v>820</v>
      </c>
      <c r="G424" s="13" t="s">
        <v>229</v>
      </c>
      <c r="H424" s="13" t="s">
        <v>7712</v>
      </c>
      <c r="J424" s="13" t="s">
        <v>106</v>
      </c>
      <c r="W424" s="13">
        <v>58</v>
      </c>
      <c r="X424" s="13">
        <v>58</v>
      </c>
      <c r="Y424" s="13" t="s">
        <v>107</v>
      </c>
      <c r="Z424" s="13" t="s">
        <v>108</v>
      </c>
      <c r="AA424" s="13" t="s">
        <v>107</v>
      </c>
      <c r="AB424" s="13" t="s">
        <v>873</v>
      </c>
      <c r="AC424" s="13" t="s">
        <v>873</v>
      </c>
      <c r="AD424" s="13" t="s">
        <v>873</v>
      </c>
      <c r="AE424" s="13" t="s">
        <v>112</v>
      </c>
      <c r="AF424" s="13" t="s">
        <v>873</v>
      </c>
      <c r="AG424" s="13" t="s">
        <v>873</v>
      </c>
      <c r="AH424" s="13" t="s">
        <v>874</v>
      </c>
      <c r="AL424" s="13" t="s">
        <v>875</v>
      </c>
      <c r="AN424" s="13">
        <v>329</v>
      </c>
      <c r="AO424" s="13" t="s">
        <v>876</v>
      </c>
      <c r="AQ424" s="13" t="s">
        <v>873</v>
      </c>
      <c r="AR424" s="13" t="s">
        <v>873</v>
      </c>
      <c r="AS424" s="13" t="s">
        <v>116</v>
      </c>
      <c r="AT424" s="13" t="s">
        <v>877</v>
      </c>
      <c r="AU424" s="13" t="s">
        <v>826</v>
      </c>
      <c r="AV424" s="13" t="s">
        <v>827</v>
      </c>
      <c r="AW424" s="13" t="s">
        <v>828</v>
      </c>
      <c r="AX424" s="13" t="s">
        <v>829</v>
      </c>
      <c r="AY424" s="13" t="s">
        <v>878</v>
      </c>
      <c r="AZ424" s="13" t="s">
        <v>879</v>
      </c>
      <c r="BA424" s="13" t="s">
        <v>879</v>
      </c>
      <c r="BB424" s="13" t="s">
        <v>880</v>
      </c>
      <c r="BC424" s="13" t="s">
        <v>881</v>
      </c>
      <c r="BD424" s="13">
        <f t="shared" si="15"/>
        <v>59</v>
      </c>
      <c r="BE424" s="17" t="s">
        <v>834</v>
      </c>
      <c r="BF424" s="17" t="s">
        <v>736</v>
      </c>
      <c r="BG424" s="17" t="s">
        <v>751</v>
      </c>
      <c r="BH424" s="17" t="s">
        <v>882</v>
      </c>
      <c r="BJ424" s="31" t="s">
        <v>883</v>
      </c>
      <c r="BS424" s="17" t="s">
        <v>127</v>
      </c>
      <c r="BT424" s="17" t="s">
        <v>837</v>
      </c>
      <c r="BU424" s="17" t="s">
        <v>129</v>
      </c>
      <c r="BX424" s="13" t="s">
        <v>884</v>
      </c>
      <c r="DA424" s="13" t="s">
        <v>10348</v>
      </c>
      <c r="DB424" s="13" t="s">
        <v>10348</v>
      </c>
    </row>
    <row r="425" spans="1:106" s="13" customFormat="1" ht="12.75" customHeight="1" x14ac:dyDescent="0.2">
      <c r="A425" s="13" t="s">
        <v>102</v>
      </c>
      <c r="B425" s="13" t="s">
        <v>103</v>
      </c>
      <c r="D425" s="13" t="s">
        <v>820</v>
      </c>
      <c r="E425" s="13" t="s">
        <v>228</v>
      </c>
      <c r="F425" s="13" t="s">
        <v>820</v>
      </c>
      <c r="G425" s="13" t="s">
        <v>229</v>
      </c>
      <c r="H425" s="13" t="s">
        <v>7712</v>
      </c>
      <c r="J425" s="13" t="s">
        <v>106</v>
      </c>
      <c r="W425" s="13">
        <v>59</v>
      </c>
      <c r="X425" s="13">
        <v>59</v>
      </c>
      <c r="Y425" s="13" t="s">
        <v>107</v>
      </c>
      <c r="Z425" s="13" t="s">
        <v>108</v>
      </c>
      <c r="AA425" s="13" t="s">
        <v>107</v>
      </c>
      <c r="AB425" s="13" t="s">
        <v>885</v>
      </c>
      <c r="AC425" s="13" t="s">
        <v>885</v>
      </c>
      <c r="AD425" s="13" t="s">
        <v>885</v>
      </c>
      <c r="AE425" s="13" t="s">
        <v>112</v>
      </c>
      <c r="AF425" s="13" t="s">
        <v>885</v>
      </c>
      <c r="AG425" s="13" t="s">
        <v>885</v>
      </c>
      <c r="AH425" s="13" t="s">
        <v>886</v>
      </c>
      <c r="AL425" s="13" t="s">
        <v>887</v>
      </c>
      <c r="AN425" s="13">
        <v>329</v>
      </c>
      <c r="AO425" s="13" t="s">
        <v>888</v>
      </c>
      <c r="AQ425" s="13" t="s">
        <v>885</v>
      </c>
      <c r="AR425" s="13" t="s">
        <v>885</v>
      </c>
      <c r="AS425" s="13" t="s">
        <v>116</v>
      </c>
      <c r="AT425" s="13" t="s">
        <v>889</v>
      </c>
      <c r="AU425" s="13" t="s">
        <v>826</v>
      </c>
      <c r="AV425" s="13" t="s">
        <v>827</v>
      </c>
      <c r="AW425" s="13" t="s">
        <v>828</v>
      </c>
      <c r="AX425" s="13" t="s">
        <v>829</v>
      </c>
      <c r="AY425" s="13" t="s">
        <v>890</v>
      </c>
      <c r="AZ425" s="13" t="s">
        <v>891</v>
      </c>
      <c r="BA425" s="13" t="s">
        <v>891</v>
      </c>
      <c r="BB425" s="13" t="s">
        <v>892</v>
      </c>
      <c r="BC425" s="13" t="s">
        <v>893</v>
      </c>
      <c r="BD425" s="13">
        <f t="shared" si="15"/>
        <v>60</v>
      </c>
      <c r="BE425" s="17" t="s">
        <v>834</v>
      </c>
      <c r="BF425" s="17" t="s">
        <v>736</v>
      </c>
      <c r="BG425" s="17" t="s">
        <v>751</v>
      </c>
      <c r="BH425" s="17" t="s">
        <v>882</v>
      </c>
      <c r="BJ425" s="31" t="s">
        <v>849</v>
      </c>
      <c r="BS425" s="17" t="s">
        <v>127</v>
      </c>
      <c r="BT425" s="17" t="s">
        <v>837</v>
      </c>
      <c r="BU425" s="17" t="s">
        <v>129</v>
      </c>
      <c r="BX425" s="13" t="s">
        <v>894</v>
      </c>
      <c r="DA425" s="13" t="s">
        <v>10348</v>
      </c>
      <c r="DB425" s="13" t="s">
        <v>10348</v>
      </c>
    </row>
    <row r="426" spans="1:106" s="13" customFormat="1" ht="12.75" customHeight="1" x14ac:dyDescent="0.2">
      <c r="A426" s="13" t="s">
        <v>102</v>
      </c>
      <c r="B426" s="13" t="s">
        <v>103</v>
      </c>
      <c r="D426" s="13" t="s">
        <v>820</v>
      </c>
      <c r="E426" s="13" t="s">
        <v>228</v>
      </c>
      <c r="F426" s="13" t="s">
        <v>820</v>
      </c>
      <c r="G426" s="13" t="s">
        <v>229</v>
      </c>
      <c r="H426" s="13" t="s">
        <v>7712</v>
      </c>
      <c r="J426" s="13" t="s">
        <v>106</v>
      </c>
      <c r="W426" s="13">
        <v>60</v>
      </c>
      <c r="X426" s="13">
        <v>60</v>
      </c>
      <c r="Y426" s="13" t="s">
        <v>107</v>
      </c>
      <c r="Z426" s="13" t="s">
        <v>108</v>
      </c>
      <c r="AA426" s="13" t="s">
        <v>107</v>
      </c>
      <c r="AB426" s="13" t="s">
        <v>895</v>
      </c>
      <c r="AC426" s="13" t="s">
        <v>895</v>
      </c>
      <c r="AD426" s="13" t="s">
        <v>895</v>
      </c>
      <c r="AE426" s="13" t="s">
        <v>112</v>
      </c>
      <c r="AF426" s="13" t="s">
        <v>895</v>
      </c>
      <c r="AG426" s="13" t="s">
        <v>895</v>
      </c>
      <c r="AH426" s="13" t="s">
        <v>896</v>
      </c>
      <c r="AL426" s="13" t="s">
        <v>897</v>
      </c>
      <c r="AN426" s="13">
        <v>329</v>
      </c>
      <c r="AO426" s="13" t="s">
        <v>898</v>
      </c>
      <c r="AQ426" s="13" t="s">
        <v>895</v>
      </c>
      <c r="AR426" s="13" t="s">
        <v>895</v>
      </c>
      <c r="AS426" s="13" t="s">
        <v>116</v>
      </c>
      <c r="AT426" s="13" t="s">
        <v>899</v>
      </c>
      <c r="AU426" s="13" t="s">
        <v>826</v>
      </c>
      <c r="AV426" s="13" t="s">
        <v>827</v>
      </c>
      <c r="AW426" s="13" t="s">
        <v>828</v>
      </c>
      <c r="AX426" s="13" t="s">
        <v>829</v>
      </c>
      <c r="AY426" s="13" t="s">
        <v>900</v>
      </c>
      <c r="AZ426" s="13" t="s">
        <v>901</v>
      </c>
      <c r="BA426" s="13" t="s">
        <v>901</v>
      </c>
      <c r="BB426" s="13" t="s">
        <v>902</v>
      </c>
      <c r="BC426" s="13" t="s">
        <v>903</v>
      </c>
      <c r="BD426" s="13">
        <f t="shared" si="15"/>
        <v>60</v>
      </c>
      <c r="BE426" s="17" t="s">
        <v>834</v>
      </c>
      <c r="BF426" s="17" t="s">
        <v>736</v>
      </c>
      <c r="BG426" s="17" t="s">
        <v>751</v>
      </c>
      <c r="BH426" s="17" t="s">
        <v>882</v>
      </c>
      <c r="BJ426" s="31" t="s">
        <v>860</v>
      </c>
      <c r="BS426" s="17" t="s">
        <v>127</v>
      </c>
      <c r="BT426" s="17" t="s">
        <v>837</v>
      </c>
      <c r="BU426" s="17" t="s">
        <v>129</v>
      </c>
      <c r="BX426" s="13" t="s">
        <v>904</v>
      </c>
      <c r="DA426" s="13" t="s">
        <v>10348</v>
      </c>
      <c r="DB426" s="13" t="s">
        <v>10348</v>
      </c>
    </row>
    <row r="427" spans="1:106" s="13" customFormat="1" ht="12.75" customHeight="1" x14ac:dyDescent="0.2">
      <c r="A427" s="13" t="s">
        <v>102</v>
      </c>
      <c r="B427" s="13" t="s">
        <v>103</v>
      </c>
      <c r="D427" s="13" t="s">
        <v>820</v>
      </c>
      <c r="E427" s="13" t="s">
        <v>228</v>
      </c>
      <c r="F427" s="13" t="s">
        <v>820</v>
      </c>
      <c r="G427" s="13" t="s">
        <v>229</v>
      </c>
      <c r="H427" s="13" t="s">
        <v>7712</v>
      </c>
      <c r="J427" s="13" t="s">
        <v>106</v>
      </c>
      <c r="W427" s="13">
        <v>61</v>
      </c>
      <c r="X427" s="13">
        <v>61</v>
      </c>
      <c r="Y427" s="13" t="s">
        <v>107</v>
      </c>
      <c r="Z427" s="13" t="s">
        <v>108</v>
      </c>
      <c r="AA427" s="13" t="s">
        <v>107</v>
      </c>
      <c r="AB427" s="13" t="s">
        <v>905</v>
      </c>
      <c r="AC427" s="13" t="s">
        <v>905</v>
      </c>
      <c r="AD427" s="13" t="s">
        <v>905</v>
      </c>
      <c r="AE427" s="13" t="s">
        <v>112</v>
      </c>
      <c r="AF427" s="13" t="s">
        <v>905</v>
      </c>
      <c r="AG427" s="13" t="s">
        <v>905</v>
      </c>
      <c r="AH427" s="13" t="s">
        <v>906</v>
      </c>
      <c r="AL427" s="13" t="s">
        <v>907</v>
      </c>
      <c r="AN427" s="13">
        <v>329</v>
      </c>
      <c r="AO427" s="13" t="s">
        <v>908</v>
      </c>
      <c r="AQ427" s="13" t="s">
        <v>905</v>
      </c>
      <c r="AR427" s="13" t="s">
        <v>905</v>
      </c>
      <c r="AS427" s="13" t="s">
        <v>116</v>
      </c>
      <c r="AT427" s="13" t="s">
        <v>909</v>
      </c>
      <c r="AU427" s="13" t="s">
        <v>826</v>
      </c>
      <c r="AV427" s="13" t="s">
        <v>827</v>
      </c>
      <c r="AW427" s="13" t="s">
        <v>828</v>
      </c>
      <c r="AX427" s="13" t="s">
        <v>829</v>
      </c>
      <c r="AY427" s="13" t="s">
        <v>910</v>
      </c>
      <c r="AZ427" s="13" t="s">
        <v>911</v>
      </c>
      <c r="BA427" s="13" t="s">
        <v>911</v>
      </c>
      <c r="BB427" s="13" t="s">
        <v>912</v>
      </c>
      <c r="BC427" s="13" t="s">
        <v>913</v>
      </c>
      <c r="BD427" s="13">
        <f t="shared" si="15"/>
        <v>60</v>
      </c>
      <c r="BE427" s="17" t="s">
        <v>834</v>
      </c>
      <c r="BF427" s="17" t="s">
        <v>736</v>
      </c>
      <c r="BG427" s="17" t="s">
        <v>751</v>
      </c>
      <c r="BH427" s="17" t="s">
        <v>882</v>
      </c>
      <c r="BJ427" s="31" t="s">
        <v>871</v>
      </c>
      <c r="BS427" s="17" t="s">
        <v>127</v>
      </c>
      <c r="BT427" s="17" t="s">
        <v>837</v>
      </c>
      <c r="BU427" s="17" t="s">
        <v>129</v>
      </c>
      <c r="BX427" s="13" t="s">
        <v>914</v>
      </c>
      <c r="DA427" s="13" t="s">
        <v>10348</v>
      </c>
      <c r="DB427" s="13" t="s">
        <v>10348</v>
      </c>
    </row>
    <row r="428" spans="1:106" s="13" customFormat="1" ht="12.75" customHeight="1" x14ac:dyDescent="0.2">
      <c r="A428" s="13" t="s">
        <v>102</v>
      </c>
      <c r="B428" s="13" t="s">
        <v>103</v>
      </c>
      <c r="D428" s="13" t="s">
        <v>820</v>
      </c>
      <c r="E428" s="13" t="s">
        <v>228</v>
      </c>
      <c r="F428" s="13" t="s">
        <v>820</v>
      </c>
      <c r="G428" s="13" t="s">
        <v>229</v>
      </c>
      <c r="H428" s="13" t="s">
        <v>7712</v>
      </c>
      <c r="J428" s="13" t="s">
        <v>106</v>
      </c>
      <c r="W428" s="13">
        <v>62</v>
      </c>
      <c r="X428" s="13">
        <v>62</v>
      </c>
      <c r="Y428" s="13" t="s">
        <v>107</v>
      </c>
      <c r="Z428" s="13" t="s">
        <v>108</v>
      </c>
      <c r="AA428" s="13" t="s">
        <v>107</v>
      </c>
      <c r="AB428" s="13" t="s">
        <v>915</v>
      </c>
      <c r="AC428" s="13" t="s">
        <v>915</v>
      </c>
      <c r="AD428" s="13" t="s">
        <v>915</v>
      </c>
      <c r="AE428" s="13" t="s">
        <v>112</v>
      </c>
      <c r="AF428" s="13" t="s">
        <v>915</v>
      </c>
      <c r="AG428" s="13" t="s">
        <v>915</v>
      </c>
      <c r="AH428" s="13" t="s">
        <v>916</v>
      </c>
      <c r="AL428" s="13" t="s">
        <v>917</v>
      </c>
      <c r="AN428" s="13">
        <v>329</v>
      </c>
      <c r="AO428" s="13" t="s">
        <v>918</v>
      </c>
      <c r="AQ428" s="13" t="s">
        <v>915</v>
      </c>
      <c r="AR428" s="13" t="s">
        <v>915</v>
      </c>
      <c r="AS428" s="13" t="s">
        <v>116</v>
      </c>
      <c r="AT428" s="13" t="s">
        <v>919</v>
      </c>
      <c r="AU428" s="13" t="s">
        <v>844</v>
      </c>
      <c r="AV428" s="13" t="s">
        <v>827</v>
      </c>
      <c r="AW428" s="13" t="s">
        <v>828</v>
      </c>
      <c r="AX428" s="13" t="s">
        <v>829</v>
      </c>
      <c r="AY428" s="13" t="s">
        <v>920</v>
      </c>
      <c r="AZ428" s="13" t="s">
        <v>921</v>
      </c>
      <c r="BA428" s="13" t="s">
        <v>921</v>
      </c>
      <c r="BB428" s="13" t="s">
        <v>922</v>
      </c>
      <c r="BC428" s="13" t="s">
        <v>923</v>
      </c>
      <c r="BD428" s="13">
        <f t="shared" si="15"/>
        <v>57</v>
      </c>
      <c r="BE428" s="17" t="s">
        <v>834</v>
      </c>
      <c r="BF428" s="17" t="s">
        <v>736</v>
      </c>
      <c r="BG428" s="17" t="s">
        <v>924</v>
      </c>
      <c r="BH428" s="17" t="s">
        <v>835</v>
      </c>
      <c r="BJ428" s="31" t="s">
        <v>836</v>
      </c>
      <c r="BS428" s="17" t="s">
        <v>127</v>
      </c>
      <c r="BT428" s="17" t="s">
        <v>837</v>
      </c>
      <c r="BU428" s="17" t="s">
        <v>129</v>
      </c>
      <c r="BW428" s="17" t="s">
        <v>925</v>
      </c>
      <c r="BX428" s="13" t="s">
        <v>926</v>
      </c>
      <c r="DA428" s="13" t="s">
        <v>10348</v>
      </c>
      <c r="DB428" s="13" t="s">
        <v>10348</v>
      </c>
    </row>
    <row r="429" spans="1:106" s="13" customFormat="1" ht="12.75" customHeight="1" x14ac:dyDescent="0.2">
      <c r="A429" s="13" t="s">
        <v>102</v>
      </c>
      <c r="B429" s="13" t="s">
        <v>103</v>
      </c>
      <c r="D429" s="13" t="s">
        <v>820</v>
      </c>
      <c r="E429" s="13" t="s">
        <v>228</v>
      </c>
      <c r="F429" s="13" t="s">
        <v>820</v>
      </c>
      <c r="G429" s="13" t="s">
        <v>229</v>
      </c>
      <c r="H429" s="13" t="s">
        <v>7712</v>
      </c>
      <c r="J429" s="13" t="s">
        <v>106</v>
      </c>
      <c r="W429" s="13">
        <v>63</v>
      </c>
      <c r="X429" s="13">
        <v>63</v>
      </c>
      <c r="Y429" s="13" t="s">
        <v>107</v>
      </c>
      <c r="Z429" s="13" t="s">
        <v>108</v>
      </c>
      <c r="AA429" s="13" t="s">
        <v>107</v>
      </c>
      <c r="AB429" s="13" t="s">
        <v>927</v>
      </c>
      <c r="AC429" s="13" t="s">
        <v>927</v>
      </c>
      <c r="AD429" s="13" t="s">
        <v>927</v>
      </c>
      <c r="AE429" s="13" t="s">
        <v>112</v>
      </c>
      <c r="AF429" s="13" t="s">
        <v>927</v>
      </c>
      <c r="AG429" s="13" t="s">
        <v>927</v>
      </c>
      <c r="AH429" s="13" t="s">
        <v>928</v>
      </c>
      <c r="AL429" s="13" t="s">
        <v>929</v>
      </c>
      <c r="AN429" s="13">
        <v>329</v>
      </c>
      <c r="AO429" s="13" t="s">
        <v>930</v>
      </c>
      <c r="AQ429" s="13" t="s">
        <v>927</v>
      </c>
      <c r="AR429" s="13" t="s">
        <v>927</v>
      </c>
      <c r="AS429" s="13" t="s">
        <v>116</v>
      </c>
      <c r="AT429" s="13" t="s">
        <v>931</v>
      </c>
      <c r="AU429" s="13" t="s">
        <v>844</v>
      </c>
      <c r="AV429" s="13" t="s">
        <v>827</v>
      </c>
      <c r="AW429" s="13" t="s">
        <v>828</v>
      </c>
      <c r="AX429" s="13" t="s">
        <v>829</v>
      </c>
      <c r="AY429" s="13" t="s">
        <v>932</v>
      </c>
      <c r="AZ429" s="13" t="s">
        <v>933</v>
      </c>
      <c r="BA429" s="13" t="s">
        <v>933</v>
      </c>
      <c r="BB429" s="13" t="s">
        <v>934</v>
      </c>
      <c r="BC429" s="13" t="s">
        <v>935</v>
      </c>
      <c r="BD429" s="13">
        <f t="shared" si="15"/>
        <v>58</v>
      </c>
      <c r="BE429" s="17" t="s">
        <v>834</v>
      </c>
      <c r="BF429" s="17" t="s">
        <v>736</v>
      </c>
      <c r="BG429" s="17" t="s">
        <v>924</v>
      </c>
      <c r="BH429" s="17" t="s">
        <v>835</v>
      </c>
      <c r="BJ429" s="31" t="s">
        <v>849</v>
      </c>
      <c r="BS429" s="17" t="s">
        <v>127</v>
      </c>
      <c r="BT429" s="17" t="s">
        <v>837</v>
      </c>
      <c r="BU429" s="17" t="s">
        <v>129</v>
      </c>
      <c r="BW429" s="17" t="s">
        <v>925</v>
      </c>
      <c r="BX429" s="13" t="s">
        <v>936</v>
      </c>
      <c r="DA429" s="13" t="s">
        <v>10348</v>
      </c>
      <c r="DB429" s="13" t="s">
        <v>10348</v>
      </c>
    </row>
    <row r="430" spans="1:106" s="13" customFormat="1" ht="12.75" customHeight="1" x14ac:dyDescent="0.2">
      <c r="A430" s="13" t="s">
        <v>102</v>
      </c>
      <c r="B430" s="13" t="s">
        <v>103</v>
      </c>
      <c r="D430" s="13" t="s">
        <v>820</v>
      </c>
      <c r="E430" s="13" t="s">
        <v>228</v>
      </c>
      <c r="F430" s="13" t="s">
        <v>820</v>
      </c>
      <c r="G430" s="13" t="s">
        <v>229</v>
      </c>
      <c r="H430" s="13" t="s">
        <v>7712</v>
      </c>
      <c r="J430" s="13" t="s">
        <v>106</v>
      </c>
      <c r="W430" s="13">
        <v>77</v>
      </c>
      <c r="X430" s="13">
        <v>77</v>
      </c>
      <c r="Y430" s="13" t="s">
        <v>107</v>
      </c>
      <c r="Z430" s="13" t="s">
        <v>108</v>
      </c>
      <c r="AA430" s="13" t="s">
        <v>107</v>
      </c>
      <c r="AB430" s="13" t="s">
        <v>1095</v>
      </c>
      <c r="AC430" s="13" t="s">
        <v>1095</v>
      </c>
      <c r="AD430" s="13" t="s">
        <v>1095</v>
      </c>
      <c r="AE430" s="13" t="s">
        <v>112</v>
      </c>
      <c r="AF430" s="13" t="s">
        <v>1095</v>
      </c>
      <c r="AG430" s="13" t="s">
        <v>1095</v>
      </c>
      <c r="AH430" s="13" t="s">
        <v>1096</v>
      </c>
      <c r="AL430" s="13" t="s">
        <v>1097</v>
      </c>
      <c r="AN430" s="13">
        <v>329</v>
      </c>
      <c r="AO430" s="13" t="s">
        <v>1098</v>
      </c>
      <c r="AQ430" s="13" t="s">
        <v>1095</v>
      </c>
      <c r="AR430" s="13" t="s">
        <v>1095</v>
      </c>
      <c r="AS430" s="13" t="s">
        <v>116</v>
      </c>
      <c r="AT430" s="13" t="s">
        <v>1099</v>
      </c>
      <c r="AU430" s="13" t="s">
        <v>1100</v>
      </c>
      <c r="AV430" s="13" t="s">
        <v>827</v>
      </c>
      <c r="AW430" s="13" t="s">
        <v>828</v>
      </c>
      <c r="AX430" s="13" t="s">
        <v>829</v>
      </c>
      <c r="AY430" s="13" t="s">
        <v>1101</v>
      </c>
      <c r="AZ430" s="13" t="s">
        <v>1102</v>
      </c>
      <c r="BA430" s="13" t="s">
        <v>1102</v>
      </c>
      <c r="BB430" s="13" t="s">
        <v>1103</v>
      </c>
      <c r="BC430" s="13" t="s">
        <v>1104</v>
      </c>
      <c r="BD430" s="13">
        <f t="shared" si="15"/>
        <v>57</v>
      </c>
      <c r="BE430" s="17" t="s">
        <v>834</v>
      </c>
      <c r="BF430" s="17" t="s">
        <v>736</v>
      </c>
      <c r="BG430" s="17" t="s">
        <v>1105</v>
      </c>
      <c r="BH430" s="17" t="s">
        <v>1106</v>
      </c>
      <c r="BJ430" s="31" t="s">
        <v>1107</v>
      </c>
      <c r="BP430" s="17" t="s">
        <v>1108</v>
      </c>
      <c r="BS430" s="17" t="s">
        <v>127</v>
      </c>
      <c r="BU430" s="17" t="s">
        <v>129</v>
      </c>
      <c r="BX430" s="13" t="s">
        <v>1109</v>
      </c>
      <c r="DA430" s="13" t="s">
        <v>10348</v>
      </c>
      <c r="DB430" s="13" t="s">
        <v>10348</v>
      </c>
    </row>
    <row r="431" spans="1:106" s="13" customFormat="1" ht="12.75" customHeight="1" x14ac:dyDescent="0.2">
      <c r="A431" s="13" t="s">
        <v>102</v>
      </c>
      <c r="B431" s="13" t="s">
        <v>103</v>
      </c>
      <c r="D431" s="13" t="s">
        <v>820</v>
      </c>
      <c r="E431" s="13" t="s">
        <v>228</v>
      </c>
      <c r="F431" s="13" t="s">
        <v>820</v>
      </c>
      <c r="G431" s="13" t="s">
        <v>229</v>
      </c>
      <c r="H431" s="13" t="s">
        <v>7712</v>
      </c>
      <c r="J431" s="13" t="s">
        <v>106</v>
      </c>
      <c r="W431" s="13">
        <v>78</v>
      </c>
      <c r="X431" s="13">
        <v>78</v>
      </c>
      <c r="Y431" s="13" t="s">
        <v>107</v>
      </c>
      <c r="Z431" s="13" t="s">
        <v>108</v>
      </c>
      <c r="AA431" s="13" t="s">
        <v>107</v>
      </c>
      <c r="AB431" s="13" t="s">
        <v>1110</v>
      </c>
      <c r="AC431" s="13" t="s">
        <v>1110</v>
      </c>
      <c r="AD431" s="13" t="s">
        <v>1110</v>
      </c>
      <c r="AE431" s="13" t="s">
        <v>112</v>
      </c>
      <c r="AF431" s="13" t="s">
        <v>1110</v>
      </c>
      <c r="AG431" s="13" t="s">
        <v>1110</v>
      </c>
      <c r="AH431" s="13" t="s">
        <v>1111</v>
      </c>
      <c r="AL431" s="13" t="s">
        <v>1112</v>
      </c>
      <c r="AN431" s="13">
        <v>329</v>
      </c>
      <c r="AO431" s="13" t="s">
        <v>1113</v>
      </c>
      <c r="AQ431" s="13" t="s">
        <v>1110</v>
      </c>
      <c r="AR431" s="13" t="s">
        <v>1110</v>
      </c>
      <c r="AS431" s="13" t="s">
        <v>116</v>
      </c>
      <c r="AT431" s="13" t="s">
        <v>1114</v>
      </c>
      <c r="AU431" s="13" t="s">
        <v>1100</v>
      </c>
      <c r="AV431" s="13" t="s">
        <v>827</v>
      </c>
      <c r="AW431" s="13" t="s">
        <v>828</v>
      </c>
      <c r="AX431" s="13" t="s">
        <v>829</v>
      </c>
      <c r="AY431" s="13" t="s">
        <v>1115</v>
      </c>
      <c r="AZ431" s="13" t="s">
        <v>1116</v>
      </c>
      <c r="BA431" s="13" t="s">
        <v>1116</v>
      </c>
      <c r="BB431" s="13" t="s">
        <v>1117</v>
      </c>
      <c r="BC431" s="13" t="s">
        <v>1118</v>
      </c>
      <c r="BD431" s="13">
        <f t="shared" si="15"/>
        <v>57</v>
      </c>
      <c r="BE431" s="17" t="s">
        <v>834</v>
      </c>
      <c r="BF431" s="17" t="s">
        <v>736</v>
      </c>
      <c r="BG431" s="17" t="s">
        <v>1105</v>
      </c>
      <c r="BH431" s="17" t="s">
        <v>1106</v>
      </c>
      <c r="BJ431" s="31" t="s">
        <v>1119</v>
      </c>
      <c r="BP431" s="17" t="s">
        <v>1108</v>
      </c>
      <c r="BS431" s="17" t="s">
        <v>127</v>
      </c>
      <c r="BU431" s="17" t="s">
        <v>129</v>
      </c>
      <c r="BX431" s="13" t="s">
        <v>1120</v>
      </c>
      <c r="DA431" s="13" t="s">
        <v>10348</v>
      </c>
      <c r="DB431" s="13" t="s">
        <v>10348</v>
      </c>
    </row>
    <row r="432" spans="1:106" s="13" customFormat="1" ht="12.75" customHeight="1" x14ac:dyDescent="0.2">
      <c r="A432" s="13" t="s">
        <v>102</v>
      </c>
      <c r="B432" s="13" t="s">
        <v>103</v>
      </c>
      <c r="D432" s="13" t="s">
        <v>104</v>
      </c>
      <c r="E432" s="13" t="s">
        <v>105</v>
      </c>
      <c r="F432" s="13" t="s">
        <v>104</v>
      </c>
      <c r="G432" s="13" t="s">
        <v>105</v>
      </c>
      <c r="H432" s="13" t="s">
        <v>7712</v>
      </c>
      <c r="J432" s="13" t="s">
        <v>106</v>
      </c>
      <c r="W432" s="13">
        <v>175</v>
      </c>
      <c r="X432" s="13">
        <v>175</v>
      </c>
      <c r="Y432" s="13" t="s">
        <v>107</v>
      </c>
      <c r="Z432" s="13" t="s">
        <v>108</v>
      </c>
      <c r="AA432" s="13" t="s">
        <v>107</v>
      </c>
      <c r="AB432" s="13" t="s">
        <v>2197</v>
      </c>
      <c r="AC432" s="13" t="s">
        <v>2197</v>
      </c>
      <c r="AD432" s="13" t="s">
        <v>2198</v>
      </c>
      <c r="AE432" s="14" t="s">
        <v>112</v>
      </c>
      <c r="AF432" s="13" t="s">
        <v>2198</v>
      </c>
      <c r="AG432" s="13">
        <v>360108003</v>
      </c>
      <c r="AH432" s="13" t="s">
        <v>2199</v>
      </c>
      <c r="AL432" s="13" t="s">
        <v>2200</v>
      </c>
      <c r="AN432" s="13">
        <v>329</v>
      </c>
      <c r="AO432" s="13" t="s">
        <v>2201</v>
      </c>
      <c r="AQ432" s="13" t="s">
        <v>2198</v>
      </c>
      <c r="AR432" s="13" t="s">
        <v>2198</v>
      </c>
      <c r="AS432" s="13" t="s">
        <v>116</v>
      </c>
      <c r="AT432" s="13" t="s">
        <v>2202</v>
      </c>
      <c r="AU432" s="13" t="s">
        <v>2203</v>
      </c>
      <c r="AV432" s="28" t="s">
        <v>2204</v>
      </c>
      <c r="AW432" s="13" t="s">
        <v>1691</v>
      </c>
      <c r="AX432" s="15" t="s">
        <v>1692</v>
      </c>
      <c r="AY432" s="21" t="s">
        <v>2205</v>
      </c>
      <c r="AZ432" s="17" t="s">
        <v>2206</v>
      </c>
      <c r="BA432" s="17" t="s">
        <v>2206</v>
      </c>
      <c r="BB432" s="17" t="s">
        <v>2207</v>
      </c>
      <c r="BC432" s="17" t="s">
        <v>2208</v>
      </c>
      <c r="BD432" s="27">
        <f>LEN(SUBSTITUTE(BC432,", ",","))</f>
        <v>53</v>
      </c>
      <c r="BE432" s="17" t="s">
        <v>2209</v>
      </c>
      <c r="BF432" s="19" t="s">
        <v>951</v>
      </c>
      <c r="BG432" s="17" t="s">
        <v>2210</v>
      </c>
      <c r="BH432" s="17"/>
      <c r="BI432" s="17"/>
      <c r="BJ432" s="17" t="s">
        <v>2211</v>
      </c>
      <c r="BK432" s="17" t="s">
        <v>2212</v>
      </c>
      <c r="BL432" s="17"/>
      <c r="BM432" s="17"/>
      <c r="BN432" s="17"/>
      <c r="BO432" s="17" t="s">
        <v>2213</v>
      </c>
      <c r="BP432" s="17"/>
      <c r="BQ432" s="17"/>
      <c r="BR432" s="17"/>
      <c r="BS432" s="17" t="s">
        <v>127</v>
      </c>
      <c r="BT432" s="17" t="s">
        <v>2214</v>
      </c>
      <c r="BU432" s="17" t="s">
        <v>129</v>
      </c>
      <c r="BV432" s="17"/>
      <c r="BW432" s="17"/>
      <c r="BX432" s="13" t="s">
        <v>2215</v>
      </c>
      <c r="BY432" s="13" t="s">
        <v>2216</v>
      </c>
      <c r="DA432" s="13" t="s">
        <v>10348</v>
      </c>
      <c r="DB432" s="13" t="s">
        <v>10348</v>
      </c>
    </row>
    <row r="433" spans="1:106" s="13" customFormat="1" ht="12.75" customHeight="1" x14ac:dyDescent="0.2">
      <c r="A433" s="13" t="s">
        <v>102</v>
      </c>
      <c r="B433" s="13" t="s">
        <v>103</v>
      </c>
      <c r="D433" s="13" t="s">
        <v>104</v>
      </c>
      <c r="E433" s="13" t="s">
        <v>105</v>
      </c>
      <c r="F433" s="13" t="s">
        <v>104</v>
      </c>
      <c r="G433" s="13" t="s">
        <v>105</v>
      </c>
      <c r="H433" s="13" t="s">
        <v>7712</v>
      </c>
      <c r="J433" s="13" t="s">
        <v>106</v>
      </c>
      <c r="W433" s="13">
        <v>176</v>
      </c>
      <c r="X433" s="13">
        <v>176</v>
      </c>
      <c r="Y433" s="13" t="s">
        <v>107</v>
      </c>
      <c r="Z433" s="13" t="s">
        <v>108</v>
      </c>
      <c r="AA433" s="13" t="s">
        <v>107</v>
      </c>
      <c r="AB433" s="13" t="s">
        <v>2217</v>
      </c>
      <c r="AC433" s="13" t="s">
        <v>2217</v>
      </c>
      <c r="AD433" s="13" t="s">
        <v>2218</v>
      </c>
      <c r="AE433" s="14" t="s">
        <v>112</v>
      </c>
      <c r="AF433" s="13" t="s">
        <v>2218</v>
      </c>
      <c r="AG433" s="13">
        <v>360158003</v>
      </c>
      <c r="AH433" s="13" t="s">
        <v>2219</v>
      </c>
      <c r="AL433" s="13" t="s">
        <v>2220</v>
      </c>
      <c r="AN433" s="13">
        <v>329</v>
      </c>
      <c r="AO433" s="13" t="s">
        <v>2221</v>
      </c>
      <c r="AQ433" s="13" t="s">
        <v>2218</v>
      </c>
      <c r="AR433" s="13" t="s">
        <v>2218</v>
      </c>
      <c r="AS433" s="13" t="s">
        <v>116</v>
      </c>
      <c r="AT433" s="13" t="s">
        <v>2222</v>
      </c>
      <c r="AU433" s="13" t="s">
        <v>2203</v>
      </c>
      <c r="AV433" s="28" t="s">
        <v>2204</v>
      </c>
      <c r="AW433" s="13" t="s">
        <v>1691</v>
      </c>
      <c r="AX433" s="15" t="s">
        <v>1692</v>
      </c>
      <c r="AY433" s="21" t="s">
        <v>2223</v>
      </c>
      <c r="AZ433" s="17" t="s">
        <v>2224</v>
      </c>
      <c r="BA433" s="17" t="s">
        <v>2224</v>
      </c>
      <c r="BB433" s="17" t="s">
        <v>2225</v>
      </c>
      <c r="BC433" s="17" t="s">
        <v>2226</v>
      </c>
      <c r="BD433" s="27">
        <f>LEN(SUBSTITUTE(BC433,", ",","))</f>
        <v>54</v>
      </c>
      <c r="BE433" s="17" t="s">
        <v>2209</v>
      </c>
      <c r="BF433" s="19" t="s">
        <v>951</v>
      </c>
      <c r="BG433" s="17" t="s">
        <v>2210</v>
      </c>
      <c r="BH433" s="17"/>
      <c r="BI433" s="17"/>
      <c r="BJ433" s="17" t="s">
        <v>2227</v>
      </c>
      <c r="BK433" s="17" t="s">
        <v>2228</v>
      </c>
      <c r="BL433" s="17"/>
      <c r="BM433" s="17"/>
      <c r="BN433" s="17"/>
      <c r="BO433" s="17" t="s">
        <v>2213</v>
      </c>
      <c r="BP433" s="17"/>
      <c r="BQ433" s="17"/>
      <c r="BR433" s="17"/>
      <c r="BS433" s="17" t="s">
        <v>127</v>
      </c>
      <c r="BT433" s="17" t="s">
        <v>2214</v>
      </c>
      <c r="BU433" s="17" t="s">
        <v>129</v>
      </c>
      <c r="BV433" s="17"/>
      <c r="BW433" s="17"/>
      <c r="BX433" s="13" t="s">
        <v>2229</v>
      </c>
      <c r="BY433" s="13" t="s">
        <v>1897</v>
      </c>
      <c r="DA433" s="13" t="s">
        <v>10348</v>
      </c>
      <c r="DB433" s="13" t="s">
        <v>10348</v>
      </c>
    </row>
    <row r="434" spans="1:106" s="13" customFormat="1" ht="12.75" customHeight="1" x14ac:dyDescent="0.2">
      <c r="A434" s="13" t="s">
        <v>102</v>
      </c>
      <c r="B434" s="13" t="s">
        <v>103</v>
      </c>
      <c r="D434" s="13" t="s">
        <v>104</v>
      </c>
      <c r="E434" s="13" t="s">
        <v>105</v>
      </c>
      <c r="F434" s="13" t="s">
        <v>104</v>
      </c>
      <c r="G434" s="13" t="s">
        <v>105</v>
      </c>
      <c r="H434" s="13" t="s">
        <v>7712</v>
      </c>
      <c r="J434" s="13" t="s">
        <v>106</v>
      </c>
      <c r="W434" s="13">
        <v>177</v>
      </c>
      <c r="X434" s="13">
        <v>177</v>
      </c>
      <c r="Y434" s="13" t="s">
        <v>107</v>
      </c>
      <c r="Z434" s="13" t="s">
        <v>108</v>
      </c>
      <c r="AA434" s="13" t="s">
        <v>107</v>
      </c>
      <c r="AB434" s="13" t="s">
        <v>2230</v>
      </c>
      <c r="AC434" s="13" t="s">
        <v>2230</v>
      </c>
      <c r="AD434" s="13" t="s">
        <v>2231</v>
      </c>
      <c r="AE434" s="14" t="s">
        <v>112</v>
      </c>
      <c r="AF434" s="13" t="s">
        <v>2231</v>
      </c>
      <c r="AG434" s="13">
        <v>370108003</v>
      </c>
      <c r="AH434" s="13" t="s">
        <v>2232</v>
      </c>
      <c r="AL434" s="13" t="s">
        <v>2233</v>
      </c>
      <c r="AN434" s="13">
        <v>329</v>
      </c>
      <c r="AO434" s="13" t="s">
        <v>2234</v>
      </c>
      <c r="AQ434" s="13" t="s">
        <v>2231</v>
      </c>
      <c r="AR434" s="13" t="s">
        <v>2231</v>
      </c>
      <c r="AS434" s="13" t="s">
        <v>116</v>
      </c>
      <c r="AT434" s="13" t="s">
        <v>2235</v>
      </c>
      <c r="AU434" s="13" t="s">
        <v>2236</v>
      </c>
      <c r="AV434" s="28" t="s">
        <v>2204</v>
      </c>
      <c r="AW434" s="13" t="s">
        <v>1691</v>
      </c>
      <c r="AX434" s="15" t="s">
        <v>1692</v>
      </c>
      <c r="AY434" s="21" t="s">
        <v>2237</v>
      </c>
      <c r="AZ434" s="17" t="s">
        <v>2238</v>
      </c>
      <c r="BA434" s="17" t="s">
        <v>2238</v>
      </c>
      <c r="BB434" s="17" t="s">
        <v>2239</v>
      </c>
      <c r="BC434" s="17" t="s">
        <v>2240</v>
      </c>
      <c r="BD434" s="27">
        <f>LEN(SUBSTITUTE(BC434,", ",","))</f>
        <v>53</v>
      </c>
      <c r="BE434" s="17" t="s">
        <v>2209</v>
      </c>
      <c r="BF434" s="19" t="s">
        <v>951</v>
      </c>
      <c r="BG434" s="17" t="s">
        <v>2210</v>
      </c>
      <c r="BH434" s="17"/>
      <c r="BI434" s="17"/>
      <c r="BJ434" s="17" t="s">
        <v>2241</v>
      </c>
      <c r="BK434" s="17" t="s">
        <v>2242</v>
      </c>
      <c r="BL434" s="17"/>
      <c r="BM434" s="17"/>
      <c r="BN434" s="17"/>
      <c r="BO434" s="17" t="s">
        <v>2213</v>
      </c>
      <c r="BP434" s="17"/>
      <c r="BQ434" s="17"/>
      <c r="BR434" s="17"/>
      <c r="BS434" s="17" t="s">
        <v>127</v>
      </c>
      <c r="BT434" s="17" t="s">
        <v>2214</v>
      </c>
      <c r="BU434" s="17" t="s">
        <v>129</v>
      </c>
      <c r="BV434" s="17"/>
      <c r="BW434" s="17"/>
      <c r="BX434" s="13" t="s">
        <v>2243</v>
      </c>
      <c r="BY434" s="13" t="s">
        <v>1897</v>
      </c>
      <c r="DA434" s="13" t="s">
        <v>10348</v>
      </c>
      <c r="DB434" s="13" t="s">
        <v>10348</v>
      </c>
    </row>
    <row r="435" spans="1:106" s="13" customFormat="1" ht="12.75" customHeight="1" x14ac:dyDescent="0.2">
      <c r="A435" s="13" t="s">
        <v>102</v>
      </c>
      <c r="B435" s="13" t="s">
        <v>103</v>
      </c>
      <c r="D435" s="13" t="s">
        <v>104</v>
      </c>
      <c r="E435" s="13" t="s">
        <v>105</v>
      </c>
      <c r="F435" s="13" t="s">
        <v>104</v>
      </c>
      <c r="G435" s="13" t="s">
        <v>105</v>
      </c>
      <c r="H435" s="13" t="s">
        <v>7712</v>
      </c>
      <c r="J435" s="13" t="s">
        <v>106</v>
      </c>
      <c r="W435" s="13">
        <v>178</v>
      </c>
      <c r="X435" s="13">
        <v>178</v>
      </c>
      <c r="Y435" s="13" t="s">
        <v>107</v>
      </c>
      <c r="Z435" s="13" t="s">
        <v>108</v>
      </c>
      <c r="AA435" s="13" t="s">
        <v>107</v>
      </c>
      <c r="AB435" s="13" t="s">
        <v>2244</v>
      </c>
      <c r="AC435" s="13" t="s">
        <v>2244</v>
      </c>
      <c r="AD435" s="13" t="s">
        <v>2245</v>
      </c>
      <c r="AE435" s="14" t="s">
        <v>112</v>
      </c>
      <c r="AF435" s="13" t="s">
        <v>2245</v>
      </c>
      <c r="AG435" s="13">
        <v>370158003</v>
      </c>
      <c r="AH435" s="13" t="s">
        <v>2246</v>
      </c>
      <c r="AL435" s="13" t="s">
        <v>2247</v>
      </c>
      <c r="AN435" s="13">
        <v>329</v>
      </c>
      <c r="AO435" s="13" t="s">
        <v>2248</v>
      </c>
      <c r="AQ435" s="13" t="s">
        <v>2245</v>
      </c>
      <c r="AR435" s="13" t="s">
        <v>2245</v>
      </c>
      <c r="AS435" s="13" t="s">
        <v>116</v>
      </c>
      <c r="AT435" s="13" t="s">
        <v>2249</v>
      </c>
      <c r="AU435" s="13" t="s">
        <v>2236</v>
      </c>
      <c r="AV435" s="28" t="s">
        <v>2204</v>
      </c>
      <c r="AW435" s="13" t="s">
        <v>1691</v>
      </c>
      <c r="AX435" s="15" t="s">
        <v>1692</v>
      </c>
      <c r="AY435" s="21" t="s">
        <v>2223</v>
      </c>
      <c r="AZ435" s="17" t="s">
        <v>2250</v>
      </c>
      <c r="BA435" s="17" t="s">
        <v>2250</v>
      </c>
      <c r="BB435" s="17" t="s">
        <v>2251</v>
      </c>
      <c r="BC435" s="17" t="s">
        <v>2252</v>
      </c>
      <c r="BD435" s="27">
        <f>LEN(SUBSTITUTE(BC435,", ",","))</f>
        <v>54</v>
      </c>
      <c r="BE435" s="17" t="s">
        <v>2209</v>
      </c>
      <c r="BF435" s="19" t="s">
        <v>951</v>
      </c>
      <c r="BG435" s="17" t="s">
        <v>2210</v>
      </c>
      <c r="BH435" s="17"/>
      <c r="BI435" s="17"/>
      <c r="BJ435" s="17" t="s">
        <v>2035</v>
      </c>
      <c r="BK435" s="17" t="s">
        <v>2253</v>
      </c>
      <c r="BL435" s="17"/>
      <c r="BM435" s="17"/>
      <c r="BN435" s="17"/>
      <c r="BO435" s="17" t="s">
        <v>2213</v>
      </c>
      <c r="BP435" s="17"/>
      <c r="BQ435" s="17"/>
      <c r="BR435" s="17"/>
      <c r="BS435" s="17" t="s">
        <v>127</v>
      </c>
      <c r="BT435" s="17" t="s">
        <v>2214</v>
      </c>
      <c r="BU435" s="17" t="s">
        <v>129</v>
      </c>
      <c r="BV435" s="17"/>
      <c r="BW435" s="17"/>
      <c r="BX435" s="13" t="s">
        <v>2254</v>
      </c>
      <c r="BY435" s="13" t="s">
        <v>1897</v>
      </c>
      <c r="DA435" s="13" t="s">
        <v>10348</v>
      </c>
      <c r="DB435" s="13" t="s">
        <v>10348</v>
      </c>
    </row>
    <row r="436" spans="1:106" s="13" customFormat="1" ht="12.75" customHeight="1" x14ac:dyDescent="0.2">
      <c r="A436" s="13" t="s">
        <v>102</v>
      </c>
      <c r="B436" s="13" t="s">
        <v>103</v>
      </c>
      <c r="D436" s="13" t="s">
        <v>104</v>
      </c>
      <c r="E436" s="13" t="s">
        <v>105</v>
      </c>
      <c r="F436" s="13" t="s">
        <v>104</v>
      </c>
      <c r="G436" s="13" t="s">
        <v>105</v>
      </c>
      <c r="H436" s="13" t="s">
        <v>7712</v>
      </c>
      <c r="J436" s="13" t="s">
        <v>106</v>
      </c>
      <c r="W436" s="13">
        <v>181</v>
      </c>
      <c r="X436" s="13">
        <v>181</v>
      </c>
      <c r="Y436" s="13" t="s">
        <v>107</v>
      </c>
      <c r="Z436" s="13" t="s">
        <v>108</v>
      </c>
      <c r="AA436" s="13" t="s">
        <v>107</v>
      </c>
      <c r="AB436" s="13" t="s">
        <v>2279</v>
      </c>
      <c r="AC436" s="13" t="s">
        <v>2279</v>
      </c>
      <c r="AD436" s="13" t="s">
        <v>2279</v>
      </c>
      <c r="AE436" s="14" t="s">
        <v>112</v>
      </c>
      <c r="AF436" s="13" t="s">
        <v>2279</v>
      </c>
      <c r="AG436" s="13" t="s">
        <v>2279</v>
      </c>
      <c r="AH436" s="13" t="s">
        <v>2280</v>
      </c>
      <c r="AL436" s="13" t="s">
        <v>2281</v>
      </c>
      <c r="AN436" s="13">
        <v>329</v>
      </c>
      <c r="AO436" s="13" t="s">
        <v>2282</v>
      </c>
      <c r="AQ436" s="13" t="s">
        <v>2279</v>
      </c>
      <c r="AR436" s="13" t="s">
        <v>2279</v>
      </c>
      <c r="AS436" s="13" t="s">
        <v>116</v>
      </c>
      <c r="AT436" s="13" t="s">
        <v>2283</v>
      </c>
      <c r="AU436" s="13" t="s">
        <v>2284</v>
      </c>
      <c r="AV436" s="14" t="s">
        <v>2285</v>
      </c>
      <c r="AX436" s="39"/>
      <c r="AY436" s="21" t="s">
        <v>2286</v>
      </c>
      <c r="AZ436" s="17" t="s">
        <v>2287</v>
      </c>
      <c r="BA436" s="17" t="s">
        <v>2287</v>
      </c>
      <c r="BB436" s="17" t="s">
        <v>2288</v>
      </c>
      <c r="BC436" s="17" t="s">
        <v>2288</v>
      </c>
      <c r="BD436" s="27">
        <f>LEN(SUBSTITUTE(BC436,", ",","))</f>
        <v>58</v>
      </c>
      <c r="BE436" s="17" t="s">
        <v>2289</v>
      </c>
      <c r="BF436" s="17"/>
      <c r="BG436" s="17"/>
      <c r="BH436" s="17" t="s">
        <v>2290</v>
      </c>
      <c r="BI436" s="17"/>
      <c r="BJ436" s="17" t="s">
        <v>2291</v>
      </c>
      <c r="BK436" s="17"/>
      <c r="BL436" s="17"/>
      <c r="BM436" s="17"/>
      <c r="BN436" s="17"/>
      <c r="BO436" s="17"/>
      <c r="BP436" s="17"/>
      <c r="BQ436" s="17"/>
      <c r="BR436" s="17"/>
      <c r="BS436" s="17" t="s">
        <v>127</v>
      </c>
      <c r="BT436" s="17" t="s">
        <v>2292</v>
      </c>
      <c r="BU436" s="17" t="s">
        <v>129</v>
      </c>
      <c r="BV436" s="17"/>
      <c r="BW436" s="17"/>
      <c r="BX436" s="13" t="s">
        <v>2293</v>
      </c>
      <c r="BY436" s="13" t="s">
        <v>1897</v>
      </c>
      <c r="DA436" s="13" t="s">
        <v>10348</v>
      </c>
      <c r="DB436" s="13" t="s">
        <v>10348</v>
      </c>
    </row>
    <row r="437" spans="1:106" s="13" customFormat="1" ht="12.75" customHeight="1" x14ac:dyDescent="0.2">
      <c r="A437" s="13" t="s">
        <v>102</v>
      </c>
      <c r="B437" s="13" t="s">
        <v>103</v>
      </c>
      <c r="D437" s="13" t="s">
        <v>4273</v>
      </c>
      <c r="E437" s="13" t="s">
        <v>4274</v>
      </c>
      <c r="F437" s="13" t="s">
        <v>4273</v>
      </c>
      <c r="H437" s="13" t="s">
        <v>7712</v>
      </c>
      <c r="J437" s="13" t="s">
        <v>106</v>
      </c>
      <c r="W437" s="13">
        <v>517</v>
      </c>
      <c r="X437" s="13">
        <v>517</v>
      </c>
      <c r="Y437" s="13" t="s">
        <v>107</v>
      </c>
      <c r="Z437" s="13" t="s">
        <v>108</v>
      </c>
      <c r="AA437" s="13" t="s">
        <v>107</v>
      </c>
      <c r="AB437" s="13" t="s">
        <v>5652</v>
      </c>
      <c r="AC437" s="13" t="s">
        <v>5652</v>
      </c>
      <c r="AD437" s="17">
        <v>500118200</v>
      </c>
      <c r="AE437" s="13" t="s">
        <v>112</v>
      </c>
      <c r="AF437" s="13">
        <v>500118200</v>
      </c>
      <c r="AG437" s="32" t="s">
        <v>5652</v>
      </c>
      <c r="AH437" s="13" t="s">
        <v>5653</v>
      </c>
      <c r="AL437" s="13" t="s">
        <v>5654</v>
      </c>
      <c r="AN437" s="13">
        <v>329</v>
      </c>
      <c r="AO437" s="13" t="s">
        <v>5655</v>
      </c>
      <c r="AQ437" s="13" t="s">
        <v>5652</v>
      </c>
      <c r="AR437" s="13" t="s">
        <v>5652</v>
      </c>
      <c r="AS437" s="13" t="s">
        <v>116</v>
      </c>
      <c r="AT437" s="13" t="s">
        <v>5656</v>
      </c>
      <c r="AU437" s="13" t="s">
        <v>5657</v>
      </c>
      <c r="AV437" s="13" t="s">
        <v>5658</v>
      </c>
      <c r="AY437" s="17" t="s">
        <v>5659</v>
      </c>
      <c r="AZ437" s="13" t="s">
        <v>5660</v>
      </c>
      <c r="BA437" s="13" t="s">
        <v>5660</v>
      </c>
      <c r="BB437" s="13" t="s">
        <v>5661</v>
      </c>
      <c r="BC437" s="13" t="s">
        <v>5661</v>
      </c>
      <c r="BD437" s="13">
        <f t="shared" ref="BD437:BD468" si="16">LEN(SUBSTITUTE(BC437, ", "," "))</f>
        <v>47</v>
      </c>
      <c r="BE437" s="17" t="s">
        <v>5662</v>
      </c>
      <c r="BF437" s="17"/>
      <c r="BG437" s="17"/>
      <c r="BH437" s="17"/>
      <c r="BI437" s="17"/>
      <c r="BJ437" s="17" t="s">
        <v>5663</v>
      </c>
      <c r="BK437" s="17"/>
      <c r="BL437" s="17"/>
      <c r="BM437" s="17"/>
      <c r="BN437" s="17"/>
      <c r="BO437" s="17"/>
      <c r="BP437" s="17"/>
      <c r="BQ437" s="17"/>
      <c r="BR437" s="17"/>
      <c r="BS437" s="17" t="s">
        <v>127</v>
      </c>
      <c r="BT437" s="17"/>
      <c r="BU437" s="17" t="s">
        <v>129</v>
      </c>
      <c r="BV437" s="17"/>
      <c r="BW437" s="17"/>
      <c r="BX437" s="13" t="s">
        <v>5664</v>
      </c>
      <c r="BY437" s="13" t="s">
        <v>4286</v>
      </c>
      <c r="CC437" s="13" t="s">
        <v>5665</v>
      </c>
      <c r="DA437" s="13" t="s">
        <v>10348</v>
      </c>
      <c r="DB437" s="13" t="s">
        <v>10348</v>
      </c>
    </row>
    <row r="438" spans="1:106" s="13" customFormat="1" ht="12.75" customHeight="1" x14ac:dyDescent="0.2">
      <c r="A438" s="13" t="s">
        <v>102</v>
      </c>
      <c r="B438" s="13" t="s">
        <v>103</v>
      </c>
      <c r="D438" s="13" t="s">
        <v>4273</v>
      </c>
      <c r="E438" s="13" t="s">
        <v>4274</v>
      </c>
      <c r="F438" s="13" t="s">
        <v>4273</v>
      </c>
      <c r="H438" s="13" t="s">
        <v>7712</v>
      </c>
      <c r="J438" s="13" t="s">
        <v>106</v>
      </c>
      <c r="W438" s="13">
        <v>522</v>
      </c>
      <c r="X438" s="13">
        <v>522</v>
      </c>
      <c r="Y438" s="13" t="s">
        <v>107</v>
      </c>
      <c r="Z438" s="13" t="s">
        <v>108</v>
      </c>
      <c r="AA438" s="39" t="s">
        <v>107</v>
      </c>
      <c r="AB438" s="13" t="s">
        <v>5709</v>
      </c>
      <c r="AC438" s="13" t="s">
        <v>5709</v>
      </c>
      <c r="AD438" s="17">
        <v>651006000</v>
      </c>
      <c r="AE438" s="39" t="s">
        <v>112</v>
      </c>
      <c r="AF438" s="13">
        <v>651006000</v>
      </c>
      <c r="AG438" s="32" t="s">
        <v>5709</v>
      </c>
      <c r="AH438" s="13" t="s">
        <v>5710</v>
      </c>
      <c r="AL438" s="13" t="s">
        <v>5711</v>
      </c>
      <c r="AN438" s="13">
        <v>329</v>
      </c>
      <c r="AO438" s="13" t="s">
        <v>5712</v>
      </c>
      <c r="AQ438" s="13" t="s">
        <v>5709</v>
      </c>
      <c r="AR438" s="13" t="s">
        <v>5709</v>
      </c>
      <c r="AS438" s="13" t="s">
        <v>116</v>
      </c>
      <c r="AT438" s="13" t="s">
        <v>5713</v>
      </c>
      <c r="AU438" s="13" t="s">
        <v>5714</v>
      </c>
      <c r="AV438" s="13" t="s">
        <v>1127</v>
      </c>
      <c r="AY438" s="17" t="s">
        <v>5715</v>
      </c>
      <c r="AZ438" s="13" t="s">
        <v>5716</v>
      </c>
      <c r="BA438" s="13" t="s">
        <v>5716</v>
      </c>
      <c r="BB438" s="13" t="s">
        <v>5717</v>
      </c>
      <c r="BC438" s="13" t="s">
        <v>5718</v>
      </c>
      <c r="BD438" s="13">
        <f t="shared" si="16"/>
        <v>56</v>
      </c>
      <c r="BE438" s="17" t="s">
        <v>2453</v>
      </c>
      <c r="BF438" s="17" t="s">
        <v>1133</v>
      </c>
      <c r="BG438" s="17" t="s">
        <v>2454</v>
      </c>
      <c r="BH438" s="31" t="s">
        <v>5719</v>
      </c>
      <c r="BI438" s="17"/>
      <c r="BJ438" s="17" t="s">
        <v>5720</v>
      </c>
      <c r="BK438" s="17"/>
      <c r="BL438" s="17"/>
      <c r="BM438" s="17"/>
      <c r="BN438" s="17"/>
      <c r="BO438" s="17" t="s">
        <v>5721</v>
      </c>
      <c r="BP438" s="17"/>
      <c r="BQ438" s="17"/>
      <c r="BR438" s="17"/>
      <c r="BS438" s="17" t="s">
        <v>127</v>
      </c>
      <c r="BT438" s="17" t="s">
        <v>5722</v>
      </c>
      <c r="BU438" s="17" t="s">
        <v>129</v>
      </c>
      <c r="BV438" s="17"/>
      <c r="BW438" s="17"/>
      <c r="BX438" s="13" t="s">
        <v>5723</v>
      </c>
      <c r="BY438" s="13" t="s">
        <v>4286</v>
      </c>
      <c r="DA438" s="13" t="s">
        <v>10348</v>
      </c>
      <c r="DB438" s="13" t="s">
        <v>10348</v>
      </c>
    </row>
    <row r="439" spans="1:106" s="13" customFormat="1" ht="12.75" customHeight="1" x14ac:dyDescent="0.2">
      <c r="A439" s="13" t="s">
        <v>102</v>
      </c>
      <c r="B439" s="13" t="s">
        <v>103</v>
      </c>
      <c r="D439" s="13" t="s">
        <v>4273</v>
      </c>
      <c r="E439" s="13" t="s">
        <v>4274</v>
      </c>
      <c r="F439" s="13" t="s">
        <v>4273</v>
      </c>
      <c r="H439" s="13" t="s">
        <v>7712</v>
      </c>
      <c r="J439" s="13" t="s">
        <v>106</v>
      </c>
      <c r="W439" s="13">
        <v>523</v>
      </c>
      <c r="X439" s="13">
        <v>523</v>
      </c>
      <c r="Y439" s="13" t="s">
        <v>107</v>
      </c>
      <c r="Z439" s="13" t="s">
        <v>108</v>
      </c>
      <c r="AA439" s="39" t="s">
        <v>107</v>
      </c>
      <c r="AB439" s="13" t="s">
        <v>5724</v>
      </c>
      <c r="AC439" s="13" t="s">
        <v>5724</v>
      </c>
      <c r="AD439" s="17">
        <v>651006300</v>
      </c>
      <c r="AE439" s="39" t="s">
        <v>112</v>
      </c>
      <c r="AF439" s="13">
        <v>651006300</v>
      </c>
      <c r="AG439" s="32" t="s">
        <v>5724</v>
      </c>
      <c r="AH439" s="13" t="s">
        <v>5725</v>
      </c>
      <c r="AL439" s="13" t="s">
        <v>5711</v>
      </c>
      <c r="AN439" s="13">
        <v>329</v>
      </c>
      <c r="AO439" s="13" t="s">
        <v>5726</v>
      </c>
      <c r="AQ439" s="13" t="s">
        <v>5724</v>
      </c>
      <c r="AR439" s="13" t="s">
        <v>5724</v>
      </c>
      <c r="AS439" s="13" t="s">
        <v>116</v>
      </c>
      <c r="AT439" s="13" t="s">
        <v>5713</v>
      </c>
      <c r="AU439" s="13" t="s">
        <v>5714</v>
      </c>
      <c r="AV439" s="13" t="s">
        <v>1127</v>
      </c>
      <c r="AY439" s="17" t="s">
        <v>5727</v>
      </c>
      <c r="AZ439" s="13" t="s">
        <v>5728</v>
      </c>
      <c r="BA439" s="13" t="s">
        <v>5728</v>
      </c>
      <c r="BB439" s="13" t="s">
        <v>5729</v>
      </c>
      <c r="BC439" s="13" t="s">
        <v>5730</v>
      </c>
      <c r="BD439" s="13">
        <f t="shared" si="16"/>
        <v>55</v>
      </c>
      <c r="BE439" s="17" t="s">
        <v>2453</v>
      </c>
      <c r="BF439" s="17" t="s">
        <v>1133</v>
      </c>
      <c r="BG439" s="17" t="s">
        <v>2454</v>
      </c>
      <c r="BH439" s="31" t="s">
        <v>5719</v>
      </c>
      <c r="BI439" s="17"/>
      <c r="BJ439" s="17" t="s">
        <v>5720</v>
      </c>
      <c r="BK439" s="17"/>
      <c r="BL439" s="17"/>
      <c r="BM439" s="17"/>
      <c r="BN439" s="17"/>
      <c r="BO439" s="17" t="s">
        <v>5731</v>
      </c>
      <c r="BP439" s="17"/>
      <c r="BQ439" s="17"/>
      <c r="BR439" s="17"/>
      <c r="BS439" s="17" t="s">
        <v>127</v>
      </c>
      <c r="BT439" s="17" t="s">
        <v>5722</v>
      </c>
      <c r="BU439" s="17" t="s">
        <v>129</v>
      </c>
      <c r="BV439" s="17"/>
      <c r="BW439" s="17"/>
      <c r="BX439" s="13" t="s">
        <v>5732</v>
      </c>
      <c r="BY439" s="13" t="s">
        <v>4286</v>
      </c>
      <c r="DA439" s="13" t="s">
        <v>10348</v>
      </c>
      <c r="DB439" s="13" t="s">
        <v>10348</v>
      </c>
    </row>
    <row r="440" spans="1:106" s="13" customFormat="1" ht="12.75" customHeight="1" x14ac:dyDescent="0.2">
      <c r="A440" s="13" t="s">
        <v>102</v>
      </c>
      <c r="B440" s="13" t="s">
        <v>103</v>
      </c>
      <c r="D440" s="13" t="s">
        <v>4273</v>
      </c>
      <c r="E440" s="13" t="s">
        <v>4274</v>
      </c>
      <c r="F440" s="13" t="s">
        <v>4273</v>
      </c>
      <c r="H440" s="13" t="s">
        <v>7712</v>
      </c>
      <c r="J440" s="13" t="s">
        <v>106</v>
      </c>
      <c r="W440" s="13">
        <v>524</v>
      </c>
      <c r="X440" s="13">
        <v>524</v>
      </c>
      <c r="Y440" s="13" t="s">
        <v>107</v>
      </c>
      <c r="Z440" s="13" t="s">
        <v>108</v>
      </c>
      <c r="AA440" s="39" t="s">
        <v>107</v>
      </c>
      <c r="AB440" s="13" t="s">
        <v>5733</v>
      </c>
      <c r="AC440" s="13" t="s">
        <v>5733</v>
      </c>
      <c r="AD440" s="17">
        <v>651506000</v>
      </c>
      <c r="AE440" s="39" t="s">
        <v>112</v>
      </c>
      <c r="AF440" s="13">
        <v>651506000</v>
      </c>
      <c r="AG440" s="32" t="s">
        <v>5733</v>
      </c>
      <c r="AH440" s="13" t="s">
        <v>5734</v>
      </c>
      <c r="AL440" s="13" t="s">
        <v>5735</v>
      </c>
      <c r="AN440" s="13">
        <v>329</v>
      </c>
      <c r="AO440" s="13" t="s">
        <v>5736</v>
      </c>
      <c r="AQ440" s="13" t="s">
        <v>5733</v>
      </c>
      <c r="AR440" s="13" t="s">
        <v>5733</v>
      </c>
      <c r="AS440" s="13" t="s">
        <v>116</v>
      </c>
      <c r="AT440" s="13" t="s">
        <v>5737</v>
      </c>
      <c r="AU440" s="13" t="s">
        <v>5737</v>
      </c>
      <c r="AV440" s="13" t="s">
        <v>1127</v>
      </c>
      <c r="AY440" s="17" t="s">
        <v>5738</v>
      </c>
      <c r="AZ440" s="13" t="s">
        <v>5739</v>
      </c>
      <c r="BA440" s="13" t="s">
        <v>5739</v>
      </c>
      <c r="BB440" s="13" t="s">
        <v>5740</v>
      </c>
      <c r="BC440" s="13" t="s">
        <v>5741</v>
      </c>
      <c r="BD440" s="13">
        <f t="shared" si="16"/>
        <v>47</v>
      </c>
      <c r="BE440" s="17" t="s">
        <v>2453</v>
      </c>
      <c r="BF440" s="17" t="s">
        <v>1133</v>
      </c>
      <c r="BG440" s="17" t="s">
        <v>2454</v>
      </c>
      <c r="BH440" s="31" t="s">
        <v>5719</v>
      </c>
      <c r="BI440" s="17"/>
      <c r="BJ440" s="17" t="s">
        <v>5720</v>
      </c>
      <c r="BK440" s="17"/>
      <c r="BL440" s="17"/>
      <c r="BM440" s="17"/>
      <c r="BN440" s="17"/>
      <c r="BO440" s="17" t="s">
        <v>5742</v>
      </c>
      <c r="BP440" s="17"/>
      <c r="BQ440" s="17"/>
      <c r="BR440" s="17"/>
      <c r="BS440" s="17" t="s">
        <v>127</v>
      </c>
      <c r="BT440" s="17" t="s">
        <v>5722</v>
      </c>
      <c r="BU440" s="17" t="s">
        <v>129</v>
      </c>
      <c r="BV440" s="17"/>
      <c r="BW440" s="17"/>
      <c r="BX440" s="13" t="s">
        <v>5743</v>
      </c>
      <c r="BY440" s="13" t="s">
        <v>4286</v>
      </c>
      <c r="DA440" s="13" t="s">
        <v>10348</v>
      </c>
      <c r="DB440" s="13" t="s">
        <v>10348</v>
      </c>
    </row>
    <row r="441" spans="1:106" s="13" customFormat="1" ht="12.75" customHeight="1" x14ac:dyDescent="0.2">
      <c r="A441" s="13" t="s">
        <v>102</v>
      </c>
      <c r="B441" s="13" t="s">
        <v>103</v>
      </c>
      <c r="D441" s="13" t="s">
        <v>4273</v>
      </c>
      <c r="E441" s="13" t="s">
        <v>471</v>
      </c>
      <c r="F441" s="13" t="s">
        <v>4273</v>
      </c>
      <c r="H441" s="13" t="s">
        <v>7712</v>
      </c>
      <c r="J441" s="13" t="s">
        <v>106</v>
      </c>
      <c r="W441" s="13">
        <v>525</v>
      </c>
      <c r="X441" s="13">
        <v>525</v>
      </c>
      <c r="Y441" s="13" t="s">
        <v>107</v>
      </c>
      <c r="Z441" s="13" t="s">
        <v>108</v>
      </c>
      <c r="AA441" s="39" t="s">
        <v>107</v>
      </c>
      <c r="AB441" s="13" t="s">
        <v>5744</v>
      </c>
      <c r="AC441" s="13" t="s">
        <v>5744</v>
      </c>
      <c r="AD441" s="17">
        <v>655506000</v>
      </c>
      <c r="AE441" s="39" t="s">
        <v>112</v>
      </c>
      <c r="AF441" s="13">
        <v>655506000</v>
      </c>
      <c r="AG441" s="32" t="s">
        <v>5744</v>
      </c>
      <c r="AH441" s="13" t="s">
        <v>5745</v>
      </c>
      <c r="AL441" s="13" t="s">
        <v>5711</v>
      </c>
      <c r="AN441" s="13">
        <v>329</v>
      </c>
      <c r="AO441" s="13" t="s">
        <v>5746</v>
      </c>
      <c r="AQ441" s="13" t="s">
        <v>5744</v>
      </c>
      <c r="AR441" s="13" t="s">
        <v>5744</v>
      </c>
      <c r="AS441" s="13" t="s">
        <v>116</v>
      </c>
      <c r="AT441" s="13" t="s">
        <v>5737</v>
      </c>
      <c r="AU441" s="13" t="s">
        <v>5737</v>
      </c>
      <c r="AV441" s="13" t="s">
        <v>1127</v>
      </c>
      <c r="AY441" s="17" t="s">
        <v>5747</v>
      </c>
      <c r="AZ441" s="13" t="s">
        <v>5748</v>
      </c>
      <c r="BA441" s="13" t="s">
        <v>5748</v>
      </c>
      <c r="BB441" s="13" t="s">
        <v>5749</v>
      </c>
      <c r="BC441" s="13" t="s">
        <v>5750</v>
      </c>
      <c r="BD441" s="13">
        <f t="shared" si="16"/>
        <v>51</v>
      </c>
      <c r="BE441" s="17" t="s">
        <v>2453</v>
      </c>
      <c r="BF441" s="17" t="s">
        <v>1133</v>
      </c>
      <c r="BG441" s="17" t="s">
        <v>2454</v>
      </c>
      <c r="BH441" s="31" t="s">
        <v>5719</v>
      </c>
      <c r="BI441" s="17"/>
      <c r="BJ441" s="17" t="s">
        <v>5720</v>
      </c>
      <c r="BK441" s="17"/>
      <c r="BL441" s="17"/>
      <c r="BM441" s="17"/>
      <c r="BN441" s="17"/>
      <c r="BO441" s="17" t="s">
        <v>5751</v>
      </c>
      <c r="BP441" s="17"/>
      <c r="BQ441" s="17"/>
      <c r="BR441" s="17"/>
      <c r="BS441" s="17" t="s">
        <v>127</v>
      </c>
      <c r="BT441" s="17" t="s">
        <v>5722</v>
      </c>
      <c r="BU441" s="17" t="s">
        <v>129</v>
      </c>
      <c r="BV441" s="17"/>
      <c r="BW441" s="17"/>
      <c r="BX441" s="13" t="s">
        <v>5752</v>
      </c>
      <c r="DA441" s="13" t="s">
        <v>10348</v>
      </c>
      <c r="DB441" s="13" t="s">
        <v>10348</v>
      </c>
    </row>
    <row r="442" spans="1:106" s="13" customFormat="1" ht="12.75" customHeight="1" x14ac:dyDescent="0.2">
      <c r="A442" s="13" t="s">
        <v>102</v>
      </c>
      <c r="B442" s="13" t="s">
        <v>103</v>
      </c>
      <c r="D442" s="13" t="s">
        <v>5212</v>
      </c>
      <c r="E442" s="13" t="s">
        <v>228</v>
      </c>
      <c r="F442" s="13" t="s">
        <v>5212</v>
      </c>
      <c r="G442" s="13" t="s">
        <v>229</v>
      </c>
      <c r="H442" s="13" t="s">
        <v>7712</v>
      </c>
      <c r="J442" s="13" t="s">
        <v>106</v>
      </c>
      <c r="W442" s="13">
        <v>526</v>
      </c>
      <c r="X442" s="13">
        <v>526</v>
      </c>
      <c r="Y442" s="13" t="s">
        <v>107</v>
      </c>
      <c r="Z442" s="13" t="s">
        <v>108</v>
      </c>
      <c r="AA442" s="39" t="s">
        <v>107</v>
      </c>
      <c r="AB442" s="13" t="s">
        <v>5753</v>
      </c>
      <c r="AC442" s="13" t="s">
        <v>5753</v>
      </c>
      <c r="AD442" s="13" t="s">
        <v>5753</v>
      </c>
      <c r="AE442" s="39" t="s">
        <v>112</v>
      </c>
      <c r="AF442" s="13" t="s">
        <v>5753</v>
      </c>
      <c r="AG442" s="13" t="s">
        <v>5753</v>
      </c>
      <c r="AH442" s="13" t="s">
        <v>5754</v>
      </c>
      <c r="AL442" s="13" t="s">
        <v>5755</v>
      </c>
      <c r="AN442" s="13">
        <v>329</v>
      </c>
      <c r="AO442" s="13" t="s">
        <v>5756</v>
      </c>
      <c r="AQ442" s="13" t="s">
        <v>5753</v>
      </c>
      <c r="AR442" s="13" t="s">
        <v>5753</v>
      </c>
      <c r="AS442" s="13" t="s">
        <v>116</v>
      </c>
      <c r="AT442" s="13" t="s">
        <v>5757</v>
      </c>
      <c r="AU442" s="13" t="s">
        <v>5758</v>
      </c>
      <c r="AV442" s="13" t="s">
        <v>5759</v>
      </c>
      <c r="AY442" s="13" t="s">
        <v>5760</v>
      </c>
      <c r="AZ442" s="13" t="s">
        <v>5761</v>
      </c>
      <c r="BA442" s="13" t="s">
        <v>5761</v>
      </c>
      <c r="BB442" s="13" t="s">
        <v>5762</v>
      </c>
      <c r="BC442" s="13" t="s">
        <v>5762</v>
      </c>
      <c r="BD442" s="13">
        <f t="shared" si="16"/>
        <v>59</v>
      </c>
      <c r="BE442" s="17" t="s">
        <v>5221</v>
      </c>
      <c r="BF442" s="17" t="s">
        <v>5763</v>
      </c>
      <c r="BG442" s="17"/>
      <c r="BH442" s="31" t="s">
        <v>4738</v>
      </c>
      <c r="BI442" s="17"/>
      <c r="BJ442" s="17" t="s">
        <v>5764</v>
      </c>
      <c r="BK442" s="17"/>
      <c r="BL442" s="17"/>
      <c r="BM442" s="17"/>
      <c r="BN442" s="17"/>
      <c r="BO442" s="17"/>
      <c r="BP442" s="17"/>
      <c r="BQ442" s="17"/>
      <c r="BR442" s="17"/>
      <c r="BS442" s="17" t="s">
        <v>127</v>
      </c>
      <c r="BT442" s="17"/>
      <c r="BU442" s="17" t="s">
        <v>129</v>
      </c>
      <c r="BV442" s="17"/>
      <c r="BW442" s="17"/>
      <c r="BX442" s="25" t="s">
        <v>5765</v>
      </c>
      <c r="DA442" s="13" t="s">
        <v>10348</v>
      </c>
      <c r="DB442" s="13" t="s">
        <v>10348</v>
      </c>
    </row>
    <row r="443" spans="1:106" s="13" customFormat="1" ht="12.75" customHeight="1" x14ac:dyDescent="0.2">
      <c r="A443" s="13" t="s">
        <v>102</v>
      </c>
      <c r="B443" s="13" t="s">
        <v>103</v>
      </c>
      <c r="D443" s="13" t="s">
        <v>5212</v>
      </c>
      <c r="E443" s="13" t="s">
        <v>228</v>
      </c>
      <c r="F443" s="13" t="s">
        <v>5212</v>
      </c>
      <c r="G443" s="13" t="s">
        <v>229</v>
      </c>
      <c r="H443" s="13" t="s">
        <v>7712</v>
      </c>
      <c r="J443" s="13" t="s">
        <v>106</v>
      </c>
      <c r="W443" s="13">
        <v>527</v>
      </c>
      <c r="X443" s="13">
        <v>527</v>
      </c>
      <c r="Y443" s="13" t="s">
        <v>107</v>
      </c>
      <c r="Z443" s="13" t="s">
        <v>108</v>
      </c>
      <c r="AA443" s="39" t="s">
        <v>107</v>
      </c>
      <c r="AB443" s="13" t="s">
        <v>5766</v>
      </c>
      <c r="AC443" s="13" t="s">
        <v>5766</v>
      </c>
      <c r="AD443" s="13" t="s">
        <v>5766</v>
      </c>
      <c r="AE443" s="39" t="s">
        <v>112</v>
      </c>
      <c r="AF443" s="13" t="s">
        <v>5766</v>
      </c>
      <c r="AG443" s="13" t="s">
        <v>5766</v>
      </c>
      <c r="AH443" s="13" t="s">
        <v>5767</v>
      </c>
      <c r="AL443" s="13" t="s">
        <v>5768</v>
      </c>
      <c r="AN443" s="13">
        <v>329</v>
      </c>
      <c r="AO443" s="13" t="s">
        <v>5769</v>
      </c>
      <c r="AQ443" s="13" t="s">
        <v>5766</v>
      </c>
      <c r="AR443" s="13" t="s">
        <v>5766</v>
      </c>
      <c r="AS443" s="13" t="s">
        <v>116</v>
      </c>
      <c r="AT443" s="13" t="s">
        <v>5770</v>
      </c>
      <c r="AU443" s="13" t="s">
        <v>5771</v>
      </c>
      <c r="AV443" s="13" t="s">
        <v>5772</v>
      </c>
      <c r="AW443" s="13" t="s">
        <v>5773</v>
      </c>
      <c r="AX443" s="13" t="s">
        <v>5774</v>
      </c>
      <c r="AY443" s="13" t="s">
        <v>5775</v>
      </c>
      <c r="AZ443" s="13" t="s">
        <v>5776</v>
      </c>
      <c r="BA443" s="13" t="s">
        <v>5776</v>
      </c>
      <c r="BB443" s="13" t="s">
        <v>5777</v>
      </c>
      <c r="BC443" s="13" t="s">
        <v>5777</v>
      </c>
      <c r="BD443" s="13">
        <f t="shared" si="16"/>
        <v>50</v>
      </c>
      <c r="BE443" s="17" t="s">
        <v>5221</v>
      </c>
      <c r="BF443" s="17" t="s">
        <v>5778</v>
      </c>
      <c r="BG443" s="17" t="s">
        <v>5529</v>
      </c>
      <c r="BH443" s="17"/>
      <c r="BI443" s="17"/>
      <c r="BJ443" s="17" t="s">
        <v>5779</v>
      </c>
      <c r="BK443" s="17"/>
      <c r="BL443" s="17"/>
      <c r="BM443" s="17"/>
      <c r="BN443" s="17"/>
      <c r="BO443" s="17"/>
      <c r="BP443" s="17"/>
      <c r="BQ443" s="17"/>
      <c r="BR443" s="17"/>
      <c r="BS443" s="17" t="s">
        <v>127</v>
      </c>
      <c r="BT443" s="17" t="s">
        <v>5722</v>
      </c>
      <c r="BU443" s="17" t="s">
        <v>129</v>
      </c>
      <c r="BV443" s="17"/>
      <c r="BW443" s="17"/>
      <c r="BX443" s="25" t="s">
        <v>5780</v>
      </c>
      <c r="DA443" s="13" t="s">
        <v>10348</v>
      </c>
      <c r="DB443" s="13" t="s">
        <v>10348</v>
      </c>
    </row>
    <row r="444" spans="1:106" s="13" customFormat="1" ht="12.75" customHeight="1" x14ac:dyDescent="0.2">
      <c r="A444" s="13" t="s">
        <v>102</v>
      </c>
      <c r="B444" s="13" t="s">
        <v>103</v>
      </c>
      <c r="D444" s="13" t="s">
        <v>5212</v>
      </c>
      <c r="E444" s="13" t="s">
        <v>228</v>
      </c>
      <c r="F444" s="13" t="s">
        <v>5212</v>
      </c>
      <c r="G444" s="13" t="s">
        <v>229</v>
      </c>
      <c r="H444" s="13" t="s">
        <v>7712</v>
      </c>
      <c r="J444" s="13" t="s">
        <v>106</v>
      </c>
      <c r="W444" s="13">
        <v>528</v>
      </c>
      <c r="X444" s="13">
        <v>528</v>
      </c>
      <c r="Y444" s="13" t="s">
        <v>107</v>
      </c>
      <c r="Z444" s="13" t="s">
        <v>108</v>
      </c>
      <c r="AA444" s="39" t="s">
        <v>107</v>
      </c>
      <c r="AB444" s="13" t="s">
        <v>5781</v>
      </c>
      <c r="AC444" s="13" t="s">
        <v>5781</v>
      </c>
      <c r="AD444" s="13" t="s">
        <v>5781</v>
      </c>
      <c r="AE444" s="39" t="s">
        <v>112</v>
      </c>
      <c r="AF444" s="13" t="s">
        <v>5781</v>
      </c>
      <c r="AG444" s="13" t="s">
        <v>5781</v>
      </c>
      <c r="AH444" s="13" t="s">
        <v>5782</v>
      </c>
      <c r="AL444" s="13" t="s">
        <v>5783</v>
      </c>
      <c r="AN444" s="13">
        <v>329</v>
      </c>
      <c r="AO444" s="13" t="s">
        <v>5784</v>
      </c>
      <c r="AQ444" s="13" t="s">
        <v>5781</v>
      </c>
      <c r="AR444" s="13" t="s">
        <v>5781</v>
      </c>
      <c r="AS444" s="13" t="s">
        <v>116</v>
      </c>
      <c r="AT444" s="13" t="s">
        <v>5785</v>
      </c>
      <c r="AU444" s="13" t="s">
        <v>5771</v>
      </c>
      <c r="AV444" s="13" t="s">
        <v>5772</v>
      </c>
      <c r="AW444" s="13" t="s">
        <v>5773</v>
      </c>
      <c r="AX444" s="13" t="s">
        <v>5774</v>
      </c>
      <c r="AY444" s="13" t="s">
        <v>5775</v>
      </c>
      <c r="AZ444" s="13" t="s">
        <v>5786</v>
      </c>
      <c r="BA444" s="13" t="s">
        <v>5786</v>
      </c>
      <c r="BB444" s="13" t="s">
        <v>5787</v>
      </c>
      <c r="BC444" s="13" t="s">
        <v>5787</v>
      </c>
      <c r="BD444" s="13">
        <f t="shared" si="16"/>
        <v>51</v>
      </c>
      <c r="BE444" s="17" t="s">
        <v>5221</v>
      </c>
      <c r="BF444" s="17" t="s">
        <v>5778</v>
      </c>
      <c r="BG444" s="17" t="s">
        <v>5529</v>
      </c>
      <c r="BH444" s="17"/>
      <c r="BI444" s="17"/>
      <c r="BJ444" s="17" t="s">
        <v>5788</v>
      </c>
      <c r="BK444" s="17"/>
      <c r="BL444" s="17"/>
      <c r="BM444" s="17"/>
      <c r="BN444" s="17"/>
      <c r="BO444" s="17"/>
      <c r="BP444" s="17"/>
      <c r="BQ444" s="17"/>
      <c r="BR444" s="17"/>
      <c r="BS444" s="17" t="s">
        <v>127</v>
      </c>
      <c r="BT444" s="17" t="s">
        <v>5722</v>
      </c>
      <c r="BU444" s="17" t="s">
        <v>129</v>
      </c>
      <c r="BV444" s="17"/>
      <c r="BW444" s="17"/>
      <c r="BX444" s="25" t="s">
        <v>5789</v>
      </c>
      <c r="DA444" s="13" t="s">
        <v>10348</v>
      </c>
      <c r="DB444" s="13" t="s">
        <v>10348</v>
      </c>
    </row>
    <row r="445" spans="1:106" s="13" customFormat="1" ht="12.75" customHeight="1" x14ac:dyDescent="0.2">
      <c r="A445" s="13" t="s">
        <v>102</v>
      </c>
      <c r="B445" s="13" t="s">
        <v>103</v>
      </c>
      <c r="D445" s="13" t="s">
        <v>5212</v>
      </c>
      <c r="E445" s="13" t="s">
        <v>228</v>
      </c>
      <c r="F445" s="13" t="s">
        <v>5212</v>
      </c>
      <c r="G445" s="13" t="s">
        <v>229</v>
      </c>
      <c r="H445" s="13" t="s">
        <v>7712</v>
      </c>
      <c r="J445" s="13" t="s">
        <v>106</v>
      </c>
      <c r="W445" s="13">
        <v>529</v>
      </c>
      <c r="X445" s="13">
        <v>529</v>
      </c>
      <c r="Y445" s="13" t="s">
        <v>107</v>
      </c>
      <c r="Z445" s="13" t="s">
        <v>108</v>
      </c>
      <c r="AA445" s="39" t="s">
        <v>107</v>
      </c>
      <c r="AB445" s="13" t="s">
        <v>5790</v>
      </c>
      <c r="AC445" s="13" t="s">
        <v>5790</v>
      </c>
      <c r="AD445" s="13" t="s">
        <v>5790</v>
      </c>
      <c r="AE445" s="39" t="s">
        <v>112</v>
      </c>
      <c r="AF445" s="13" t="s">
        <v>5790</v>
      </c>
      <c r="AG445" s="13" t="s">
        <v>5790</v>
      </c>
      <c r="AH445" s="13" t="s">
        <v>5791</v>
      </c>
      <c r="AL445" s="13" t="s">
        <v>5792</v>
      </c>
      <c r="AN445" s="13">
        <v>329</v>
      </c>
      <c r="AO445" s="13" t="s">
        <v>5793</v>
      </c>
      <c r="AQ445" s="13" t="s">
        <v>5790</v>
      </c>
      <c r="AR445" s="13" t="s">
        <v>5790</v>
      </c>
      <c r="AS445" s="13" t="s">
        <v>116</v>
      </c>
      <c r="AT445" s="13" t="s">
        <v>5794</v>
      </c>
      <c r="AU445" s="13" t="s">
        <v>5771</v>
      </c>
      <c r="AV445" s="13" t="s">
        <v>5772</v>
      </c>
      <c r="AW445" s="13" t="s">
        <v>5773</v>
      </c>
      <c r="AX445" s="13" t="s">
        <v>5774</v>
      </c>
      <c r="AY445" s="13" t="s">
        <v>5775</v>
      </c>
      <c r="AZ445" s="13" t="s">
        <v>5795</v>
      </c>
      <c r="BA445" s="13" t="s">
        <v>5795</v>
      </c>
      <c r="BB445" s="13" t="s">
        <v>5796</v>
      </c>
      <c r="BC445" s="13" t="s">
        <v>5796</v>
      </c>
      <c r="BD445" s="13">
        <f t="shared" si="16"/>
        <v>51</v>
      </c>
      <c r="BE445" s="17" t="s">
        <v>5221</v>
      </c>
      <c r="BF445" s="17" t="s">
        <v>5778</v>
      </c>
      <c r="BG445" s="17" t="s">
        <v>5529</v>
      </c>
      <c r="BH445" s="17"/>
      <c r="BI445" s="17"/>
      <c r="BJ445" s="17" t="s">
        <v>5797</v>
      </c>
      <c r="BK445" s="17"/>
      <c r="BL445" s="17"/>
      <c r="BM445" s="17"/>
      <c r="BN445" s="17"/>
      <c r="BO445" s="17"/>
      <c r="BP445" s="17"/>
      <c r="BQ445" s="17"/>
      <c r="BR445" s="17"/>
      <c r="BS445" s="17" t="s">
        <v>127</v>
      </c>
      <c r="BT445" s="17" t="s">
        <v>5722</v>
      </c>
      <c r="BU445" s="17" t="s">
        <v>129</v>
      </c>
      <c r="BV445" s="17"/>
      <c r="BW445" s="17"/>
      <c r="BX445" s="25" t="s">
        <v>5798</v>
      </c>
      <c r="DA445" s="13" t="s">
        <v>10348</v>
      </c>
      <c r="DB445" s="13" t="s">
        <v>10348</v>
      </c>
    </row>
    <row r="446" spans="1:106" s="13" customFormat="1" ht="12.75" customHeight="1" x14ac:dyDescent="0.2">
      <c r="A446" s="13" t="s">
        <v>102</v>
      </c>
      <c r="B446" s="13" t="s">
        <v>103</v>
      </c>
      <c r="D446" s="13" t="s">
        <v>5212</v>
      </c>
      <c r="E446" s="13" t="s">
        <v>228</v>
      </c>
      <c r="F446" s="13" t="s">
        <v>5212</v>
      </c>
      <c r="G446" s="13" t="s">
        <v>229</v>
      </c>
      <c r="H446" s="13" t="s">
        <v>7712</v>
      </c>
      <c r="J446" s="13" t="s">
        <v>106</v>
      </c>
      <c r="W446" s="13">
        <v>530</v>
      </c>
      <c r="X446" s="13">
        <v>530</v>
      </c>
      <c r="Y446" s="13" t="s">
        <v>107</v>
      </c>
      <c r="Z446" s="13" t="s">
        <v>108</v>
      </c>
      <c r="AA446" s="39" t="s">
        <v>107</v>
      </c>
      <c r="AB446" s="13" t="s">
        <v>5799</v>
      </c>
      <c r="AC446" s="13" t="s">
        <v>5799</v>
      </c>
      <c r="AD446" s="13" t="s">
        <v>5799</v>
      </c>
      <c r="AE446" s="39" t="s">
        <v>112</v>
      </c>
      <c r="AF446" s="13" t="s">
        <v>5799</v>
      </c>
      <c r="AG446" s="13" t="s">
        <v>5799</v>
      </c>
      <c r="AH446" s="13" t="s">
        <v>5800</v>
      </c>
      <c r="AL446" s="13" t="s">
        <v>5801</v>
      </c>
      <c r="AN446" s="13">
        <v>329</v>
      </c>
      <c r="AO446" s="13" t="s">
        <v>5802</v>
      </c>
      <c r="AQ446" s="13" t="s">
        <v>5799</v>
      </c>
      <c r="AR446" s="13" t="s">
        <v>5799</v>
      </c>
      <c r="AS446" s="13" t="s">
        <v>116</v>
      </c>
      <c r="AT446" s="13" t="s">
        <v>5803</v>
      </c>
      <c r="AU446" s="13" t="s">
        <v>5771</v>
      </c>
      <c r="AV446" s="13" t="s">
        <v>5772</v>
      </c>
      <c r="AW446" s="13" t="s">
        <v>5773</v>
      </c>
      <c r="AX446" s="13" t="s">
        <v>5774</v>
      </c>
      <c r="AY446" s="13" t="s">
        <v>5775</v>
      </c>
      <c r="AZ446" s="13" t="s">
        <v>5804</v>
      </c>
      <c r="BA446" s="13" t="s">
        <v>5804</v>
      </c>
      <c r="BB446" s="13" t="s">
        <v>5805</v>
      </c>
      <c r="BC446" s="13" t="s">
        <v>5805</v>
      </c>
      <c r="BD446" s="13">
        <f t="shared" si="16"/>
        <v>50</v>
      </c>
      <c r="BE446" s="17" t="s">
        <v>5221</v>
      </c>
      <c r="BF446" s="17" t="s">
        <v>5778</v>
      </c>
      <c r="BG446" s="17" t="s">
        <v>5529</v>
      </c>
      <c r="BH446" s="17"/>
      <c r="BI446" s="17"/>
      <c r="BJ446" s="17" t="s">
        <v>5806</v>
      </c>
      <c r="BK446" s="17"/>
      <c r="BL446" s="17"/>
      <c r="BM446" s="17"/>
      <c r="BN446" s="17"/>
      <c r="BO446" s="17"/>
      <c r="BP446" s="17"/>
      <c r="BQ446" s="17"/>
      <c r="BR446" s="17"/>
      <c r="BS446" s="17" t="s">
        <v>127</v>
      </c>
      <c r="BT446" s="17" t="s">
        <v>5722</v>
      </c>
      <c r="BU446" s="17" t="s">
        <v>129</v>
      </c>
      <c r="BV446" s="17"/>
      <c r="BW446" s="17"/>
      <c r="BX446" s="25" t="s">
        <v>5807</v>
      </c>
      <c r="DA446" s="13" t="s">
        <v>10348</v>
      </c>
      <c r="DB446" s="13" t="s">
        <v>10348</v>
      </c>
    </row>
    <row r="447" spans="1:106" s="13" customFormat="1" ht="12.75" customHeight="1" x14ac:dyDescent="0.2">
      <c r="A447" s="13" t="s">
        <v>102</v>
      </c>
      <c r="B447" s="13" t="s">
        <v>103</v>
      </c>
      <c r="D447" s="13" t="s">
        <v>5212</v>
      </c>
      <c r="E447" s="13" t="s">
        <v>228</v>
      </c>
      <c r="F447" s="13" t="s">
        <v>5212</v>
      </c>
      <c r="G447" s="13" t="s">
        <v>229</v>
      </c>
      <c r="H447" s="13" t="s">
        <v>7712</v>
      </c>
      <c r="J447" s="13" t="s">
        <v>106</v>
      </c>
      <c r="W447" s="13">
        <v>531</v>
      </c>
      <c r="X447" s="13">
        <v>531</v>
      </c>
      <c r="Y447" s="13" t="s">
        <v>107</v>
      </c>
      <c r="Z447" s="13" t="s">
        <v>108</v>
      </c>
      <c r="AA447" s="39" t="s">
        <v>107</v>
      </c>
      <c r="AB447" s="13" t="s">
        <v>5808</v>
      </c>
      <c r="AC447" s="13" t="s">
        <v>5808</v>
      </c>
      <c r="AD447" s="13" t="s">
        <v>5808</v>
      </c>
      <c r="AE447" s="39" t="s">
        <v>112</v>
      </c>
      <c r="AF447" s="13" t="s">
        <v>5808</v>
      </c>
      <c r="AG447" s="13" t="s">
        <v>5808</v>
      </c>
      <c r="AH447" s="13" t="s">
        <v>5809</v>
      </c>
      <c r="AL447" s="13" t="s">
        <v>5810</v>
      </c>
      <c r="AN447" s="13">
        <v>329</v>
      </c>
      <c r="AO447" s="13" t="s">
        <v>5811</v>
      </c>
      <c r="AQ447" s="13" t="s">
        <v>5808</v>
      </c>
      <c r="AR447" s="13" t="s">
        <v>5808</v>
      </c>
      <c r="AS447" s="13" t="s">
        <v>116</v>
      </c>
      <c r="AT447" s="13" t="s">
        <v>5812</v>
      </c>
      <c r="AU447" s="13" t="s">
        <v>5771</v>
      </c>
      <c r="AV447" s="13" t="s">
        <v>5772</v>
      </c>
      <c r="AW447" s="13" t="s">
        <v>5773</v>
      </c>
      <c r="AX447" s="13" t="s">
        <v>5774</v>
      </c>
      <c r="AY447" s="13" t="s">
        <v>5775</v>
      </c>
      <c r="AZ447" s="13" t="s">
        <v>5813</v>
      </c>
      <c r="BA447" s="13" t="s">
        <v>5813</v>
      </c>
      <c r="BB447" s="13" t="s">
        <v>5814</v>
      </c>
      <c r="BC447" s="13" t="s">
        <v>5814</v>
      </c>
      <c r="BD447" s="13">
        <f t="shared" si="16"/>
        <v>51</v>
      </c>
      <c r="BE447" s="17" t="s">
        <v>5221</v>
      </c>
      <c r="BF447" s="17" t="s">
        <v>5778</v>
      </c>
      <c r="BG447" s="17" t="s">
        <v>5529</v>
      </c>
      <c r="BH447" s="17"/>
      <c r="BI447" s="17"/>
      <c r="BJ447" s="17" t="s">
        <v>5815</v>
      </c>
      <c r="BK447" s="17"/>
      <c r="BL447" s="17"/>
      <c r="BM447" s="17"/>
      <c r="BN447" s="17"/>
      <c r="BO447" s="17"/>
      <c r="BP447" s="17"/>
      <c r="BQ447" s="17"/>
      <c r="BR447" s="17"/>
      <c r="BS447" s="17" t="s">
        <v>127</v>
      </c>
      <c r="BT447" s="17" t="s">
        <v>5722</v>
      </c>
      <c r="BU447" s="17" t="s">
        <v>129</v>
      </c>
      <c r="BV447" s="17"/>
      <c r="BW447" s="17"/>
      <c r="BX447" s="25" t="s">
        <v>5816</v>
      </c>
      <c r="DA447" s="13" t="s">
        <v>10348</v>
      </c>
      <c r="DB447" s="13" t="s">
        <v>10348</v>
      </c>
    </row>
    <row r="448" spans="1:106" s="13" customFormat="1" ht="12.75" customHeight="1" x14ac:dyDescent="0.2">
      <c r="A448" s="13" t="s">
        <v>102</v>
      </c>
      <c r="B448" s="13" t="s">
        <v>103</v>
      </c>
      <c r="D448" s="13" t="s">
        <v>5212</v>
      </c>
      <c r="E448" s="13" t="s">
        <v>228</v>
      </c>
      <c r="F448" s="13" t="s">
        <v>5212</v>
      </c>
      <c r="G448" s="13" t="s">
        <v>229</v>
      </c>
      <c r="H448" s="13" t="s">
        <v>7712</v>
      </c>
      <c r="J448" s="13" t="s">
        <v>106</v>
      </c>
      <c r="W448" s="13">
        <v>532</v>
      </c>
      <c r="X448" s="13">
        <v>532</v>
      </c>
      <c r="Y448" s="13" t="s">
        <v>107</v>
      </c>
      <c r="Z448" s="13" t="s">
        <v>108</v>
      </c>
      <c r="AA448" s="39" t="s">
        <v>107</v>
      </c>
      <c r="AB448" s="13" t="s">
        <v>5817</v>
      </c>
      <c r="AC448" s="13" t="s">
        <v>5817</v>
      </c>
      <c r="AD448" s="13" t="s">
        <v>5817</v>
      </c>
      <c r="AE448" s="39" t="s">
        <v>112</v>
      </c>
      <c r="AF448" s="13" t="s">
        <v>5817</v>
      </c>
      <c r="AG448" s="13" t="s">
        <v>5817</v>
      </c>
      <c r="AH448" s="13" t="s">
        <v>5818</v>
      </c>
      <c r="AL448" s="13" t="s">
        <v>5819</v>
      </c>
      <c r="AN448" s="13">
        <v>329</v>
      </c>
      <c r="AO448" s="13" t="s">
        <v>5820</v>
      </c>
      <c r="AQ448" s="13" t="s">
        <v>5817</v>
      </c>
      <c r="AR448" s="13" t="s">
        <v>5817</v>
      </c>
      <c r="AS448" s="13" t="s">
        <v>116</v>
      </c>
      <c r="AT448" s="13" t="s">
        <v>5821</v>
      </c>
      <c r="AU448" s="13" t="s">
        <v>5771</v>
      </c>
      <c r="AV448" s="13" t="s">
        <v>5772</v>
      </c>
      <c r="AW448" s="13" t="s">
        <v>5773</v>
      </c>
      <c r="AX448" s="13" t="s">
        <v>5774</v>
      </c>
      <c r="AY448" s="13" t="s">
        <v>5775</v>
      </c>
      <c r="AZ448" s="13" t="s">
        <v>5822</v>
      </c>
      <c r="BA448" s="13" t="s">
        <v>5822</v>
      </c>
      <c r="BB448" s="13" t="s">
        <v>5823</v>
      </c>
      <c r="BC448" s="13" t="s">
        <v>5823</v>
      </c>
      <c r="BD448" s="13">
        <f t="shared" si="16"/>
        <v>51</v>
      </c>
      <c r="BE448" s="17" t="s">
        <v>5221</v>
      </c>
      <c r="BF448" s="17" t="s">
        <v>5778</v>
      </c>
      <c r="BG448" s="17" t="s">
        <v>5529</v>
      </c>
      <c r="BH448" s="17"/>
      <c r="BI448" s="17"/>
      <c r="BJ448" s="17" t="s">
        <v>5824</v>
      </c>
      <c r="BK448" s="17"/>
      <c r="BL448" s="17"/>
      <c r="BM448" s="17"/>
      <c r="BN448" s="17"/>
      <c r="BO448" s="17"/>
      <c r="BP448" s="17"/>
      <c r="BQ448" s="17"/>
      <c r="BR448" s="17"/>
      <c r="BS448" s="17" t="s">
        <v>127</v>
      </c>
      <c r="BT448" s="17" t="s">
        <v>5722</v>
      </c>
      <c r="BU448" s="17" t="s">
        <v>129</v>
      </c>
      <c r="BV448" s="17"/>
      <c r="BW448" s="17"/>
      <c r="BX448" s="25" t="s">
        <v>5825</v>
      </c>
      <c r="DA448" s="13" t="s">
        <v>10348</v>
      </c>
      <c r="DB448" s="13" t="s">
        <v>10348</v>
      </c>
    </row>
    <row r="449" spans="1:106" s="13" customFormat="1" ht="12.75" customHeight="1" x14ac:dyDescent="0.2">
      <c r="A449" s="13" t="s">
        <v>102</v>
      </c>
      <c r="B449" s="13" t="s">
        <v>103</v>
      </c>
      <c r="D449" s="13" t="s">
        <v>5212</v>
      </c>
      <c r="E449" s="13" t="s">
        <v>228</v>
      </c>
      <c r="F449" s="13" t="s">
        <v>5212</v>
      </c>
      <c r="G449" s="13" t="s">
        <v>229</v>
      </c>
      <c r="H449" s="13" t="s">
        <v>7712</v>
      </c>
      <c r="J449" s="13" t="s">
        <v>106</v>
      </c>
      <c r="W449" s="13">
        <v>533</v>
      </c>
      <c r="X449" s="13">
        <v>533</v>
      </c>
      <c r="Y449" s="13" t="s">
        <v>107</v>
      </c>
      <c r="Z449" s="13" t="s">
        <v>108</v>
      </c>
      <c r="AA449" s="39" t="s">
        <v>107</v>
      </c>
      <c r="AB449" s="13" t="s">
        <v>5826</v>
      </c>
      <c r="AC449" s="13" t="s">
        <v>5826</v>
      </c>
      <c r="AD449" s="13" t="s">
        <v>5826</v>
      </c>
      <c r="AE449" s="39" t="s">
        <v>112</v>
      </c>
      <c r="AF449" s="13" t="s">
        <v>5826</v>
      </c>
      <c r="AG449" s="13" t="s">
        <v>5826</v>
      </c>
      <c r="AH449" s="13" t="s">
        <v>5827</v>
      </c>
      <c r="AL449" s="13" t="s">
        <v>5828</v>
      </c>
      <c r="AN449" s="13">
        <v>329</v>
      </c>
      <c r="AO449" s="13" t="s">
        <v>5829</v>
      </c>
      <c r="AQ449" s="13" t="s">
        <v>5826</v>
      </c>
      <c r="AR449" s="13" t="s">
        <v>5826</v>
      </c>
      <c r="AS449" s="13" t="s">
        <v>116</v>
      </c>
      <c r="AT449" s="13" t="s">
        <v>5830</v>
      </c>
      <c r="AU449" s="13" t="s">
        <v>5771</v>
      </c>
      <c r="AV449" s="13" t="s">
        <v>5772</v>
      </c>
      <c r="AW449" s="13" t="s">
        <v>5773</v>
      </c>
      <c r="AX449" s="13" t="s">
        <v>5774</v>
      </c>
      <c r="AY449" s="13" t="s">
        <v>5775</v>
      </c>
      <c r="AZ449" s="13" t="s">
        <v>5831</v>
      </c>
      <c r="BA449" s="13" t="s">
        <v>5831</v>
      </c>
      <c r="BB449" s="13" t="s">
        <v>5832</v>
      </c>
      <c r="BC449" s="13" t="s">
        <v>5832</v>
      </c>
      <c r="BD449" s="13">
        <f t="shared" si="16"/>
        <v>51</v>
      </c>
      <c r="BE449" s="17" t="s">
        <v>5221</v>
      </c>
      <c r="BF449" s="17" t="s">
        <v>5778</v>
      </c>
      <c r="BG449" s="17" t="s">
        <v>5529</v>
      </c>
      <c r="BH449" s="17"/>
      <c r="BI449" s="17"/>
      <c r="BJ449" s="17" t="s">
        <v>5833</v>
      </c>
      <c r="BK449" s="17"/>
      <c r="BL449" s="17"/>
      <c r="BM449" s="17"/>
      <c r="BN449" s="17"/>
      <c r="BO449" s="17"/>
      <c r="BP449" s="17"/>
      <c r="BQ449" s="17"/>
      <c r="BR449" s="17"/>
      <c r="BS449" s="17" t="s">
        <v>127</v>
      </c>
      <c r="BT449" s="17" t="s">
        <v>5722</v>
      </c>
      <c r="BU449" s="17" t="s">
        <v>129</v>
      </c>
      <c r="BV449" s="17"/>
      <c r="BW449" s="17"/>
      <c r="BX449" s="25" t="s">
        <v>5834</v>
      </c>
      <c r="DA449" s="13" t="s">
        <v>10348</v>
      </c>
      <c r="DB449" s="13" t="s">
        <v>10348</v>
      </c>
    </row>
    <row r="450" spans="1:106" s="13" customFormat="1" ht="12.75" customHeight="1" x14ac:dyDescent="0.2">
      <c r="A450" s="13" t="s">
        <v>102</v>
      </c>
      <c r="B450" s="13" t="s">
        <v>103</v>
      </c>
      <c r="D450" s="13" t="s">
        <v>5212</v>
      </c>
      <c r="E450" s="13" t="s">
        <v>471</v>
      </c>
      <c r="F450" s="13" t="s">
        <v>5212</v>
      </c>
      <c r="G450" s="13" t="s">
        <v>229</v>
      </c>
      <c r="H450" s="13" t="s">
        <v>7712</v>
      </c>
      <c r="J450" s="13" t="s">
        <v>106</v>
      </c>
      <c r="W450" s="13">
        <v>534</v>
      </c>
      <c r="X450" s="13">
        <v>534</v>
      </c>
      <c r="Y450" s="13" t="s">
        <v>107</v>
      </c>
      <c r="Z450" s="13" t="s">
        <v>108</v>
      </c>
      <c r="AA450" s="39" t="s">
        <v>107</v>
      </c>
      <c r="AB450" s="13" t="s">
        <v>5835</v>
      </c>
      <c r="AC450" s="13" t="s">
        <v>5835</v>
      </c>
      <c r="AD450" s="13" t="s">
        <v>5835</v>
      </c>
      <c r="AE450" s="39" t="s">
        <v>112</v>
      </c>
      <c r="AF450" s="13" t="s">
        <v>5835</v>
      </c>
      <c r="AG450" s="13" t="s">
        <v>5835</v>
      </c>
      <c r="AH450" s="13" t="s">
        <v>5836</v>
      </c>
      <c r="AL450" s="13" t="s">
        <v>5819</v>
      </c>
      <c r="AN450" s="13">
        <v>329</v>
      </c>
      <c r="AO450" s="13" t="s">
        <v>5837</v>
      </c>
      <c r="AQ450" s="13" t="s">
        <v>5835</v>
      </c>
      <c r="AR450" s="13" t="s">
        <v>5835</v>
      </c>
      <c r="AS450" s="13" t="s">
        <v>116</v>
      </c>
      <c r="AT450" s="13" t="s">
        <v>5838</v>
      </c>
      <c r="AU450" s="13" t="s">
        <v>5771</v>
      </c>
      <c r="AV450" s="13" t="s">
        <v>5772</v>
      </c>
      <c r="AW450" s="39" t="s">
        <v>5773</v>
      </c>
      <c r="AX450" s="39" t="s">
        <v>5774</v>
      </c>
      <c r="AY450" s="13" t="s">
        <v>5839</v>
      </c>
      <c r="AZ450" s="13" t="s">
        <v>5840</v>
      </c>
      <c r="BA450" s="13" t="s">
        <v>5840</v>
      </c>
      <c r="BB450" s="13" t="s">
        <v>5841</v>
      </c>
      <c r="BC450" s="13" t="s">
        <v>5841</v>
      </c>
      <c r="BD450" s="13">
        <f t="shared" si="16"/>
        <v>44</v>
      </c>
      <c r="BE450" s="17" t="s">
        <v>5221</v>
      </c>
      <c r="BF450" s="17" t="s">
        <v>5778</v>
      </c>
      <c r="BG450" s="17"/>
      <c r="BH450" s="17"/>
      <c r="BI450" s="17"/>
      <c r="BJ450" s="17" t="s">
        <v>5824</v>
      </c>
      <c r="BK450" s="17"/>
      <c r="BL450" s="17"/>
      <c r="BM450" s="17"/>
      <c r="BN450" s="17"/>
      <c r="BO450" s="17"/>
      <c r="BP450" s="17"/>
      <c r="BQ450" s="17"/>
      <c r="BR450" s="17"/>
      <c r="BS450" s="17" t="s">
        <v>127</v>
      </c>
      <c r="BT450" s="17" t="s">
        <v>5722</v>
      </c>
      <c r="BU450" s="17" t="s">
        <v>129</v>
      </c>
      <c r="BV450" s="17"/>
      <c r="BW450" s="17"/>
      <c r="BX450" s="25" t="s">
        <v>5842</v>
      </c>
      <c r="DA450" s="13" t="s">
        <v>10348</v>
      </c>
      <c r="DB450" s="13" t="s">
        <v>10348</v>
      </c>
    </row>
    <row r="451" spans="1:106" s="13" customFormat="1" ht="12.75" customHeight="1" x14ac:dyDescent="0.2">
      <c r="A451" s="13" t="s">
        <v>102</v>
      </c>
      <c r="B451" s="13" t="s">
        <v>103</v>
      </c>
      <c r="D451" s="13" t="s">
        <v>5212</v>
      </c>
      <c r="E451" s="13" t="s">
        <v>228</v>
      </c>
      <c r="F451" s="13" t="s">
        <v>5212</v>
      </c>
      <c r="G451" s="13" t="s">
        <v>229</v>
      </c>
      <c r="H451" s="13" t="s">
        <v>7712</v>
      </c>
      <c r="J451" s="13" t="s">
        <v>106</v>
      </c>
      <c r="W451" s="13">
        <v>535</v>
      </c>
      <c r="X451" s="13">
        <v>535</v>
      </c>
      <c r="Y451" s="13" t="s">
        <v>107</v>
      </c>
      <c r="Z451" s="13" t="s">
        <v>108</v>
      </c>
      <c r="AA451" s="39" t="s">
        <v>107</v>
      </c>
      <c r="AB451" s="13" t="s">
        <v>5843</v>
      </c>
      <c r="AC451" s="13" t="s">
        <v>5843</v>
      </c>
      <c r="AD451" s="13" t="s">
        <v>5843</v>
      </c>
      <c r="AE451" s="39" t="s">
        <v>112</v>
      </c>
      <c r="AF451" s="13" t="s">
        <v>5843</v>
      </c>
      <c r="AG451" s="13" t="s">
        <v>5843</v>
      </c>
      <c r="AH451" s="13" t="s">
        <v>5844</v>
      </c>
      <c r="AL451" s="13" t="s">
        <v>5845</v>
      </c>
      <c r="AN451" s="13">
        <v>329</v>
      </c>
      <c r="AO451" s="13" t="s">
        <v>5846</v>
      </c>
      <c r="AQ451" s="13" t="s">
        <v>5843</v>
      </c>
      <c r="AR451" s="13" t="s">
        <v>5843</v>
      </c>
      <c r="AS451" s="13" t="s">
        <v>116</v>
      </c>
      <c r="AT451" s="13" t="s">
        <v>5847</v>
      </c>
      <c r="AU451" s="13" t="s">
        <v>5848</v>
      </c>
      <c r="AV451" s="13" t="s">
        <v>2204</v>
      </c>
      <c r="AW451" s="39"/>
      <c r="AX451" s="39"/>
      <c r="AY451" s="13" t="s">
        <v>5849</v>
      </c>
      <c r="AZ451" s="13" t="s">
        <v>5850</v>
      </c>
      <c r="BA451" s="13" t="s">
        <v>5850</v>
      </c>
      <c r="BB451" s="13" t="s">
        <v>5851</v>
      </c>
      <c r="BC451" s="13" t="s">
        <v>5851</v>
      </c>
      <c r="BD451" s="13">
        <f t="shared" si="16"/>
        <v>49</v>
      </c>
      <c r="BE451" s="17" t="s">
        <v>1697</v>
      </c>
      <c r="BF451" s="17" t="s">
        <v>951</v>
      </c>
      <c r="BG451" s="17" t="s">
        <v>5852</v>
      </c>
      <c r="BH451" s="17"/>
      <c r="BI451" s="17"/>
      <c r="BJ451" s="17" t="s">
        <v>5853</v>
      </c>
      <c r="BK451" s="17"/>
      <c r="BL451" s="17"/>
      <c r="BM451" s="17"/>
      <c r="BN451" s="17"/>
      <c r="BO451" s="17"/>
      <c r="BP451" s="17"/>
      <c r="BQ451" s="17"/>
      <c r="BR451" s="17"/>
      <c r="BS451" s="17" t="s">
        <v>127</v>
      </c>
      <c r="BT451" s="17" t="s">
        <v>5854</v>
      </c>
      <c r="BU451" s="17" t="s">
        <v>129</v>
      </c>
      <c r="BV451" s="17"/>
      <c r="BW451" s="17" t="s">
        <v>2209</v>
      </c>
      <c r="BX451" s="25" t="s">
        <v>5855</v>
      </c>
      <c r="DA451" s="13" t="s">
        <v>10348</v>
      </c>
      <c r="DB451" s="13" t="s">
        <v>10348</v>
      </c>
    </row>
    <row r="452" spans="1:106" s="13" customFormat="1" ht="12.75" customHeight="1" x14ac:dyDescent="0.2">
      <c r="A452" s="13" t="s">
        <v>102</v>
      </c>
      <c r="B452" s="13" t="s">
        <v>103</v>
      </c>
      <c r="D452" s="13" t="s">
        <v>5212</v>
      </c>
      <c r="E452" s="13" t="s">
        <v>228</v>
      </c>
      <c r="F452" s="13" t="s">
        <v>5212</v>
      </c>
      <c r="G452" s="13" t="s">
        <v>229</v>
      </c>
      <c r="H452" s="13" t="s">
        <v>7712</v>
      </c>
      <c r="J452" s="13" t="s">
        <v>106</v>
      </c>
      <c r="W452" s="13">
        <v>536</v>
      </c>
      <c r="X452" s="13">
        <v>536</v>
      </c>
      <c r="Y452" s="13" t="s">
        <v>107</v>
      </c>
      <c r="Z452" s="13" t="s">
        <v>108</v>
      </c>
      <c r="AA452" s="39" t="s">
        <v>107</v>
      </c>
      <c r="AB452" s="13" t="s">
        <v>5856</v>
      </c>
      <c r="AC452" s="13" t="s">
        <v>5856</v>
      </c>
      <c r="AD452" s="13" t="s">
        <v>5856</v>
      </c>
      <c r="AE452" s="39" t="s">
        <v>112</v>
      </c>
      <c r="AF452" s="13" t="s">
        <v>5856</v>
      </c>
      <c r="AG452" s="13" t="s">
        <v>5856</v>
      </c>
      <c r="AH452" s="13" t="s">
        <v>5857</v>
      </c>
      <c r="AL452" s="13" t="s">
        <v>5858</v>
      </c>
      <c r="AN452" s="13">
        <v>329</v>
      </c>
      <c r="AO452" s="13" t="s">
        <v>5859</v>
      </c>
      <c r="AQ452" s="13" t="s">
        <v>5856</v>
      </c>
      <c r="AR452" s="13" t="s">
        <v>5856</v>
      </c>
      <c r="AS452" s="13" t="s">
        <v>116</v>
      </c>
      <c r="AT452" s="13" t="s">
        <v>5860</v>
      </c>
      <c r="AU452" s="13" t="s">
        <v>5848</v>
      </c>
      <c r="AV452" s="13" t="s">
        <v>2204</v>
      </c>
      <c r="AW452" s="39"/>
      <c r="AX452" s="39"/>
      <c r="AY452" s="13" t="s">
        <v>5861</v>
      </c>
      <c r="AZ452" s="13" t="s">
        <v>5862</v>
      </c>
      <c r="BA452" s="13" t="s">
        <v>5862</v>
      </c>
      <c r="BB452" s="13" t="s">
        <v>5863</v>
      </c>
      <c r="BC452" s="13" t="s">
        <v>5863</v>
      </c>
      <c r="BD452" s="13">
        <f t="shared" si="16"/>
        <v>49</v>
      </c>
      <c r="BE452" s="17" t="s">
        <v>1697</v>
      </c>
      <c r="BF452" s="17" t="s">
        <v>951</v>
      </c>
      <c r="BG452" s="17" t="s">
        <v>5852</v>
      </c>
      <c r="BH452" s="17"/>
      <c r="BI452" s="17"/>
      <c r="BJ452" s="17" t="s">
        <v>5864</v>
      </c>
      <c r="BK452" s="17"/>
      <c r="BL452" s="17"/>
      <c r="BM452" s="17"/>
      <c r="BN452" s="17"/>
      <c r="BO452" s="17"/>
      <c r="BP452" s="17"/>
      <c r="BQ452" s="17"/>
      <c r="BR452" s="17"/>
      <c r="BS452" s="17" t="s">
        <v>127</v>
      </c>
      <c r="BT452" s="17" t="s">
        <v>5854</v>
      </c>
      <c r="BU452" s="17" t="s">
        <v>129</v>
      </c>
      <c r="BV452" s="17"/>
      <c r="BW452" s="17" t="s">
        <v>2209</v>
      </c>
      <c r="BX452" s="25" t="s">
        <v>5865</v>
      </c>
      <c r="DA452" s="13" t="s">
        <v>10348</v>
      </c>
      <c r="DB452" s="13" t="s">
        <v>10348</v>
      </c>
    </row>
    <row r="453" spans="1:106" s="13" customFormat="1" ht="12.75" customHeight="1" x14ac:dyDescent="0.2">
      <c r="A453" s="13" t="s">
        <v>102</v>
      </c>
      <c r="B453" s="13" t="s">
        <v>103</v>
      </c>
      <c r="D453" s="13" t="s">
        <v>5212</v>
      </c>
      <c r="E453" s="13" t="s">
        <v>228</v>
      </c>
      <c r="F453" s="13" t="s">
        <v>5212</v>
      </c>
      <c r="G453" s="13" t="s">
        <v>229</v>
      </c>
      <c r="H453" s="13" t="s">
        <v>7712</v>
      </c>
      <c r="J453" s="13" t="s">
        <v>106</v>
      </c>
      <c r="W453" s="13">
        <v>537</v>
      </c>
      <c r="X453" s="13">
        <v>537</v>
      </c>
      <c r="Y453" s="13" t="s">
        <v>107</v>
      </c>
      <c r="Z453" s="13" t="s">
        <v>108</v>
      </c>
      <c r="AA453" s="39" t="s">
        <v>107</v>
      </c>
      <c r="AB453" s="13" t="s">
        <v>5866</v>
      </c>
      <c r="AC453" s="13" t="s">
        <v>5866</v>
      </c>
      <c r="AD453" s="13" t="s">
        <v>5866</v>
      </c>
      <c r="AE453" s="39" t="s">
        <v>112</v>
      </c>
      <c r="AF453" s="13" t="s">
        <v>5866</v>
      </c>
      <c r="AG453" s="13" t="s">
        <v>5866</v>
      </c>
      <c r="AH453" s="13" t="s">
        <v>5867</v>
      </c>
      <c r="AL453" s="13" t="s">
        <v>5868</v>
      </c>
      <c r="AN453" s="13">
        <v>329</v>
      </c>
      <c r="AO453" s="13" t="s">
        <v>5869</v>
      </c>
      <c r="AQ453" s="13" t="s">
        <v>5866</v>
      </c>
      <c r="AR453" s="13" t="s">
        <v>5866</v>
      </c>
      <c r="AS453" s="13" t="s">
        <v>116</v>
      </c>
      <c r="AT453" s="13" t="s">
        <v>5870</v>
      </c>
      <c r="AU453" s="13" t="s">
        <v>5848</v>
      </c>
      <c r="AV453" s="13" t="s">
        <v>2204</v>
      </c>
      <c r="AW453" s="39"/>
      <c r="AX453" s="39"/>
      <c r="AY453" s="13" t="s">
        <v>5871</v>
      </c>
      <c r="AZ453" s="13" t="s">
        <v>5872</v>
      </c>
      <c r="BA453" s="13" t="s">
        <v>5872</v>
      </c>
      <c r="BB453" s="13" t="s">
        <v>5873</v>
      </c>
      <c r="BC453" s="13" t="s">
        <v>5873</v>
      </c>
      <c r="BD453" s="13">
        <f t="shared" si="16"/>
        <v>50</v>
      </c>
      <c r="BE453" s="17" t="s">
        <v>1697</v>
      </c>
      <c r="BF453" s="17" t="s">
        <v>951</v>
      </c>
      <c r="BG453" s="17" t="s">
        <v>5852</v>
      </c>
      <c r="BH453" s="17"/>
      <c r="BI453" s="17"/>
      <c r="BJ453" s="17" t="s">
        <v>5874</v>
      </c>
      <c r="BK453" s="17"/>
      <c r="BL453" s="17"/>
      <c r="BM453" s="17"/>
      <c r="BN453" s="17"/>
      <c r="BO453" s="17"/>
      <c r="BP453" s="17"/>
      <c r="BQ453" s="17"/>
      <c r="BR453" s="17"/>
      <c r="BS453" s="17" t="s">
        <v>127</v>
      </c>
      <c r="BT453" s="17" t="s">
        <v>5854</v>
      </c>
      <c r="BU453" s="17" t="s">
        <v>129</v>
      </c>
      <c r="BV453" s="17"/>
      <c r="BW453" s="17" t="s">
        <v>2209</v>
      </c>
      <c r="BX453" s="25" t="s">
        <v>5875</v>
      </c>
      <c r="DA453" s="13" t="s">
        <v>10348</v>
      </c>
      <c r="DB453" s="13" t="s">
        <v>10348</v>
      </c>
    </row>
    <row r="454" spans="1:106" s="13" customFormat="1" ht="12.75" customHeight="1" x14ac:dyDescent="0.2">
      <c r="A454" s="13" t="s">
        <v>102</v>
      </c>
      <c r="B454" s="13" t="s">
        <v>103</v>
      </c>
      <c r="D454" s="13" t="s">
        <v>5212</v>
      </c>
      <c r="E454" s="13" t="s">
        <v>228</v>
      </c>
      <c r="F454" s="13" t="s">
        <v>5212</v>
      </c>
      <c r="G454" s="13" t="s">
        <v>229</v>
      </c>
      <c r="H454" s="13" t="s">
        <v>7712</v>
      </c>
      <c r="J454" s="13" t="s">
        <v>106</v>
      </c>
      <c r="W454" s="13">
        <v>538</v>
      </c>
      <c r="X454" s="13">
        <v>538</v>
      </c>
      <c r="Y454" s="13" t="s">
        <v>107</v>
      </c>
      <c r="Z454" s="13" t="s">
        <v>108</v>
      </c>
      <c r="AA454" s="39" t="s">
        <v>107</v>
      </c>
      <c r="AB454" s="13" t="s">
        <v>5876</v>
      </c>
      <c r="AC454" s="13" t="s">
        <v>5876</v>
      </c>
      <c r="AD454" s="13" t="s">
        <v>5876</v>
      </c>
      <c r="AE454" s="39" t="s">
        <v>112</v>
      </c>
      <c r="AF454" s="13" t="s">
        <v>5876</v>
      </c>
      <c r="AG454" s="13" t="s">
        <v>5876</v>
      </c>
      <c r="AH454" s="13" t="s">
        <v>5877</v>
      </c>
      <c r="AL454" s="13" t="s">
        <v>5878</v>
      </c>
      <c r="AN454" s="13">
        <v>329</v>
      </c>
      <c r="AO454" s="13" t="s">
        <v>5879</v>
      </c>
      <c r="AQ454" s="13" t="s">
        <v>5876</v>
      </c>
      <c r="AR454" s="13" t="s">
        <v>5876</v>
      </c>
      <c r="AS454" s="13" t="s">
        <v>116</v>
      </c>
      <c r="AT454" s="13" t="s">
        <v>5880</v>
      </c>
      <c r="AU454" s="13" t="s">
        <v>5848</v>
      </c>
      <c r="AV454" s="13" t="s">
        <v>2204</v>
      </c>
      <c r="AW454" s="39"/>
      <c r="AX454" s="39"/>
      <c r="AY454" s="13" t="s">
        <v>5881</v>
      </c>
      <c r="AZ454" s="13" t="s">
        <v>5882</v>
      </c>
      <c r="BA454" s="13" t="s">
        <v>5882</v>
      </c>
      <c r="BB454" s="13" t="s">
        <v>5883</v>
      </c>
      <c r="BC454" s="13" t="s">
        <v>5883</v>
      </c>
      <c r="BD454" s="13">
        <f t="shared" si="16"/>
        <v>50</v>
      </c>
      <c r="BE454" s="17" t="s">
        <v>1697</v>
      </c>
      <c r="BF454" s="17" t="s">
        <v>951</v>
      </c>
      <c r="BG454" s="17" t="s">
        <v>5852</v>
      </c>
      <c r="BH454" s="17"/>
      <c r="BI454" s="17"/>
      <c r="BJ454" s="17" t="s">
        <v>5884</v>
      </c>
      <c r="BK454" s="17"/>
      <c r="BL454" s="17"/>
      <c r="BM454" s="17"/>
      <c r="BN454" s="17"/>
      <c r="BO454" s="17"/>
      <c r="BP454" s="17"/>
      <c r="BQ454" s="17"/>
      <c r="BR454" s="17"/>
      <c r="BS454" s="17" t="s">
        <v>127</v>
      </c>
      <c r="BT454" s="17" t="s">
        <v>5854</v>
      </c>
      <c r="BU454" s="17" t="s">
        <v>129</v>
      </c>
      <c r="BV454" s="17"/>
      <c r="BW454" s="17" t="s">
        <v>2209</v>
      </c>
      <c r="BX454" s="25" t="s">
        <v>5885</v>
      </c>
      <c r="DA454" s="13" t="s">
        <v>10348</v>
      </c>
      <c r="DB454" s="13" t="s">
        <v>10348</v>
      </c>
    </row>
    <row r="455" spans="1:106" s="13" customFormat="1" ht="12.75" customHeight="1" x14ac:dyDescent="0.2">
      <c r="A455" s="13" t="s">
        <v>102</v>
      </c>
      <c r="B455" s="13" t="s">
        <v>103</v>
      </c>
      <c r="D455" s="13" t="s">
        <v>5212</v>
      </c>
      <c r="E455" s="13" t="s">
        <v>228</v>
      </c>
      <c r="F455" s="13" t="s">
        <v>5212</v>
      </c>
      <c r="G455" s="13" t="s">
        <v>229</v>
      </c>
      <c r="H455" s="13" t="s">
        <v>7712</v>
      </c>
      <c r="J455" s="13" t="s">
        <v>106</v>
      </c>
      <c r="W455" s="13">
        <v>539</v>
      </c>
      <c r="X455" s="13">
        <v>539</v>
      </c>
      <c r="Y455" s="13" t="s">
        <v>107</v>
      </c>
      <c r="Z455" s="13" t="s">
        <v>108</v>
      </c>
      <c r="AA455" s="39" t="s">
        <v>107</v>
      </c>
      <c r="AB455" s="13" t="s">
        <v>5886</v>
      </c>
      <c r="AC455" s="13" t="s">
        <v>5886</v>
      </c>
      <c r="AD455" s="13" t="s">
        <v>5886</v>
      </c>
      <c r="AE455" s="39" t="s">
        <v>112</v>
      </c>
      <c r="AF455" s="13" t="s">
        <v>5886</v>
      </c>
      <c r="AG455" s="13" t="s">
        <v>5886</v>
      </c>
      <c r="AH455" s="13" t="s">
        <v>5887</v>
      </c>
      <c r="AL455" s="13" t="s">
        <v>5888</v>
      </c>
      <c r="AN455" s="13">
        <v>329</v>
      </c>
      <c r="AO455" s="13" t="s">
        <v>5889</v>
      </c>
      <c r="AQ455" s="13" t="s">
        <v>5886</v>
      </c>
      <c r="AR455" s="13" t="s">
        <v>5886</v>
      </c>
      <c r="AS455" s="13" t="s">
        <v>116</v>
      </c>
      <c r="AT455" s="13" t="s">
        <v>5890</v>
      </c>
      <c r="AU455" s="13" t="s">
        <v>5848</v>
      </c>
      <c r="AV455" s="13" t="s">
        <v>2204</v>
      </c>
      <c r="AW455" s="39"/>
      <c r="AX455" s="39"/>
      <c r="AY455" s="13" t="s">
        <v>5891</v>
      </c>
      <c r="AZ455" s="13" t="s">
        <v>5892</v>
      </c>
      <c r="BA455" s="13" t="s">
        <v>5892</v>
      </c>
      <c r="BB455" s="13" t="s">
        <v>5893</v>
      </c>
      <c r="BC455" s="13" t="s">
        <v>5893</v>
      </c>
      <c r="BD455" s="13">
        <f t="shared" si="16"/>
        <v>49</v>
      </c>
      <c r="BE455" s="17" t="s">
        <v>1697</v>
      </c>
      <c r="BF455" s="17" t="s">
        <v>951</v>
      </c>
      <c r="BG455" s="17" t="s">
        <v>5852</v>
      </c>
      <c r="BH455" s="17"/>
      <c r="BI455" s="17"/>
      <c r="BJ455" s="17" t="s">
        <v>5894</v>
      </c>
      <c r="BK455" s="17"/>
      <c r="BL455" s="17"/>
      <c r="BM455" s="17"/>
      <c r="BN455" s="17"/>
      <c r="BO455" s="17"/>
      <c r="BP455" s="17"/>
      <c r="BQ455" s="17"/>
      <c r="BR455" s="17"/>
      <c r="BS455" s="17" t="s">
        <v>127</v>
      </c>
      <c r="BT455" s="17" t="s">
        <v>5854</v>
      </c>
      <c r="BU455" s="17" t="s">
        <v>129</v>
      </c>
      <c r="BV455" s="17"/>
      <c r="BW455" s="17" t="s">
        <v>2209</v>
      </c>
      <c r="BX455" s="25" t="s">
        <v>5895</v>
      </c>
      <c r="DA455" s="13" t="s">
        <v>10348</v>
      </c>
      <c r="DB455" s="13" t="s">
        <v>10348</v>
      </c>
    </row>
    <row r="456" spans="1:106" s="13" customFormat="1" ht="12.75" customHeight="1" x14ac:dyDescent="0.2">
      <c r="A456" s="13" t="s">
        <v>102</v>
      </c>
      <c r="B456" s="13" t="s">
        <v>103</v>
      </c>
      <c r="D456" s="13" t="s">
        <v>5212</v>
      </c>
      <c r="E456" s="13" t="s">
        <v>228</v>
      </c>
      <c r="F456" s="13" t="s">
        <v>5212</v>
      </c>
      <c r="G456" s="13" t="s">
        <v>229</v>
      </c>
      <c r="H456" s="13" t="s">
        <v>7712</v>
      </c>
      <c r="J456" s="13" t="s">
        <v>106</v>
      </c>
      <c r="W456" s="13">
        <v>540</v>
      </c>
      <c r="X456" s="13">
        <v>540</v>
      </c>
      <c r="Y456" s="13" t="s">
        <v>107</v>
      </c>
      <c r="Z456" s="13" t="s">
        <v>108</v>
      </c>
      <c r="AA456" s="39" t="s">
        <v>107</v>
      </c>
      <c r="AB456" s="13" t="s">
        <v>5896</v>
      </c>
      <c r="AC456" s="13" t="s">
        <v>5896</v>
      </c>
      <c r="AD456" s="13" t="s">
        <v>5896</v>
      </c>
      <c r="AE456" s="39" t="s">
        <v>112</v>
      </c>
      <c r="AF456" s="13" t="s">
        <v>5896</v>
      </c>
      <c r="AG456" s="13" t="s">
        <v>5896</v>
      </c>
      <c r="AH456" s="13" t="s">
        <v>5897</v>
      </c>
      <c r="AL456" s="13" t="s">
        <v>5898</v>
      </c>
      <c r="AN456" s="13">
        <v>329</v>
      </c>
      <c r="AO456" s="13" t="s">
        <v>5899</v>
      </c>
      <c r="AQ456" s="13" t="s">
        <v>5896</v>
      </c>
      <c r="AR456" s="13" t="s">
        <v>5896</v>
      </c>
      <c r="AS456" s="13" t="s">
        <v>116</v>
      </c>
      <c r="AT456" s="13" t="s">
        <v>5900</v>
      </c>
      <c r="AU456" s="13" t="s">
        <v>5848</v>
      </c>
      <c r="AV456" s="13" t="s">
        <v>2204</v>
      </c>
      <c r="AW456" s="39"/>
      <c r="AX456" s="39"/>
      <c r="AY456" s="13" t="s">
        <v>5901</v>
      </c>
      <c r="AZ456" s="13" t="s">
        <v>5902</v>
      </c>
      <c r="BA456" s="13" t="s">
        <v>5902</v>
      </c>
      <c r="BB456" s="13" t="s">
        <v>5903</v>
      </c>
      <c r="BC456" s="13" t="s">
        <v>5903</v>
      </c>
      <c r="BD456" s="13">
        <f t="shared" si="16"/>
        <v>49</v>
      </c>
      <c r="BE456" s="17" t="s">
        <v>1697</v>
      </c>
      <c r="BF456" s="17" t="s">
        <v>951</v>
      </c>
      <c r="BG456" s="17" t="s">
        <v>5852</v>
      </c>
      <c r="BH456" s="17"/>
      <c r="BI456" s="17"/>
      <c r="BJ456" s="17" t="s">
        <v>5904</v>
      </c>
      <c r="BK456" s="17"/>
      <c r="BL456" s="17"/>
      <c r="BM456" s="17"/>
      <c r="BN456" s="17"/>
      <c r="BO456" s="17"/>
      <c r="BP456" s="17"/>
      <c r="BQ456" s="17"/>
      <c r="BR456" s="17"/>
      <c r="BS456" s="17" t="s">
        <v>127</v>
      </c>
      <c r="BT456" s="17" t="s">
        <v>5854</v>
      </c>
      <c r="BU456" s="17" t="s">
        <v>129</v>
      </c>
      <c r="BV456" s="17"/>
      <c r="BW456" s="17" t="s">
        <v>2209</v>
      </c>
      <c r="BX456" s="25" t="s">
        <v>5905</v>
      </c>
      <c r="DA456" s="13" t="s">
        <v>10348</v>
      </c>
      <c r="DB456" s="13" t="s">
        <v>10348</v>
      </c>
    </row>
    <row r="457" spans="1:106" s="13" customFormat="1" ht="12.75" customHeight="1" x14ac:dyDescent="0.2">
      <c r="A457" s="13" t="s">
        <v>102</v>
      </c>
      <c r="B457" s="13" t="s">
        <v>103</v>
      </c>
      <c r="D457" s="13" t="s">
        <v>5212</v>
      </c>
      <c r="E457" s="13" t="s">
        <v>228</v>
      </c>
      <c r="F457" s="13" t="s">
        <v>5212</v>
      </c>
      <c r="G457" s="13" t="s">
        <v>229</v>
      </c>
      <c r="H457" s="13" t="s">
        <v>7712</v>
      </c>
      <c r="J457" s="13" t="s">
        <v>106</v>
      </c>
      <c r="W457" s="13">
        <v>541</v>
      </c>
      <c r="X457" s="13">
        <v>541</v>
      </c>
      <c r="Y457" s="13" t="s">
        <v>107</v>
      </c>
      <c r="Z457" s="13" t="s">
        <v>108</v>
      </c>
      <c r="AA457" s="39" t="s">
        <v>107</v>
      </c>
      <c r="AB457" s="13" t="s">
        <v>5906</v>
      </c>
      <c r="AC457" s="13" t="s">
        <v>5906</v>
      </c>
      <c r="AD457" s="13" t="s">
        <v>5906</v>
      </c>
      <c r="AE457" s="39" t="s">
        <v>112</v>
      </c>
      <c r="AF457" s="13" t="s">
        <v>5906</v>
      </c>
      <c r="AG457" s="13" t="s">
        <v>5906</v>
      </c>
      <c r="AH457" s="13" t="s">
        <v>5907</v>
      </c>
      <c r="AL457" s="13" t="s">
        <v>5908</v>
      </c>
      <c r="AN457" s="13">
        <v>329</v>
      </c>
      <c r="AO457" s="13" t="s">
        <v>5909</v>
      </c>
      <c r="AQ457" s="13" t="s">
        <v>5906</v>
      </c>
      <c r="AR457" s="13" t="s">
        <v>5906</v>
      </c>
      <c r="AS457" s="13" t="s">
        <v>116</v>
      </c>
      <c r="AT457" s="13" t="s">
        <v>5910</v>
      </c>
      <c r="AU457" s="13" t="s">
        <v>5848</v>
      </c>
      <c r="AV457" s="13" t="s">
        <v>2204</v>
      </c>
      <c r="AW457" s="39"/>
      <c r="AX457" s="39"/>
      <c r="AY457" s="13" t="s">
        <v>5911</v>
      </c>
      <c r="AZ457" s="13" t="s">
        <v>5912</v>
      </c>
      <c r="BA457" s="13" t="s">
        <v>5912</v>
      </c>
      <c r="BB457" s="13" t="s">
        <v>5913</v>
      </c>
      <c r="BC457" s="13" t="s">
        <v>5913</v>
      </c>
      <c r="BD457" s="13">
        <f t="shared" si="16"/>
        <v>50</v>
      </c>
      <c r="BE457" s="17" t="s">
        <v>1697</v>
      </c>
      <c r="BF457" s="17" t="s">
        <v>951</v>
      </c>
      <c r="BG457" s="17" t="s">
        <v>5852</v>
      </c>
      <c r="BH457" s="17"/>
      <c r="BI457" s="17"/>
      <c r="BJ457" s="17" t="s">
        <v>2035</v>
      </c>
      <c r="BK457" s="17"/>
      <c r="BL457" s="17"/>
      <c r="BM457" s="17"/>
      <c r="BN457" s="17"/>
      <c r="BO457" s="17"/>
      <c r="BP457" s="17"/>
      <c r="BQ457" s="17"/>
      <c r="BR457" s="17"/>
      <c r="BS457" s="17" t="s">
        <v>127</v>
      </c>
      <c r="BT457" s="17" t="s">
        <v>5854</v>
      </c>
      <c r="BU457" s="17" t="s">
        <v>129</v>
      </c>
      <c r="BV457" s="17"/>
      <c r="BW457" s="17" t="s">
        <v>2209</v>
      </c>
      <c r="BX457" s="25" t="s">
        <v>5914</v>
      </c>
      <c r="DA457" s="13" t="s">
        <v>10348</v>
      </c>
      <c r="DB457" s="13" t="s">
        <v>10348</v>
      </c>
    </row>
    <row r="458" spans="1:106" s="13" customFormat="1" ht="12.75" customHeight="1" x14ac:dyDescent="0.2">
      <c r="A458" s="13" t="s">
        <v>102</v>
      </c>
      <c r="B458" s="13" t="s">
        <v>103</v>
      </c>
      <c r="D458" s="13" t="s">
        <v>5212</v>
      </c>
      <c r="E458" s="13" t="s">
        <v>228</v>
      </c>
      <c r="F458" s="13" t="s">
        <v>5212</v>
      </c>
      <c r="G458" s="13" t="s">
        <v>229</v>
      </c>
      <c r="H458" s="13" t="s">
        <v>7712</v>
      </c>
      <c r="J458" s="13" t="s">
        <v>106</v>
      </c>
      <c r="W458" s="13">
        <v>542</v>
      </c>
      <c r="X458" s="13">
        <v>542</v>
      </c>
      <c r="Y458" s="13" t="s">
        <v>107</v>
      </c>
      <c r="Z458" s="13" t="s">
        <v>108</v>
      </c>
      <c r="AA458" s="39" t="s">
        <v>107</v>
      </c>
      <c r="AB458" s="13" t="s">
        <v>5915</v>
      </c>
      <c r="AC458" s="13" t="s">
        <v>5915</v>
      </c>
      <c r="AD458" s="13" t="s">
        <v>5915</v>
      </c>
      <c r="AE458" s="39" t="s">
        <v>112</v>
      </c>
      <c r="AF458" s="13" t="s">
        <v>5915</v>
      </c>
      <c r="AG458" s="13" t="s">
        <v>5915</v>
      </c>
      <c r="AH458" s="13" t="s">
        <v>5916</v>
      </c>
      <c r="AL458" s="13" t="s">
        <v>5917</v>
      </c>
      <c r="AN458" s="13">
        <v>329</v>
      </c>
      <c r="AO458" s="13" t="s">
        <v>5918</v>
      </c>
      <c r="AQ458" s="13" t="s">
        <v>5915</v>
      </c>
      <c r="AR458" s="13" t="s">
        <v>5915</v>
      </c>
      <c r="AS458" s="13" t="s">
        <v>116</v>
      </c>
      <c r="AT458" s="13" t="s">
        <v>5919</v>
      </c>
      <c r="AU458" s="13" t="s">
        <v>5848</v>
      </c>
      <c r="AV458" s="13" t="s">
        <v>2204</v>
      </c>
      <c r="AW458" s="39"/>
      <c r="AX458" s="39"/>
      <c r="AY458" s="13" t="s">
        <v>5920</v>
      </c>
      <c r="AZ458" s="13" t="s">
        <v>5921</v>
      </c>
      <c r="BA458" s="13" t="s">
        <v>5921</v>
      </c>
      <c r="BB458" s="13" t="s">
        <v>5922</v>
      </c>
      <c r="BC458" s="13" t="s">
        <v>5922</v>
      </c>
      <c r="BD458" s="13">
        <f t="shared" si="16"/>
        <v>50</v>
      </c>
      <c r="BE458" s="17" t="s">
        <v>1697</v>
      </c>
      <c r="BF458" s="17" t="s">
        <v>951</v>
      </c>
      <c r="BG458" s="17" t="s">
        <v>5852</v>
      </c>
      <c r="BH458" s="17"/>
      <c r="BI458" s="17"/>
      <c r="BJ458" s="17" t="s">
        <v>5663</v>
      </c>
      <c r="BK458" s="17"/>
      <c r="BL458" s="17"/>
      <c r="BM458" s="17"/>
      <c r="BN458" s="17"/>
      <c r="BO458" s="17"/>
      <c r="BP458" s="17"/>
      <c r="BQ458" s="17"/>
      <c r="BR458" s="17"/>
      <c r="BS458" s="17" t="s">
        <v>127</v>
      </c>
      <c r="BT458" s="17" t="s">
        <v>5854</v>
      </c>
      <c r="BU458" s="17" t="s">
        <v>129</v>
      </c>
      <c r="BV458" s="17"/>
      <c r="BW458" s="17" t="s">
        <v>2209</v>
      </c>
      <c r="BX458" s="25" t="s">
        <v>5923</v>
      </c>
      <c r="DA458" s="13" t="s">
        <v>10348</v>
      </c>
      <c r="DB458" s="13" t="s">
        <v>10348</v>
      </c>
    </row>
    <row r="459" spans="1:106" s="13" customFormat="1" ht="12.75" customHeight="1" x14ac:dyDescent="0.2">
      <c r="A459" s="13" t="s">
        <v>102</v>
      </c>
      <c r="B459" s="13" t="s">
        <v>103</v>
      </c>
      <c r="D459" s="13" t="s">
        <v>5212</v>
      </c>
      <c r="E459" s="13" t="s">
        <v>228</v>
      </c>
      <c r="F459" s="13" t="s">
        <v>5212</v>
      </c>
      <c r="G459" s="13" t="s">
        <v>229</v>
      </c>
      <c r="H459" s="13" t="s">
        <v>7712</v>
      </c>
      <c r="J459" s="13" t="s">
        <v>106</v>
      </c>
      <c r="W459" s="13">
        <v>543</v>
      </c>
      <c r="X459" s="13">
        <v>543</v>
      </c>
      <c r="Y459" s="13" t="s">
        <v>107</v>
      </c>
      <c r="Z459" s="13" t="s">
        <v>108</v>
      </c>
      <c r="AA459" s="39" t="s">
        <v>107</v>
      </c>
      <c r="AB459" s="13" t="s">
        <v>5924</v>
      </c>
      <c r="AC459" s="13" t="s">
        <v>5924</v>
      </c>
      <c r="AD459" s="13" t="s">
        <v>5924</v>
      </c>
      <c r="AE459" s="39" t="s">
        <v>112</v>
      </c>
      <c r="AF459" s="13" t="s">
        <v>5924</v>
      </c>
      <c r="AG459" s="13" t="s">
        <v>5924</v>
      </c>
      <c r="AH459" s="13" t="s">
        <v>5925</v>
      </c>
      <c r="AL459" s="13" t="s">
        <v>5926</v>
      </c>
      <c r="AN459" s="13">
        <v>329</v>
      </c>
      <c r="AO459" s="13" t="s">
        <v>5927</v>
      </c>
      <c r="AQ459" s="13" t="s">
        <v>5924</v>
      </c>
      <c r="AR459" s="13" t="s">
        <v>5924</v>
      </c>
      <c r="AS459" s="13" t="s">
        <v>116</v>
      </c>
      <c r="AT459" s="13" t="s">
        <v>5928</v>
      </c>
      <c r="AU459" s="13" t="s">
        <v>5848</v>
      </c>
      <c r="AV459" s="13" t="s">
        <v>2204</v>
      </c>
      <c r="AW459" s="39"/>
      <c r="AX459" s="39"/>
      <c r="AY459" s="13" t="s">
        <v>5929</v>
      </c>
      <c r="AZ459" s="13" t="s">
        <v>5930</v>
      </c>
      <c r="BA459" s="13" t="s">
        <v>5930</v>
      </c>
      <c r="BB459" s="13" t="s">
        <v>5931</v>
      </c>
      <c r="BC459" s="13" t="s">
        <v>5931</v>
      </c>
      <c r="BD459" s="13">
        <f t="shared" si="16"/>
        <v>49</v>
      </c>
      <c r="BE459" s="17" t="s">
        <v>1697</v>
      </c>
      <c r="BF459" s="17" t="s">
        <v>951</v>
      </c>
      <c r="BG459" s="17" t="s">
        <v>5852</v>
      </c>
      <c r="BH459" s="17"/>
      <c r="BI459" s="17"/>
      <c r="BJ459" s="17" t="s">
        <v>5932</v>
      </c>
      <c r="BK459" s="17"/>
      <c r="BL459" s="17"/>
      <c r="BM459" s="17"/>
      <c r="BN459" s="17"/>
      <c r="BO459" s="17"/>
      <c r="BP459" s="17"/>
      <c r="BQ459" s="17"/>
      <c r="BR459" s="17"/>
      <c r="BS459" s="17" t="s">
        <v>127</v>
      </c>
      <c r="BT459" s="17" t="s">
        <v>5854</v>
      </c>
      <c r="BU459" s="17" t="s">
        <v>129</v>
      </c>
      <c r="BV459" s="17"/>
      <c r="BW459" s="17" t="s">
        <v>2209</v>
      </c>
      <c r="BX459" s="25" t="s">
        <v>5933</v>
      </c>
      <c r="DA459" s="13" t="s">
        <v>10348</v>
      </c>
      <c r="DB459" s="13" t="s">
        <v>10348</v>
      </c>
    </row>
    <row r="460" spans="1:106" s="13" customFormat="1" ht="12.75" customHeight="1" x14ac:dyDescent="0.2">
      <c r="A460" s="13" t="s">
        <v>102</v>
      </c>
      <c r="B460" s="13" t="s">
        <v>103</v>
      </c>
      <c r="D460" s="13" t="s">
        <v>5212</v>
      </c>
      <c r="E460" s="13" t="s">
        <v>228</v>
      </c>
      <c r="F460" s="13" t="s">
        <v>5212</v>
      </c>
      <c r="G460" s="13" t="s">
        <v>229</v>
      </c>
      <c r="H460" s="13" t="s">
        <v>7712</v>
      </c>
      <c r="J460" s="13" t="s">
        <v>106</v>
      </c>
      <c r="W460" s="13">
        <v>544</v>
      </c>
      <c r="X460" s="13">
        <v>544</v>
      </c>
      <c r="Y460" s="13" t="s">
        <v>107</v>
      </c>
      <c r="Z460" s="13" t="s">
        <v>108</v>
      </c>
      <c r="AA460" s="39" t="s">
        <v>107</v>
      </c>
      <c r="AB460" s="13" t="s">
        <v>5934</v>
      </c>
      <c r="AC460" s="13" t="s">
        <v>5934</v>
      </c>
      <c r="AD460" s="13" t="s">
        <v>5934</v>
      </c>
      <c r="AE460" s="39" t="s">
        <v>112</v>
      </c>
      <c r="AF460" s="13" t="s">
        <v>5934</v>
      </c>
      <c r="AG460" s="13" t="s">
        <v>5934</v>
      </c>
      <c r="AH460" s="13" t="s">
        <v>5935</v>
      </c>
      <c r="AL460" s="13" t="s">
        <v>5936</v>
      </c>
      <c r="AN460" s="13">
        <v>329</v>
      </c>
      <c r="AO460" s="13" t="s">
        <v>5937</v>
      </c>
      <c r="AQ460" s="13" t="s">
        <v>5934</v>
      </c>
      <c r="AR460" s="13" t="s">
        <v>5934</v>
      </c>
      <c r="AS460" s="13" t="s">
        <v>116</v>
      </c>
      <c r="AT460" s="13" t="s">
        <v>5938</v>
      </c>
      <c r="AU460" s="13" t="s">
        <v>5848</v>
      </c>
      <c r="AV460" s="13" t="s">
        <v>2204</v>
      </c>
      <c r="AW460" s="39"/>
      <c r="AX460" s="39"/>
      <c r="AY460" s="13" t="s">
        <v>5939</v>
      </c>
      <c r="AZ460" s="13" t="s">
        <v>5940</v>
      </c>
      <c r="BA460" s="13" t="s">
        <v>5940</v>
      </c>
      <c r="BB460" s="13" t="s">
        <v>5941</v>
      </c>
      <c r="BC460" s="13" t="s">
        <v>5941</v>
      </c>
      <c r="BD460" s="13">
        <f t="shared" si="16"/>
        <v>50</v>
      </c>
      <c r="BE460" s="17" t="s">
        <v>1697</v>
      </c>
      <c r="BF460" s="17" t="s">
        <v>951</v>
      </c>
      <c r="BG460" s="17" t="s">
        <v>5852</v>
      </c>
      <c r="BH460" s="17"/>
      <c r="BI460" s="17"/>
      <c r="BJ460" s="17" t="s">
        <v>5942</v>
      </c>
      <c r="BK460" s="17"/>
      <c r="BL460" s="17"/>
      <c r="BM460" s="17"/>
      <c r="BN460" s="17"/>
      <c r="BO460" s="17"/>
      <c r="BP460" s="17"/>
      <c r="BQ460" s="17"/>
      <c r="BR460" s="17"/>
      <c r="BS460" s="17" t="s">
        <v>127</v>
      </c>
      <c r="BT460" s="17" t="s">
        <v>5854</v>
      </c>
      <c r="BU460" s="17" t="s">
        <v>129</v>
      </c>
      <c r="BV460" s="17"/>
      <c r="BW460" s="17" t="s">
        <v>2209</v>
      </c>
      <c r="BX460" s="25" t="s">
        <v>5943</v>
      </c>
      <c r="DA460" s="13" t="s">
        <v>10348</v>
      </c>
      <c r="DB460" s="13" t="s">
        <v>10348</v>
      </c>
    </row>
    <row r="461" spans="1:106" s="13" customFormat="1" ht="12.75" customHeight="1" x14ac:dyDescent="0.2">
      <c r="A461" s="13" t="s">
        <v>102</v>
      </c>
      <c r="B461" s="13" t="s">
        <v>103</v>
      </c>
      <c r="D461" s="13" t="s">
        <v>5212</v>
      </c>
      <c r="E461" s="13" t="s">
        <v>228</v>
      </c>
      <c r="F461" s="13" t="s">
        <v>5212</v>
      </c>
      <c r="G461" s="13" t="s">
        <v>229</v>
      </c>
      <c r="H461" s="13" t="s">
        <v>7712</v>
      </c>
      <c r="J461" s="13" t="s">
        <v>106</v>
      </c>
      <c r="W461" s="13">
        <v>545</v>
      </c>
      <c r="X461" s="13">
        <v>545</v>
      </c>
      <c r="Y461" s="13" t="s">
        <v>107</v>
      </c>
      <c r="Z461" s="13" t="s">
        <v>108</v>
      </c>
      <c r="AA461" s="39" t="s">
        <v>107</v>
      </c>
      <c r="AB461" s="13" t="s">
        <v>5944</v>
      </c>
      <c r="AC461" s="13" t="s">
        <v>5944</v>
      </c>
      <c r="AD461" s="13" t="s">
        <v>5944</v>
      </c>
      <c r="AE461" s="39" t="s">
        <v>112</v>
      </c>
      <c r="AF461" s="13" t="s">
        <v>5944</v>
      </c>
      <c r="AG461" s="13" t="s">
        <v>5944</v>
      </c>
      <c r="AH461" s="13" t="s">
        <v>5945</v>
      </c>
      <c r="AL461" s="13" t="s">
        <v>5946</v>
      </c>
      <c r="AN461" s="13">
        <v>329</v>
      </c>
      <c r="AO461" s="13" t="s">
        <v>5947</v>
      </c>
      <c r="AQ461" s="13" t="s">
        <v>5944</v>
      </c>
      <c r="AR461" s="13" t="s">
        <v>5944</v>
      </c>
      <c r="AS461" s="13" t="s">
        <v>116</v>
      </c>
      <c r="AT461" s="13" t="s">
        <v>5948</v>
      </c>
      <c r="AU461" s="13" t="s">
        <v>5848</v>
      </c>
      <c r="AV461" s="13" t="s">
        <v>1677</v>
      </c>
      <c r="AW461" s="39"/>
      <c r="AX461" s="39"/>
      <c r="AY461" s="13" t="s">
        <v>5949</v>
      </c>
      <c r="AZ461" s="13" t="s">
        <v>5950</v>
      </c>
      <c r="BA461" s="13" t="s">
        <v>5950</v>
      </c>
      <c r="BB461" s="13" t="s">
        <v>5951</v>
      </c>
      <c r="BC461" s="13" t="s">
        <v>5952</v>
      </c>
      <c r="BD461" s="13">
        <f t="shared" si="16"/>
        <v>57</v>
      </c>
      <c r="BE461" s="17" t="s">
        <v>1637</v>
      </c>
      <c r="BF461" s="17" t="s">
        <v>951</v>
      </c>
      <c r="BG461" s="17" t="s">
        <v>5852</v>
      </c>
      <c r="BH461" s="17"/>
      <c r="BI461" s="17"/>
      <c r="BJ461" s="17" t="s">
        <v>5864</v>
      </c>
      <c r="BK461" s="17" t="s">
        <v>5953</v>
      </c>
      <c r="BL461" s="17"/>
      <c r="BM461" s="17"/>
      <c r="BN461" s="17"/>
      <c r="BO461" s="17" t="s">
        <v>5954</v>
      </c>
      <c r="BP461" s="17"/>
      <c r="BQ461" s="17"/>
      <c r="BR461" s="17"/>
      <c r="BS461" s="17" t="s">
        <v>127</v>
      </c>
      <c r="BT461" s="17" t="s">
        <v>5854</v>
      </c>
      <c r="BU461" s="17" t="s">
        <v>129</v>
      </c>
      <c r="BV461" s="17"/>
      <c r="BW461" s="17" t="s">
        <v>2209</v>
      </c>
      <c r="BX461" s="25" t="s">
        <v>5955</v>
      </c>
      <c r="DA461" s="13" t="s">
        <v>10348</v>
      </c>
      <c r="DB461" s="13" t="s">
        <v>10348</v>
      </c>
    </row>
    <row r="462" spans="1:106" s="13" customFormat="1" ht="12.75" customHeight="1" x14ac:dyDescent="0.2">
      <c r="A462" s="13" t="s">
        <v>102</v>
      </c>
      <c r="B462" s="13" t="s">
        <v>103</v>
      </c>
      <c r="D462" s="13" t="s">
        <v>5212</v>
      </c>
      <c r="E462" s="13" t="s">
        <v>228</v>
      </c>
      <c r="F462" s="13" t="s">
        <v>5212</v>
      </c>
      <c r="G462" s="13" t="s">
        <v>229</v>
      </c>
      <c r="H462" s="13" t="s">
        <v>7712</v>
      </c>
      <c r="J462" s="13" t="s">
        <v>106</v>
      </c>
      <c r="W462" s="13">
        <v>546</v>
      </c>
      <c r="X462" s="13">
        <v>546</v>
      </c>
      <c r="Y462" s="13" t="s">
        <v>107</v>
      </c>
      <c r="Z462" s="13" t="s">
        <v>108</v>
      </c>
      <c r="AA462" s="39" t="s">
        <v>107</v>
      </c>
      <c r="AB462" s="13" t="s">
        <v>5956</v>
      </c>
      <c r="AC462" s="13" t="s">
        <v>5956</v>
      </c>
      <c r="AD462" s="13" t="s">
        <v>5956</v>
      </c>
      <c r="AE462" s="39" t="s">
        <v>112</v>
      </c>
      <c r="AF462" s="13" t="s">
        <v>5956</v>
      </c>
      <c r="AG462" s="13" t="s">
        <v>5956</v>
      </c>
      <c r="AH462" s="13" t="s">
        <v>5957</v>
      </c>
      <c r="AL462" s="13" t="s">
        <v>5958</v>
      </c>
      <c r="AN462" s="13">
        <v>329</v>
      </c>
      <c r="AO462" s="13" t="s">
        <v>5959</v>
      </c>
      <c r="AQ462" s="13" t="s">
        <v>5956</v>
      </c>
      <c r="AR462" s="13" t="s">
        <v>5956</v>
      </c>
      <c r="AS462" s="13" t="s">
        <v>116</v>
      </c>
      <c r="AT462" s="13" t="s">
        <v>5948</v>
      </c>
      <c r="AU462" s="13" t="s">
        <v>5848</v>
      </c>
      <c r="AV462" s="13" t="s">
        <v>1677</v>
      </c>
      <c r="AW462" s="39"/>
      <c r="AX462" s="39"/>
      <c r="AY462" s="13" t="s">
        <v>5960</v>
      </c>
      <c r="AZ462" s="13" t="s">
        <v>5961</v>
      </c>
      <c r="BA462" s="13" t="s">
        <v>5961</v>
      </c>
      <c r="BB462" s="13" t="s">
        <v>5962</v>
      </c>
      <c r="BC462" s="13" t="s">
        <v>5963</v>
      </c>
      <c r="BD462" s="13">
        <f t="shared" si="16"/>
        <v>58</v>
      </c>
      <c r="BE462" s="17" t="s">
        <v>1637</v>
      </c>
      <c r="BF462" s="17" t="s">
        <v>951</v>
      </c>
      <c r="BG462" s="17" t="s">
        <v>5852</v>
      </c>
      <c r="BH462" s="17"/>
      <c r="BI462" s="17"/>
      <c r="BJ462" s="17" t="s">
        <v>5874</v>
      </c>
      <c r="BK462" s="17" t="s">
        <v>5964</v>
      </c>
      <c r="BL462" s="17"/>
      <c r="BM462" s="17"/>
      <c r="BN462" s="17"/>
      <c r="BO462" s="17" t="s">
        <v>5954</v>
      </c>
      <c r="BP462" s="17"/>
      <c r="BQ462" s="17"/>
      <c r="BR462" s="17"/>
      <c r="BS462" s="17" t="s">
        <v>127</v>
      </c>
      <c r="BT462" s="17" t="s">
        <v>5854</v>
      </c>
      <c r="BU462" s="17" t="s">
        <v>129</v>
      </c>
      <c r="BV462" s="17"/>
      <c r="BW462" s="17" t="s">
        <v>2209</v>
      </c>
      <c r="BX462" s="25" t="s">
        <v>5965</v>
      </c>
      <c r="DA462" s="13" t="s">
        <v>10348</v>
      </c>
      <c r="DB462" s="13" t="s">
        <v>10348</v>
      </c>
    </row>
    <row r="463" spans="1:106" s="13" customFormat="1" ht="12.75" customHeight="1" x14ac:dyDescent="0.2">
      <c r="A463" s="13" t="s">
        <v>102</v>
      </c>
      <c r="B463" s="13" t="s">
        <v>103</v>
      </c>
      <c r="D463" s="13" t="s">
        <v>5212</v>
      </c>
      <c r="E463" s="13" t="s">
        <v>228</v>
      </c>
      <c r="F463" s="13" t="s">
        <v>5212</v>
      </c>
      <c r="G463" s="13" t="s">
        <v>229</v>
      </c>
      <c r="H463" s="13" t="s">
        <v>7712</v>
      </c>
      <c r="J463" s="13" t="s">
        <v>106</v>
      </c>
      <c r="W463" s="13">
        <v>547</v>
      </c>
      <c r="X463" s="13">
        <v>547</v>
      </c>
      <c r="Y463" s="13" t="s">
        <v>107</v>
      </c>
      <c r="Z463" s="13" t="s">
        <v>108</v>
      </c>
      <c r="AA463" s="39" t="s">
        <v>107</v>
      </c>
      <c r="AB463" s="13" t="s">
        <v>5966</v>
      </c>
      <c r="AC463" s="13" t="s">
        <v>5966</v>
      </c>
      <c r="AD463" s="13" t="s">
        <v>5966</v>
      </c>
      <c r="AE463" s="39" t="s">
        <v>112</v>
      </c>
      <c r="AF463" s="13" t="s">
        <v>5966</v>
      </c>
      <c r="AG463" s="13" t="s">
        <v>5966</v>
      </c>
      <c r="AH463" s="13" t="s">
        <v>5967</v>
      </c>
      <c r="AL463" s="13" t="s">
        <v>5968</v>
      </c>
      <c r="AN463" s="13">
        <v>329</v>
      </c>
      <c r="AO463" s="13" t="s">
        <v>5969</v>
      </c>
      <c r="AQ463" s="13" t="s">
        <v>5966</v>
      </c>
      <c r="AR463" s="13" t="s">
        <v>5966</v>
      </c>
      <c r="AS463" s="13" t="s">
        <v>116</v>
      </c>
      <c r="AT463" s="13" t="s">
        <v>5948</v>
      </c>
      <c r="AU463" s="13" t="s">
        <v>5848</v>
      </c>
      <c r="AV463" s="13" t="s">
        <v>1677</v>
      </c>
      <c r="AW463" s="39"/>
      <c r="AX463" s="39"/>
      <c r="AY463" s="13" t="s">
        <v>5970</v>
      </c>
      <c r="AZ463" s="13" t="s">
        <v>5971</v>
      </c>
      <c r="BA463" s="13" t="s">
        <v>5971</v>
      </c>
      <c r="BB463" s="13" t="s">
        <v>5972</v>
      </c>
      <c r="BC463" s="13" t="s">
        <v>5973</v>
      </c>
      <c r="BD463" s="13">
        <f t="shared" si="16"/>
        <v>59</v>
      </c>
      <c r="BE463" s="17" t="s">
        <v>1637</v>
      </c>
      <c r="BF463" s="17" t="s">
        <v>951</v>
      </c>
      <c r="BG463" s="17" t="s">
        <v>5852</v>
      </c>
      <c r="BH463" s="17"/>
      <c r="BI463" s="17"/>
      <c r="BJ463" s="17" t="s">
        <v>5884</v>
      </c>
      <c r="BK463" s="17" t="s">
        <v>5974</v>
      </c>
      <c r="BL463" s="17"/>
      <c r="BM463" s="17"/>
      <c r="BN463" s="17"/>
      <c r="BO463" s="17" t="s">
        <v>5954</v>
      </c>
      <c r="BP463" s="17"/>
      <c r="BQ463" s="17"/>
      <c r="BR463" s="17"/>
      <c r="BS463" s="17" t="s">
        <v>127</v>
      </c>
      <c r="BT463" s="17" t="s">
        <v>5854</v>
      </c>
      <c r="BU463" s="17" t="s">
        <v>129</v>
      </c>
      <c r="BV463" s="17"/>
      <c r="BW463" s="17" t="s">
        <v>2209</v>
      </c>
      <c r="BX463" s="25" t="s">
        <v>5975</v>
      </c>
      <c r="DA463" s="13" t="s">
        <v>10348</v>
      </c>
      <c r="DB463" s="13" t="s">
        <v>10348</v>
      </c>
    </row>
    <row r="464" spans="1:106" s="13" customFormat="1" ht="12.75" customHeight="1" x14ac:dyDescent="0.2">
      <c r="A464" s="13" t="s">
        <v>102</v>
      </c>
      <c r="B464" s="13" t="s">
        <v>103</v>
      </c>
      <c r="D464" s="13" t="s">
        <v>5212</v>
      </c>
      <c r="E464" s="13" t="s">
        <v>228</v>
      </c>
      <c r="F464" s="13" t="s">
        <v>5212</v>
      </c>
      <c r="G464" s="13" t="s">
        <v>229</v>
      </c>
      <c r="H464" s="13" t="s">
        <v>7712</v>
      </c>
      <c r="J464" s="13" t="s">
        <v>106</v>
      </c>
      <c r="W464" s="13">
        <v>548</v>
      </c>
      <c r="X464" s="13">
        <v>548</v>
      </c>
      <c r="Y464" s="13" t="s">
        <v>107</v>
      </c>
      <c r="Z464" s="13" t="s">
        <v>108</v>
      </c>
      <c r="AA464" s="39" t="s">
        <v>107</v>
      </c>
      <c r="AB464" s="13" t="s">
        <v>5976</v>
      </c>
      <c r="AC464" s="13" t="s">
        <v>5976</v>
      </c>
      <c r="AD464" s="13" t="s">
        <v>5976</v>
      </c>
      <c r="AE464" s="39" t="s">
        <v>112</v>
      </c>
      <c r="AF464" s="13" t="s">
        <v>5976</v>
      </c>
      <c r="AG464" s="13" t="s">
        <v>5976</v>
      </c>
      <c r="AH464" s="13" t="s">
        <v>5977</v>
      </c>
      <c r="AL464" s="13" t="s">
        <v>5978</v>
      </c>
      <c r="AN464" s="13">
        <v>329</v>
      </c>
      <c r="AO464" s="13" t="s">
        <v>5979</v>
      </c>
      <c r="AQ464" s="13" t="s">
        <v>5976</v>
      </c>
      <c r="AR464" s="13" t="s">
        <v>5976</v>
      </c>
      <c r="AS464" s="13" t="s">
        <v>116</v>
      </c>
      <c r="AT464" s="13" t="s">
        <v>5948</v>
      </c>
      <c r="AU464" s="13" t="s">
        <v>5848</v>
      </c>
      <c r="AV464" s="13" t="s">
        <v>1677</v>
      </c>
      <c r="AW464" s="39"/>
      <c r="AX464" s="39"/>
      <c r="AY464" s="13" t="s">
        <v>5980</v>
      </c>
      <c r="AZ464" s="13" t="s">
        <v>5981</v>
      </c>
      <c r="BA464" s="13" t="s">
        <v>5981</v>
      </c>
      <c r="BB464" s="13" t="s">
        <v>5982</v>
      </c>
      <c r="BC464" s="13" t="s">
        <v>5983</v>
      </c>
      <c r="BD464" s="13">
        <f t="shared" si="16"/>
        <v>57</v>
      </c>
      <c r="BE464" s="17" t="s">
        <v>1637</v>
      </c>
      <c r="BF464" s="17" t="s">
        <v>951</v>
      </c>
      <c r="BG464" s="17" t="s">
        <v>5852</v>
      </c>
      <c r="BH464" s="17"/>
      <c r="BI464" s="17"/>
      <c r="BJ464" s="17" t="s">
        <v>5904</v>
      </c>
      <c r="BK464" s="17" t="s">
        <v>5984</v>
      </c>
      <c r="BL464" s="17"/>
      <c r="BM464" s="17"/>
      <c r="BN464" s="17"/>
      <c r="BO464" s="17" t="s">
        <v>5954</v>
      </c>
      <c r="BP464" s="17"/>
      <c r="BQ464" s="17"/>
      <c r="BR464" s="17"/>
      <c r="BS464" s="17" t="s">
        <v>127</v>
      </c>
      <c r="BT464" s="17" t="s">
        <v>5854</v>
      </c>
      <c r="BU464" s="17" t="s">
        <v>129</v>
      </c>
      <c r="BV464" s="17"/>
      <c r="BW464" s="17" t="s">
        <v>2209</v>
      </c>
      <c r="BX464" s="25" t="s">
        <v>5985</v>
      </c>
      <c r="DA464" s="13" t="s">
        <v>10348</v>
      </c>
      <c r="DB464" s="13" t="s">
        <v>10348</v>
      </c>
    </row>
    <row r="465" spans="1:106" s="13" customFormat="1" ht="12.75" customHeight="1" x14ac:dyDescent="0.2">
      <c r="A465" s="13" t="s">
        <v>102</v>
      </c>
      <c r="B465" s="13" t="s">
        <v>103</v>
      </c>
      <c r="D465" s="13" t="s">
        <v>5212</v>
      </c>
      <c r="E465" s="13" t="s">
        <v>228</v>
      </c>
      <c r="F465" s="13" t="s">
        <v>5212</v>
      </c>
      <c r="G465" s="13" t="s">
        <v>229</v>
      </c>
      <c r="H465" s="13" t="s">
        <v>7712</v>
      </c>
      <c r="J465" s="13" t="s">
        <v>106</v>
      </c>
      <c r="W465" s="13">
        <v>549</v>
      </c>
      <c r="X465" s="13">
        <v>549</v>
      </c>
      <c r="Y465" s="13" t="s">
        <v>107</v>
      </c>
      <c r="Z465" s="13" t="s">
        <v>108</v>
      </c>
      <c r="AA465" s="39" t="s">
        <v>107</v>
      </c>
      <c r="AB465" s="13" t="s">
        <v>5986</v>
      </c>
      <c r="AC465" s="13" t="s">
        <v>5986</v>
      </c>
      <c r="AD465" s="13" t="s">
        <v>5986</v>
      </c>
      <c r="AE465" s="39" t="s">
        <v>112</v>
      </c>
      <c r="AF465" s="13" t="s">
        <v>5986</v>
      </c>
      <c r="AG465" s="13" t="s">
        <v>5986</v>
      </c>
      <c r="AH465" s="13" t="s">
        <v>5987</v>
      </c>
      <c r="AL465" s="13" t="s">
        <v>5988</v>
      </c>
      <c r="AN465" s="13">
        <v>329</v>
      </c>
      <c r="AO465" s="13" t="s">
        <v>5989</v>
      </c>
      <c r="AQ465" s="13" t="s">
        <v>5986</v>
      </c>
      <c r="AR465" s="13" t="s">
        <v>5986</v>
      </c>
      <c r="AS465" s="13" t="s">
        <v>116</v>
      </c>
      <c r="AT465" s="13" t="s">
        <v>5990</v>
      </c>
      <c r="AU465" s="13" t="s">
        <v>5991</v>
      </c>
      <c r="AV465" s="13" t="s">
        <v>5772</v>
      </c>
      <c r="AW465" s="39" t="s">
        <v>5773</v>
      </c>
      <c r="AX465" s="39" t="s">
        <v>5774</v>
      </c>
      <c r="AY465" s="13" t="s">
        <v>5992</v>
      </c>
      <c r="AZ465" s="13" t="s">
        <v>5993</v>
      </c>
      <c r="BA465" s="13" t="s">
        <v>5993</v>
      </c>
      <c r="BB465" s="13" t="s">
        <v>5994</v>
      </c>
      <c r="BC465" s="13" t="s">
        <v>5995</v>
      </c>
      <c r="BD465" s="13">
        <f t="shared" si="16"/>
        <v>59</v>
      </c>
      <c r="BE465" s="17" t="s">
        <v>5221</v>
      </c>
      <c r="BF465" s="17" t="s">
        <v>5778</v>
      </c>
      <c r="BG465" s="17" t="s">
        <v>5996</v>
      </c>
      <c r="BH465" s="31" t="s">
        <v>2598</v>
      </c>
      <c r="BI465" s="17"/>
      <c r="BJ465" s="17" t="s">
        <v>5997</v>
      </c>
      <c r="BK465" s="17"/>
      <c r="BL465" s="17"/>
      <c r="BM465" s="17"/>
      <c r="BN465" s="17" t="s">
        <v>5998</v>
      </c>
      <c r="BO465" s="17" t="s">
        <v>5999</v>
      </c>
      <c r="BP465" s="17"/>
      <c r="BQ465" s="17"/>
      <c r="BR465" s="17"/>
      <c r="BS465" s="17" t="s">
        <v>127</v>
      </c>
      <c r="BT465" s="17" t="s">
        <v>5722</v>
      </c>
      <c r="BU465" s="17" t="s">
        <v>129</v>
      </c>
      <c r="BV465" s="17"/>
      <c r="BW465" s="17"/>
      <c r="BX465" s="25" t="s">
        <v>6000</v>
      </c>
      <c r="BY465" s="13" t="s">
        <v>6001</v>
      </c>
      <c r="DA465" s="13" t="s">
        <v>10348</v>
      </c>
      <c r="DB465" s="13" t="s">
        <v>10348</v>
      </c>
    </row>
    <row r="466" spans="1:106" s="13" customFormat="1" ht="12.75" customHeight="1" x14ac:dyDescent="0.2">
      <c r="A466" s="13" t="s">
        <v>102</v>
      </c>
      <c r="B466" s="13" t="s">
        <v>103</v>
      </c>
      <c r="D466" s="13" t="s">
        <v>5212</v>
      </c>
      <c r="E466" s="13" t="s">
        <v>228</v>
      </c>
      <c r="F466" s="13" t="s">
        <v>5212</v>
      </c>
      <c r="G466" s="13" t="s">
        <v>229</v>
      </c>
      <c r="H466" s="13" t="s">
        <v>7712</v>
      </c>
      <c r="J466" s="13" t="s">
        <v>106</v>
      </c>
      <c r="W466" s="13">
        <v>550</v>
      </c>
      <c r="X466" s="13">
        <v>550</v>
      </c>
      <c r="Y466" s="13" t="s">
        <v>107</v>
      </c>
      <c r="Z466" s="13" t="s">
        <v>108</v>
      </c>
      <c r="AA466" s="39" t="s">
        <v>107</v>
      </c>
      <c r="AB466" s="13" t="s">
        <v>6002</v>
      </c>
      <c r="AC466" s="13" t="s">
        <v>6002</v>
      </c>
      <c r="AD466" s="13" t="s">
        <v>6002</v>
      </c>
      <c r="AE466" s="39" t="s">
        <v>112</v>
      </c>
      <c r="AF466" s="13" t="s">
        <v>6002</v>
      </c>
      <c r="AG466" s="13" t="s">
        <v>6002</v>
      </c>
      <c r="AH466" s="13" t="s">
        <v>6003</v>
      </c>
      <c r="AL466" s="13" t="s">
        <v>6004</v>
      </c>
      <c r="AN466" s="13">
        <v>329</v>
      </c>
      <c r="AO466" s="13" t="s">
        <v>6005</v>
      </c>
      <c r="AQ466" s="13" t="s">
        <v>6002</v>
      </c>
      <c r="AR466" s="13" t="s">
        <v>6002</v>
      </c>
      <c r="AS466" s="13" t="s">
        <v>116</v>
      </c>
      <c r="AT466" s="13" t="s">
        <v>6006</v>
      </c>
      <c r="AU466" s="13" t="s">
        <v>6007</v>
      </c>
      <c r="AV466" s="13" t="s">
        <v>5772</v>
      </c>
      <c r="AW466" s="39" t="s">
        <v>5773</v>
      </c>
      <c r="AX466" s="39" t="s">
        <v>5774</v>
      </c>
      <c r="AY466" s="13" t="s">
        <v>6008</v>
      </c>
      <c r="AZ466" s="13" t="s">
        <v>6009</v>
      </c>
      <c r="BA466" s="13" t="s">
        <v>6009</v>
      </c>
      <c r="BB466" s="13" t="s">
        <v>6010</v>
      </c>
      <c r="BC466" s="13" t="s">
        <v>6011</v>
      </c>
      <c r="BD466" s="13">
        <f t="shared" si="16"/>
        <v>59</v>
      </c>
      <c r="BE466" s="17" t="s">
        <v>5221</v>
      </c>
      <c r="BF466" s="17" t="s">
        <v>5778</v>
      </c>
      <c r="BG466" s="17" t="s">
        <v>5996</v>
      </c>
      <c r="BH466" s="31" t="s">
        <v>2598</v>
      </c>
      <c r="BI466" s="17"/>
      <c r="BJ466" s="17" t="s">
        <v>6012</v>
      </c>
      <c r="BK466" s="17"/>
      <c r="BL466" s="17"/>
      <c r="BM466" s="17"/>
      <c r="BN466" s="17" t="s">
        <v>5998</v>
      </c>
      <c r="BO466" s="17" t="s">
        <v>5999</v>
      </c>
      <c r="BP466" s="17"/>
      <c r="BQ466" s="17"/>
      <c r="BR466" s="17"/>
      <c r="BS466" s="17" t="s">
        <v>127</v>
      </c>
      <c r="BT466" s="17" t="s">
        <v>5722</v>
      </c>
      <c r="BU466" s="17" t="s">
        <v>129</v>
      </c>
      <c r="BV466" s="17"/>
      <c r="BW466" s="17"/>
      <c r="BX466" s="25" t="s">
        <v>6013</v>
      </c>
      <c r="BY466" s="13" t="s">
        <v>6001</v>
      </c>
      <c r="DA466" s="13" t="s">
        <v>10348</v>
      </c>
      <c r="DB466" s="13" t="s">
        <v>10348</v>
      </c>
    </row>
    <row r="467" spans="1:106" s="13" customFormat="1" ht="12.75" customHeight="1" x14ac:dyDescent="0.2">
      <c r="A467" s="13" t="s">
        <v>102</v>
      </c>
      <c r="B467" s="13" t="s">
        <v>103</v>
      </c>
      <c r="D467" s="13" t="s">
        <v>5212</v>
      </c>
      <c r="E467" s="13" t="s">
        <v>228</v>
      </c>
      <c r="F467" s="13" t="s">
        <v>5212</v>
      </c>
      <c r="G467" s="13" t="s">
        <v>229</v>
      </c>
      <c r="H467" s="13" t="s">
        <v>7712</v>
      </c>
      <c r="J467" s="13" t="s">
        <v>106</v>
      </c>
      <c r="W467" s="13">
        <v>551</v>
      </c>
      <c r="X467" s="13">
        <v>551</v>
      </c>
      <c r="Y467" s="13" t="s">
        <v>107</v>
      </c>
      <c r="Z467" s="13" t="s">
        <v>108</v>
      </c>
      <c r="AA467" s="39" t="s">
        <v>107</v>
      </c>
      <c r="AB467" s="13" t="s">
        <v>6014</v>
      </c>
      <c r="AC467" s="13" t="s">
        <v>6014</v>
      </c>
      <c r="AD467" s="13" t="s">
        <v>6014</v>
      </c>
      <c r="AE467" s="39" t="s">
        <v>112</v>
      </c>
      <c r="AF467" s="13" t="s">
        <v>6014</v>
      </c>
      <c r="AG467" s="13" t="s">
        <v>6014</v>
      </c>
      <c r="AH467" s="13" t="s">
        <v>6015</v>
      </c>
      <c r="AL467" s="13" t="s">
        <v>6016</v>
      </c>
      <c r="AN467" s="13">
        <v>329</v>
      </c>
      <c r="AO467" s="13" t="s">
        <v>6017</v>
      </c>
      <c r="AQ467" s="13" t="s">
        <v>6014</v>
      </c>
      <c r="AR467" s="13" t="s">
        <v>6014</v>
      </c>
      <c r="AS467" s="13" t="s">
        <v>116</v>
      </c>
      <c r="AT467" s="13" t="s">
        <v>6018</v>
      </c>
      <c r="AU467" s="13" t="s">
        <v>6007</v>
      </c>
      <c r="AV467" s="13" t="s">
        <v>5772</v>
      </c>
      <c r="AW467" s="39" t="s">
        <v>5773</v>
      </c>
      <c r="AX467" s="39" t="s">
        <v>5774</v>
      </c>
      <c r="AY467" s="13" t="s">
        <v>6019</v>
      </c>
      <c r="AZ467" s="13" t="s">
        <v>6020</v>
      </c>
      <c r="BA467" s="13" t="s">
        <v>6020</v>
      </c>
      <c r="BB467" s="13" t="s">
        <v>6021</v>
      </c>
      <c r="BC467" s="13" t="s">
        <v>6022</v>
      </c>
      <c r="BD467" s="13">
        <f t="shared" si="16"/>
        <v>60</v>
      </c>
      <c r="BE467" s="17" t="s">
        <v>5221</v>
      </c>
      <c r="BF467" s="17" t="s">
        <v>5778</v>
      </c>
      <c r="BG467" s="17" t="s">
        <v>5996</v>
      </c>
      <c r="BH467" s="31" t="s">
        <v>2598</v>
      </c>
      <c r="BI467" s="17"/>
      <c r="BJ467" s="17" t="s">
        <v>6023</v>
      </c>
      <c r="BK467" s="17"/>
      <c r="BL467" s="17"/>
      <c r="BM467" s="17"/>
      <c r="BN467" s="17" t="s">
        <v>5998</v>
      </c>
      <c r="BO467" s="17" t="s">
        <v>5999</v>
      </c>
      <c r="BP467" s="17"/>
      <c r="BQ467" s="17"/>
      <c r="BR467" s="17"/>
      <c r="BS467" s="17" t="s">
        <v>127</v>
      </c>
      <c r="BT467" s="17" t="s">
        <v>5722</v>
      </c>
      <c r="BU467" s="17" t="s">
        <v>129</v>
      </c>
      <c r="BV467" s="17"/>
      <c r="BW467" s="17"/>
      <c r="BX467" s="25" t="s">
        <v>6024</v>
      </c>
      <c r="BY467" s="13" t="s">
        <v>6001</v>
      </c>
      <c r="DA467" s="13" t="s">
        <v>10348</v>
      </c>
      <c r="DB467" s="13" t="s">
        <v>10348</v>
      </c>
    </row>
    <row r="468" spans="1:106" s="13" customFormat="1" ht="12.75" customHeight="1" x14ac:dyDescent="0.2">
      <c r="A468" s="13" t="s">
        <v>102</v>
      </c>
      <c r="B468" s="13" t="s">
        <v>103</v>
      </c>
      <c r="D468" s="13" t="s">
        <v>5212</v>
      </c>
      <c r="E468" s="13" t="s">
        <v>228</v>
      </c>
      <c r="F468" s="13" t="s">
        <v>5212</v>
      </c>
      <c r="G468" s="13" t="s">
        <v>229</v>
      </c>
      <c r="H468" s="13" t="s">
        <v>7712</v>
      </c>
      <c r="J468" s="13" t="s">
        <v>106</v>
      </c>
      <c r="W468" s="13">
        <v>552</v>
      </c>
      <c r="X468" s="13">
        <v>552</v>
      </c>
      <c r="Y468" s="13" t="s">
        <v>107</v>
      </c>
      <c r="Z468" s="13" t="s">
        <v>108</v>
      </c>
      <c r="AA468" s="39" t="s">
        <v>107</v>
      </c>
      <c r="AB468" s="13" t="s">
        <v>6025</v>
      </c>
      <c r="AC468" s="13" t="s">
        <v>6025</v>
      </c>
      <c r="AD468" s="13" t="s">
        <v>6025</v>
      </c>
      <c r="AE468" s="39" t="s">
        <v>112</v>
      </c>
      <c r="AF468" s="13" t="s">
        <v>6025</v>
      </c>
      <c r="AG468" s="13" t="s">
        <v>6025</v>
      </c>
      <c r="AH468" s="13" t="s">
        <v>6026</v>
      </c>
      <c r="AL468" s="13" t="s">
        <v>6027</v>
      </c>
      <c r="AN468" s="13">
        <v>329</v>
      </c>
      <c r="AO468" s="13" t="s">
        <v>6028</v>
      </c>
      <c r="AQ468" s="13" t="s">
        <v>6025</v>
      </c>
      <c r="AR468" s="13" t="s">
        <v>6025</v>
      </c>
      <c r="AS468" s="13" t="s">
        <v>116</v>
      </c>
      <c r="AT468" s="13" t="s">
        <v>6029</v>
      </c>
      <c r="AU468" s="13" t="s">
        <v>6030</v>
      </c>
      <c r="AV468" s="13" t="s">
        <v>5772</v>
      </c>
      <c r="AW468" s="39" t="s">
        <v>5773</v>
      </c>
      <c r="AX468" s="39" t="s">
        <v>5774</v>
      </c>
      <c r="AY468" s="13" t="s">
        <v>6031</v>
      </c>
      <c r="AZ468" s="13" t="s">
        <v>6032</v>
      </c>
      <c r="BA468" s="13" t="s">
        <v>6032</v>
      </c>
      <c r="BB468" s="13" t="s">
        <v>6033</v>
      </c>
      <c r="BC468" s="13" t="s">
        <v>6034</v>
      </c>
      <c r="BD468" s="13">
        <f t="shared" si="16"/>
        <v>60</v>
      </c>
      <c r="BE468" s="17" t="s">
        <v>5221</v>
      </c>
      <c r="BF468" s="17" t="s">
        <v>5778</v>
      </c>
      <c r="BG468" s="17" t="s">
        <v>5996</v>
      </c>
      <c r="BH468" s="31" t="s">
        <v>2598</v>
      </c>
      <c r="BI468" s="17"/>
      <c r="BJ468" s="17" t="s">
        <v>6035</v>
      </c>
      <c r="BK468" s="17"/>
      <c r="BL468" s="17"/>
      <c r="BM468" s="17"/>
      <c r="BN468" s="17" t="s">
        <v>5998</v>
      </c>
      <c r="BO468" s="17" t="s">
        <v>5999</v>
      </c>
      <c r="BP468" s="17"/>
      <c r="BQ468" s="17"/>
      <c r="BR468" s="17"/>
      <c r="BS468" s="17" t="s">
        <v>127</v>
      </c>
      <c r="BT468" s="17" t="s">
        <v>5722</v>
      </c>
      <c r="BU468" s="17" t="s">
        <v>129</v>
      </c>
      <c r="BV468" s="17"/>
      <c r="BW468" s="17"/>
      <c r="BX468" s="25" t="s">
        <v>6036</v>
      </c>
      <c r="BY468" s="13" t="s">
        <v>6001</v>
      </c>
      <c r="DA468" s="13" t="s">
        <v>10348</v>
      </c>
      <c r="DB468" s="13" t="s">
        <v>10348</v>
      </c>
    </row>
    <row r="469" spans="1:106" s="13" customFormat="1" ht="12.75" customHeight="1" x14ac:dyDescent="0.2">
      <c r="A469" s="13" t="s">
        <v>102</v>
      </c>
      <c r="B469" s="13" t="s">
        <v>103</v>
      </c>
      <c r="D469" s="13" t="s">
        <v>5212</v>
      </c>
      <c r="E469" s="13" t="s">
        <v>228</v>
      </c>
      <c r="F469" s="13" t="s">
        <v>5212</v>
      </c>
      <c r="G469" s="13" t="s">
        <v>229</v>
      </c>
      <c r="H469" s="13" t="s">
        <v>7712</v>
      </c>
      <c r="J469" s="13" t="s">
        <v>106</v>
      </c>
      <c r="W469" s="13">
        <v>553</v>
      </c>
      <c r="X469" s="13">
        <v>553</v>
      </c>
      <c r="Y469" s="13" t="s">
        <v>107</v>
      </c>
      <c r="Z469" s="13" t="s">
        <v>108</v>
      </c>
      <c r="AA469" s="39" t="s">
        <v>107</v>
      </c>
      <c r="AB469" s="13" t="s">
        <v>6037</v>
      </c>
      <c r="AC469" s="13" t="s">
        <v>6037</v>
      </c>
      <c r="AD469" s="13" t="s">
        <v>6037</v>
      </c>
      <c r="AE469" s="39" t="s">
        <v>112</v>
      </c>
      <c r="AF469" s="13" t="s">
        <v>6037</v>
      </c>
      <c r="AG469" s="13" t="s">
        <v>6037</v>
      </c>
      <c r="AH469" s="13" t="s">
        <v>6038</v>
      </c>
      <c r="AL469" s="13" t="s">
        <v>6039</v>
      </c>
      <c r="AN469" s="13">
        <v>329</v>
      </c>
      <c r="AO469" s="13" t="s">
        <v>6040</v>
      </c>
      <c r="AQ469" s="13" t="s">
        <v>6037</v>
      </c>
      <c r="AR469" s="13" t="s">
        <v>6037</v>
      </c>
      <c r="AS469" s="13" t="s">
        <v>116</v>
      </c>
      <c r="AT469" s="13" t="s">
        <v>6041</v>
      </c>
      <c r="AU469" s="13" t="s">
        <v>6007</v>
      </c>
      <c r="AV469" s="13" t="s">
        <v>5772</v>
      </c>
      <c r="AW469" s="39" t="s">
        <v>5773</v>
      </c>
      <c r="AX469" s="39" t="s">
        <v>5774</v>
      </c>
      <c r="AY469" s="13" t="s">
        <v>6042</v>
      </c>
      <c r="AZ469" s="13" t="s">
        <v>6043</v>
      </c>
      <c r="BA469" s="13" t="s">
        <v>6043</v>
      </c>
      <c r="BB469" s="13" t="s">
        <v>6044</v>
      </c>
      <c r="BC469" s="13" t="s">
        <v>6045</v>
      </c>
      <c r="BD469" s="13">
        <f t="shared" ref="BD469:BD500" si="17">LEN(SUBSTITUTE(BC469, ", "," "))</f>
        <v>60</v>
      </c>
      <c r="BE469" s="17" t="s">
        <v>5221</v>
      </c>
      <c r="BF469" s="17" t="s">
        <v>5778</v>
      </c>
      <c r="BG469" s="17" t="s">
        <v>5996</v>
      </c>
      <c r="BH469" s="31" t="s">
        <v>2598</v>
      </c>
      <c r="BI469" s="17"/>
      <c r="BJ469" s="17" t="s">
        <v>6046</v>
      </c>
      <c r="BK469" s="17"/>
      <c r="BL469" s="17"/>
      <c r="BM469" s="17"/>
      <c r="BN469" s="17" t="s">
        <v>5998</v>
      </c>
      <c r="BO469" s="17" t="s">
        <v>5999</v>
      </c>
      <c r="BP469" s="17"/>
      <c r="BQ469" s="17"/>
      <c r="BR469" s="17"/>
      <c r="BS469" s="17" t="s">
        <v>127</v>
      </c>
      <c r="BT469" s="17" t="s">
        <v>5722</v>
      </c>
      <c r="BU469" s="17" t="s">
        <v>129</v>
      </c>
      <c r="BV469" s="17"/>
      <c r="BW469" s="17"/>
      <c r="BX469" s="25" t="s">
        <v>6047</v>
      </c>
      <c r="BY469" s="13" t="s">
        <v>6001</v>
      </c>
      <c r="DA469" s="13" t="s">
        <v>10348</v>
      </c>
      <c r="DB469" s="13" t="s">
        <v>10348</v>
      </c>
    </row>
    <row r="470" spans="1:106" s="13" customFormat="1" ht="12.75" customHeight="1" x14ac:dyDescent="0.2">
      <c r="A470" s="13" t="s">
        <v>102</v>
      </c>
      <c r="B470" s="13" t="s">
        <v>103</v>
      </c>
      <c r="D470" s="13" t="s">
        <v>5212</v>
      </c>
      <c r="E470" s="13" t="s">
        <v>228</v>
      </c>
      <c r="F470" s="13" t="s">
        <v>5212</v>
      </c>
      <c r="G470" s="13" t="s">
        <v>229</v>
      </c>
      <c r="H470" s="13" t="s">
        <v>7712</v>
      </c>
      <c r="J470" s="13" t="s">
        <v>106</v>
      </c>
      <c r="W470" s="13">
        <v>554</v>
      </c>
      <c r="X470" s="13">
        <v>554</v>
      </c>
      <c r="Y470" s="13" t="s">
        <v>107</v>
      </c>
      <c r="Z470" s="13" t="s">
        <v>108</v>
      </c>
      <c r="AA470" s="39" t="s">
        <v>107</v>
      </c>
      <c r="AB470" s="13" t="s">
        <v>6048</v>
      </c>
      <c r="AC470" s="13" t="s">
        <v>6048</v>
      </c>
      <c r="AD470" s="13" t="s">
        <v>6048</v>
      </c>
      <c r="AE470" s="39" t="s">
        <v>112</v>
      </c>
      <c r="AF470" s="13" t="s">
        <v>6048</v>
      </c>
      <c r="AG470" s="13" t="s">
        <v>6048</v>
      </c>
      <c r="AH470" s="13" t="s">
        <v>6049</v>
      </c>
      <c r="AL470" s="13" t="s">
        <v>6050</v>
      </c>
      <c r="AN470" s="13">
        <v>329</v>
      </c>
      <c r="AO470" s="13" t="s">
        <v>6051</v>
      </c>
      <c r="AQ470" s="13" t="s">
        <v>6048</v>
      </c>
      <c r="AR470" s="13" t="s">
        <v>6048</v>
      </c>
      <c r="AS470" s="13" t="s">
        <v>116</v>
      </c>
      <c r="AT470" s="13" t="s">
        <v>6052</v>
      </c>
      <c r="AU470" s="13" t="s">
        <v>5991</v>
      </c>
      <c r="AV470" s="13" t="s">
        <v>5772</v>
      </c>
      <c r="AW470" s="39" t="s">
        <v>5773</v>
      </c>
      <c r="AX470" s="39" t="s">
        <v>5774</v>
      </c>
      <c r="AY470" s="13" t="s">
        <v>6053</v>
      </c>
      <c r="AZ470" s="13" t="s">
        <v>6054</v>
      </c>
      <c r="BA470" s="13" t="s">
        <v>6054</v>
      </c>
      <c r="BB470" s="13" t="s">
        <v>6055</v>
      </c>
      <c r="BC470" s="13" t="s">
        <v>6056</v>
      </c>
      <c r="BD470" s="13">
        <f t="shared" si="17"/>
        <v>60</v>
      </c>
      <c r="BE470" s="17" t="s">
        <v>5221</v>
      </c>
      <c r="BF470" s="17" t="s">
        <v>5778</v>
      </c>
      <c r="BG470" s="17" t="s">
        <v>5996</v>
      </c>
      <c r="BH470" s="31" t="s">
        <v>2598</v>
      </c>
      <c r="BI470" s="17"/>
      <c r="BJ470" s="17" t="s">
        <v>6057</v>
      </c>
      <c r="BK470" s="17"/>
      <c r="BL470" s="17"/>
      <c r="BM470" s="17"/>
      <c r="BN470" s="17" t="s">
        <v>5998</v>
      </c>
      <c r="BO470" s="17" t="s">
        <v>5999</v>
      </c>
      <c r="BP470" s="17"/>
      <c r="BQ470" s="17"/>
      <c r="BR470" s="17"/>
      <c r="BS470" s="17" t="s">
        <v>127</v>
      </c>
      <c r="BT470" s="17" t="s">
        <v>5722</v>
      </c>
      <c r="BU470" s="17" t="s">
        <v>129</v>
      </c>
      <c r="BV470" s="17"/>
      <c r="BW470" s="17"/>
      <c r="BX470" s="25" t="s">
        <v>6058</v>
      </c>
      <c r="BY470" s="13" t="s">
        <v>6001</v>
      </c>
      <c r="DA470" s="13" t="s">
        <v>10348</v>
      </c>
      <c r="DB470" s="13" t="s">
        <v>10348</v>
      </c>
    </row>
    <row r="471" spans="1:106" s="13" customFormat="1" ht="12.75" customHeight="1" x14ac:dyDescent="0.2">
      <c r="A471" s="13" t="s">
        <v>102</v>
      </c>
      <c r="B471" s="13" t="s">
        <v>103</v>
      </c>
      <c r="D471" s="13" t="s">
        <v>5212</v>
      </c>
      <c r="E471" s="13" t="s">
        <v>228</v>
      </c>
      <c r="F471" s="13" t="s">
        <v>5212</v>
      </c>
      <c r="G471" s="13" t="s">
        <v>229</v>
      </c>
      <c r="H471" s="13" t="s">
        <v>7712</v>
      </c>
      <c r="J471" s="13" t="s">
        <v>106</v>
      </c>
      <c r="W471" s="13">
        <v>555</v>
      </c>
      <c r="X471" s="13">
        <v>555</v>
      </c>
      <c r="Y471" s="13" t="s">
        <v>107</v>
      </c>
      <c r="Z471" s="13" t="s">
        <v>108</v>
      </c>
      <c r="AA471" s="39" t="s">
        <v>107</v>
      </c>
      <c r="AB471" s="13" t="s">
        <v>6059</v>
      </c>
      <c r="AC471" s="13" t="s">
        <v>6059</v>
      </c>
      <c r="AD471" s="13" t="s">
        <v>6059</v>
      </c>
      <c r="AE471" s="39" t="s">
        <v>112</v>
      </c>
      <c r="AF471" s="13" t="s">
        <v>6059</v>
      </c>
      <c r="AG471" s="13" t="s">
        <v>6059</v>
      </c>
      <c r="AH471" s="13" t="s">
        <v>6060</v>
      </c>
      <c r="AL471" s="13" t="s">
        <v>6061</v>
      </c>
      <c r="AN471" s="13">
        <v>329</v>
      </c>
      <c r="AO471" s="13" t="s">
        <v>6062</v>
      </c>
      <c r="AQ471" s="13" t="s">
        <v>6059</v>
      </c>
      <c r="AR471" s="13" t="s">
        <v>6059</v>
      </c>
      <c r="AS471" s="13" t="s">
        <v>116</v>
      </c>
      <c r="AT471" s="13" t="s">
        <v>6063</v>
      </c>
      <c r="AU471" s="13" t="s">
        <v>6007</v>
      </c>
      <c r="AV471" s="13" t="s">
        <v>5772</v>
      </c>
      <c r="AW471" s="39" t="s">
        <v>5773</v>
      </c>
      <c r="AX471" s="39" t="s">
        <v>5774</v>
      </c>
      <c r="AY471" s="13" t="s">
        <v>6064</v>
      </c>
      <c r="AZ471" s="13" t="s">
        <v>6065</v>
      </c>
      <c r="BA471" s="13" t="s">
        <v>6065</v>
      </c>
      <c r="BB471" s="13" t="s">
        <v>6066</v>
      </c>
      <c r="BC471" s="13" t="s">
        <v>6067</v>
      </c>
      <c r="BD471" s="13">
        <f t="shared" si="17"/>
        <v>60</v>
      </c>
      <c r="BE471" s="17" t="s">
        <v>5221</v>
      </c>
      <c r="BF471" s="17" t="s">
        <v>5778</v>
      </c>
      <c r="BG471" s="17" t="s">
        <v>5996</v>
      </c>
      <c r="BH471" s="31" t="s">
        <v>2598</v>
      </c>
      <c r="BI471" s="17"/>
      <c r="BJ471" s="17" t="s">
        <v>6068</v>
      </c>
      <c r="BK471" s="17"/>
      <c r="BL471" s="17"/>
      <c r="BM471" s="17"/>
      <c r="BN471" s="17" t="s">
        <v>5998</v>
      </c>
      <c r="BO471" s="17" t="s">
        <v>5999</v>
      </c>
      <c r="BP471" s="17"/>
      <c r="BQ471" s="17"/>
      <c r="BR471" s="17"/>
      <c r="BS471" s="17" t="s">
        <v>127</v>
      </c>
      <c r="BT471" s="17" t="s">
        <v>5722</v>
      </c>
      <c r="BU471" s="17" t="s">
        <v>129</v>
      </c>
      <c r="BV471" s="17"/>
      <c r="BW471" s="17"/>
      <c r="BX471" s="25" t="s">
        <v>6069</v>
      </c>
      <c r="BY471" s="13" t="s">
        <v>6001</v>
      </c>
      <c r="DA471" s="13" t="s">
        <v>10348</v>
      </c>
      <c r="DB471" s="13" t="s">
        <v>10348</v>
      </c>
    </row>
    <row r="472" spans="1:106" s="13" customFormat="1" ht="12.75" customHeight="1" x14ac:dyDescent="0.2">
      <c r="A472" s="13" t="s">
        <v>102</v>
      </c>
      <c r="B472" s="13" t="s">
        <v>103</v>
      </c>
      <c r="D472" s="13" t="s">
        <v>5212</v>
      </c>
      <c r="E472" s="13" t="s">
        <v>228</v>
      </c>
      <c r="F472" s="13" t="s">
        <v>5212</v>
      </c>
      <c r="G472" s="13" t="s">
        <v>229</v>
      </c>
      <c r="H472" s="13" t="s">
        <v>7712</v>
      </c>
      <c r="J472" s="13" t="s">
        <v>106</v>
      </c>
      <c r="W472" s="13">
        <v>556</v>
      </c>
      <c r="X472" s="13">
        <v>556</v>
      </c>
      <c r="Y472" s="13" t="s">
        <v>107</v>
      </c>
      <c r="Z472" s="13" t="s">
        <v>108</v>
      </c>
      <c r="AA472" s="39" t="s">
        <v>107</v>
      </c>
      <c r="AB472" s="13" t="s">
        <v>6070</v>
      </c>
      <c r="AC472" s="13" t="s">
        <v>6070</v>
      </c>
      <c r="AD472" s="13" t="s">
        <v>6070</v>
      </c>
      <c r="AE472" s="39" t="s">
        <v>112</v>
      </c>
      <c r="AF472" s="13" t="s">
        <v>6070</v>
      </c>
      <c r="AG472" s="13" t="s">
        <v>6070</v>
      </c>
      <c r="AH472" s="13" t="s">
        <v>6071</v>
      </c>
      <c r="AL472" s="13" t="s">
        <v>6072</v>
      </c>
      <c r="AN472" s="13">
        <v>329</v>
      </c>
      <c r="AO472" s="13" t="s">
        <v>6073</v>
      </c>
      <c r="AQ472" s="13" t="s">
        <v>6070</v>
      </c>
      <c r="AR472" s="13" t="s">
        <v>6070</v>
      </c>
      <c r="AS472" s="13" t="s">
        <v>116</v>
      </c>
      <c r="AT472" s="13" t="s">
        <v>6074</v>
      </c>
      <c r="AU472" s="13" t="s">
        <v>6007</v>
      </c>
      <c r="AV472" s="13" t="s">
        <v>5772</v>
      </c>
      <c r="AW472" s="39" t="s">
        <v>5773</v>
      </c>
      <c r="AX472" s="39" t="s">
        <v>5774</v>
      </c>
      <c r="AY472" s="13" t="s">
        <v>6075</v>
      </c>
      <c r="AZ472" s="13" t="s">
        <v>6076</v>
      </c>
      <c r="BA472" s="13" t="s">
        <v>6076</v>
      </c>
      <c r="BB472" s="13" t="s">
        <v>6077</v>
      </c>
      <c r="BC472" s="13" t="s">
        <v>6078</v>
      </c>
      <c r="BD472" s="13">
        <f t="shared" si="17"/>
        <v>60</v>
      </c>
      <c r="BE472" s="17" t="s">
        <v>5221</v>
      </c>
      <c r="BF472" s="17" t="s">
        <v>5778</v>
      </c>
      <c r="BG472" s="17" t="s">
        <v>5996</v>
      </c>
      <c r="BH472" s="31" t="s">
        <v>2598</v>
      </c>
      <c r="BI472" s="17"/>
      <c r="BJ472" s="17" t="s">
        <v>6079</v>
      </c>
      <c r="BK472" s="17"/>
      <c r="BL472" s="17"/>
      <c r="BM472" s="17"/>
      <c r="BN472" s="17" t="s">
        <v>5998</v>
      </c>
      <c r="BO472" s="17" t="s">
        <v>5999</v>
      </c>
      <c r="BP472" s="17"/>
      <c r="BQ472" s="17"/>
      <c r="BR472" s="17"/>
      <c r="BS472" s="17" t="s">
        <v>127</v>
      </c>
      <c r="BT472" s="17" t="s">
        <v>5722</v>
      </c>
      <c r="BU472" s="17" t="s">
        <v>129</v>
      </c>
      <c r="BV472" s="17"/>
      <c r="BW472" s="17"/>
      <c r="BX472" s="25" t="s">
        <v>6080</v>
      </c>
      <c r="BY472" s="13" t="s">
        <v>6001</v>
      </c>
      <c r="DA472" s="13" t="s">
        <v>10348</v>
      </c>
      <c r="DB472" s="13" t="s">
        <v>10348</v>
      </c>
    </row>
    <row r="473" spans="1:106" s="13" customFormat="1" ht="12.75" customHeight="1" x14ac:dyDescent="0.2">
      <c r="A473" s="13" t="s">
        <v>102</v>
      </c>
      <c r="B473" s="13" t="s">
        <v>103</v>
      </c>
      <c r="D473" s="13" t="s">
        <v>5212</v>
      </c>
      <c r="E473" s="13" t="s">
        <v>228</v>
      </c>
      <c r="F473" s="13" t="s">
        <v>5212</v>
      </c>
      <c r="G473" s="13" t="s">
        <v>229</v>
      </c>
      <c r="H473" s="13" t="s">
        <v>7712</v>
      </c>
      <c r="J473" s="13" t="s">
        <v>106</v>
      </c>
      <c r="W473" s="13">
        <v>557</v>
      </c>
      <c r="X473" s="13">
        <v>557</v>
      </c>
      <c r="Y473" s="13" t="s">
        <v>107</v>
      </c>
      <c r="Z473" s="13" t="s">
        <v>108</v>
      </c>
      <c r="AA473" s="39" t="s">
        <v>107</v>
      </c>
      <c r="AB473" s="13" t="s">
        <v>6081</v>
      </c>
      <c r="AC473" s="13" t="s">
        <v>6081</v>
      </c>
      <c r="AD473" s="13" t="s">
        <v>6081</v>
      </c>
      <c r="AE473" s="39" t="s">
        <v>112</v>
      </c>
      <c r="AF473" s="13" t="s">
        <v>6081</v>
      </c>
      <c r="AG473" s="13" t="s">
        <v>6081</v>
      </c>
      <c r="AH473" s="13" t="s">
        <v>6082</v>
      </c>
      <c r="AL473" s="13" t="s">
        <v>6083</v>
      </c>
      <c r="AN473" s="13">
        <v>329</v>
      </c>
      <c r="AO473" s="13" t="s">
        <v>6084</v>
      </c>
      <c r="AQ473" s="13" t="s">
        <v>6081</v>
      </c>
      <c r="AR473" s="13" t="s">
        <v>6081</v>
      </c>
      <c r="AS473" s="13" t="s">
        <v>116</v>
      </c>
      <c r="AT473" s="13" t="s">
        <v>6085</v>
      </c>
      <c r="AU473" s="13" t="s">
        <v>6007</v>
      </c>
      <c r="AV473" s="13" t="s">
        <v>5772</v>
      </c>
      <c r="AW473" s="39" t="s">
        <v>5773</v>
      </c>
      <c r="AX473" s="39" t="s">
        <v>5774</v>
      </c>
      <c r="AY473" s="13" t="s">
        <v>6086</v>
      </c>
      <c r="AZ473" s="13" t="s">
        <v>6087</v>
      </c>
      <c r="BA473" s="13" t="s">
        <v>6087</v>
      </c>
      <c r="BB473" s="13" t="s">
        <v>6088</v>
      </c>
      <c r="BC473" s="13" t="s">
        <v>6089</v>
      </c>
      <c r="BD473" s="13">
        <f t="shared" si="17"/>
        <v>60</v>
      </c>
      <c r="BE473" s="17" t="s">
        <v>5221</v>
      </c>
      <c r="BF473" s="17" t="s">
        <v>5778</v>
      </c>
      <c r="BG473" s="17" t="s">
        <v>5996</v>
      </c>
      <c r="BH473" s="31" t="s">
        <v>2598</v>
      </c>
      <c r="BI473" s="17"/>
      <c r="BJ473" s="17" t="s">
        <v>6090</v>
      </c>
      <c r="BK473" s="17"/>
      <c r="BL473" s="17"/>
      <c r="BM473" s="17"/>
      <c r="BN473" s="17" t="s">
        <v>5998</v>
      </c>
      <c r="BO473" s="17" t="s">
        <v>5999</v>
      </c>
      <c r="BP473" s="17"/>
      <c r="BQ473" s="17"/>
      <c r="BR473" s="17"/>
      <c r="BS473" s="17" t="s">
        <v>127</v>
      </c>
      <c r="BT473" s="17" t="s">
        <v>5722</v>
      </c>
      <c r="BU473" s="17" t="s">
        <v>129</v>
      </c>
      <c r="BV473" s="17"/>
      <c r="BW473" s="17"/>
      <c r="BX473" s="25" t="s">
        <v>6091</v>
      </c>
      <c r="BY473" s="13" t="s">
        <v>6001</v>
      </c>
      <c r="DA473" s="13" t="s">
        <v>10348</v>
      </c>
      <c r="DB473" s="13" t="s">
        <v>10348</v>
      </c>
    </row>
    <row r="474" spans="1:106" s="13" customFormat="1" ht="12.75" customHeight="1" x14ac:dyDescent="0.2">
      <c r="A474" s="13" t="s">
        <v>102</v>
      </c>
      <c r="B474" s="13" t="s">
        <v>103</v>
      </c>
      <c r="D474" s="13" t="s">
        <v>5212</v>
      </c>
      <c r="E474" s="13" t="s">
        <v>228</v>
      </c>
      <c r="F474" s="13" t="s">
        <v>5212</v>
      </c>
      <c r="G474" s="13" t="s">
        <v>229</v>
      </c>
      <c r="H474" s="13" t="s">
        <v>7712</v>
      </c>
      <c r="J474" s="13" t="s">
        <v>106</v>
      </c>
      <c r="W474" s="13">
        <v>558</v>
      </c>
      <c r="X474" s="13">
        <v>558</v>
      </c>
      <c r="Y474" s="13" t="s">
        <v>107</v>
      </c>
      <c r="Z474" s="13" t="s">
        <v>108</v>
      </c>
      <c r="AA474" s="39" t="s">
        <v>107</v>
      </c>
      <c r="AB474" s="13" t="s">
        <v>6092</v>
      </c>
      <c r="AC474" s="13" t="s">
        <v>6092</v>
      </c>
      <c r="AD474" s="13" t="s">
        <v>6092</v>
      </c>
      <c r="AE474" s="39" t="s">
        <v>112</v>
      </c>
      <c r="AF474" s="13" t="s">
        <v>6092</v>
      </c>
      <c r="AG474" s="13" t="s">
        <v>6092</v>
      </c>
      <c r="AH474" s="13" t="s">
        <v>6093</v>
      </c>
      <c r="AL474" s="13" t="s">
        <v>6094</v>
      </c>
      <c r="AN474" s="13">
        <v>329</v>
      </c>
      <c r="AO474" s="13" t="s">
        <v>6095</v>
      </c>
      <c r="AQ474" s="13" t="s">
        <v>6092</v>
      </c>
      <c r="AR474" s="13" t="s">
        <v>6092</v>
      </c>
      <c r="AS474" s="13" t="s">
        <v>116</v>
      </c>
      <c r="AT474" s="13" t="s">
        <v>6096</v>
      </c>
      <c r="AU474" s="13" t="s">
        <v>5991</v>
      </c>
      <c r="AV474" s="13" t="s">
        <v>5772</v>
      </c>
      <c r="AW474" s="39" t="s">
        <v>5773</v>
      </c>
      <c r="AX474" s="39" t="s">
        <v>5774</v>
      </c>
      <c r="AY474" s="13" t="s">
        <v>6097</v>
      </c>
      <c r="AZ474" s="13" t="s">
        <v>6098</v>
      </c>
      <c r="BA474" s="13" t="s">
        <v>6098</v>
      </c>
      <c r="BB474" s="13" t="s">
        <v>6099</v>
      </c>
      <c r="BC474" s="13" t="s">
        <v>6100</v>
      </c>
      <c r="BD474" s="13">
        <f t="shared" si="17"/>
        <v>60</v>
      </c>
      <c r="BE474" s="17" t="s">
        <v>5221</v>
      </c>
      <c r="BF474" s="17" t="s">
        <v>5778</v>
      </c>
      <c r="BG474" s="17" t="s">
        <v>5996</v>
      </c>
      <c r="BH474" s="31" t="s">
        <v>2598</v>
      </c>
      <c r="BI474" s="17"/>
      <c r="BJ474" s="17" t="s">
        <v>6101</v>
      </c>
      <c r="BK474" s="17"/>
      <c r="BL474" s="17"/>
      <c r="BM474" s="17"/>
      <c r="BN474" s="17" t="s">
        <v>5998</v>
      </c>
      <c r="BO474" s="17" t="s">
        <v>5999</v>
      </c>
      <c r="BP474" s="17"/>
      <c r="BQ474" s="17"/>
      <c r="BR474" s="17"/>
      <c r="BS474" s="17" t="s">
        <v>127</v>
      </c>
      <c r="BT474" s="17" t="s">
        <v>5722</v>
      </c>
      <c r="BU474" s="17" t="s">
        <v>129</v>
      </c>
      <c r="BV474" s="17"/>
      <c r="BW474" s="17"/>
      <c r="BX474" s="25" t="s">
        <v>6102</v>
      </c>
      <c r="BY474" s="13" t="s">
        <v>6001</v>
      </c>
      <c r="DA474" s="13" t="s">
        <v>10348</v>
      </c>
      <c r="DB474" s="13" t="s">
        <v>10348</v>
      </c>
    </row>
    <row r="475" spans="1:106" s="13" customFormat="1" ht="12.75" customHeight="1" x14ac:dyDescent="0.2">
      <c r="A475" s="13" t="s">
        <v>102</v>
      </c>
      <c r="B475" s="13" t="s">
        <v>103</v>
      </c>
      <c r="D475" s="13" t="s">
        <v>5212</v>
      </c>
      <c r="E475" s="13" t="s">
        <v>228</v>
      </c>
      <c r="F475" s="13" t="s">
        <v>5212</v>
      </c>
      <c r="G475" s="13" t="s">
        <v>229</v>
      </c>
      <c r="H475" s="13" t="s">
        <v>7712</v>
      </c>
      <c r="J475" s="13" t="s">
        <v>106</v>
      </c>
      <c r="W475" s="13">
        <v>559</v>
      </c>
      <c r="X475" s="13">
        <v>559</v>
      </c>
      <c r="Y475" s="13" t="s">
        <v>107</v>
      </c>
      <c r="Z475" s="13" t="s">
        <v>108</v>
      </c>
      <c r="AA475" s="39" t="s">
        <v>107</v>
      </c>
      <c r="AB475" s="13" t="s">
        <v>6103</v>
      </c>
      <c r="AC475" s="13" t="s">
        <v>6103</v>
      </c>
      <c r="AD475" s="13" t="s">
        <v>6103</v>
      </c>
      <c r="AE475" s="39" t="s">
        <v>112</v>
      </c>
      <c r="AF475" s="13" t="s">
        <v>6103</v>
      </c>
      <c r="AG475" s="13" t="s">
        <v>6103</v>
      </c>
      <c r="AH475" s="13" t="s">
        <v>6104</v>
      </c>
      <c r="AL475" s="13" t="s">
        <v>6105</v>
      </c>
      <c r="AN475" s="13">
        <v>329</v>
      </c>
      <c r="AO475" s="13" t="s">
        <v>6106</v>
      </c>
      <c r="AQ475" s="13" t="s">
        <v>6103</v>
      </c>
      <c r="AR475" s="13" t="s">
        <v>6103</v>
      </c>
      <c r="AS475" s="13" t="s">
        <v>116</v>
      </c>
      <c r="AT475" s="13" t="s">
        <v>6107</v>
      </c>
      <c r="AU475" s="13" t="s">
        <v>6108</v>
      </c>
      <c r="AV475" s="13" t="s">
        <v>5772</v>
      </c>
      <c r="AW475" s="39" t="s">
        <v>5773</v>
      </c>
      <c r="AX475" s="39" t="s">
        <v>5774</v>
      </c>
      <c r="AY475" s="13" t="s">
        <v>6109</v>
      </c>
      <c r="AZ475" s="13" t="s">
        <v>6110</v>
      </c>
      <c r="BA475" s="13" t="s">
        <v>6110</v>
      </c>
      <c r="BB475" s="13" t="s">
        <v>6111</v>
      </c>
      <c r="BC475" s="13" t="s">
        <v>6112</v>
      </c>
      <c r="BD475" s="13">
        <f t="shared" si="17"/>
        <v>57</v>
      </c>
      <c r="BE475" s="17" t="s">
        <v>5221</v>
      </c>
      <c r="BF475" s="17" t="s">
        <v>5778</v>
      </c>
      <c r="BG475" s="17" t="s">
        <v>5996</v>
      </c>
      <c r="BH475" s="31" t="s">
        <v>4738</v>
      </c>
      <c r="BI475" s="17"/>
      <c r="BJ475" s="17" t="s">
        <v>6113</v>
      </c>
      <c r="BK475" s="17"/>
      <c r="BL475" s="17"/>
      <c r="BM475" s="17"/>
      <c r="BN475" s="17" t="s">
        <v>5998</v>
      </c>
      <c r="BO475" s="17" t="s">
        <v>6114</v>
      </c>
      <c r="BP475" s="17"/>
      <c r="BQ475" s="17"/>
      <c r="BR475" s="17"/>
      <c r="BS475" s="17" t="s">
        <v>127</v>
      </c>
      <c r="BT475" s="17" t="s">
        <v>5722</v>
      </c>
      <c r="BU475" s="17" t="s">
        <v>129</v>
      </c>
      <c r="BV475" s="17"/>
      <c r="BW475" s="17"/>
      <c r="BX475" s="25" t="s">
        <v>6115</v>
      </c>
      <c r="BY475" s="13" t="s">
        <v>6001</v>
      </c>
      <c r="DA475" s="13" t="s">
        <v>10348</v>
      </c>
      <c r="DB475" s="13" t="s">
        <v>10348</v>
      </c>
    </row>
    <row r="476" spans="1:106" s="13" customFormat="1" ht="12.75" customHeight="1" x14ac:dyDescent="0.2">
      <c r="A476" s="13" t="s">
        <v>102</v>
      </c>
      <c r="B476" s="13" t="s">
        <v>103</v>
      </c>
      <c r="D476" s="13" t="s">
        <v>5212</v>
      </c>
      <c r="E476" s="13" t="s">
        <v>228</v>
      </c>
      <c r="F476" s="13" t="s">
        <v>5212</v>
      </c>
      <c r="G476" s="13" t="s">
        <v>229</v>
      </c>
      <c r="H476" s="13" t="s">
        <v>7712</v>
      </c>
      <c r="J476" s="13" t="s">
        <v>106</v>
      </c>
      <c r="W476" s="13">
        <v>560</v>
      </c>
      <c r="X476" s="13">
        <v>560</v>
      </c>
      <c r="Y476" s="13" t="s">
        <v>107</v>
      </c>
      <c r="Z476" s="13" t="s">
        <v>108</v>
      </c>
      <c r="AA476" s="39" t="s">
        <v>107</v>
      </c>
      <c r="AB476" s="13" t="s">
        <v>6116</v>
      </c>
      <c r="AC476" s="13" t="s">
        <v>6116</v>
      </c>
      <c r="AD476" s="13" t="s">
        <v>6116</v>
      </c>
      <c r="AE476" s="39" t="s">
        <v>112</v>
      </c>
      <c r="AF476" s="13" t="s">
        <v>6116</v>
      </c>
      <c r="AG476" s="13" t="s">
        <v>6116</v>
      </c>
      <c r="AH476" s="13" t="s">
        <v>6117</v>
      </c>
      <c r="AL476" s="13" t="s">
        <v>6118</v>
      </c>
      <c r="AN476" s="13">
        <v>329</v>
      </c>
      <c r="AO476" s="13" t="s">
        <v>6119</v>
      </c>
      <c r="AQ476" s="13" t="s">
        <v>6116</v>
      </c>
      <c r="AR476" s="13" t="s">
        <v>6116</v>
      </c>
      <c r="AS476" s="13" t="s">
        <v>116</v>
      </c>
      <c r="AT476" s="13" t="s">
        <v>6120</v>
      </c>
      <c r="AU476" s="13" t="s">
        <v>6121</v>
      </c>
      <c r="AV476" s="13" t="s">
        <v>5772</v>
      </c>
      <c r="AW476" s="39" t="s">
        <v>5773</v>
      </c>
      <c r="AX476" s="39" t="s">
        <v>5774</v>
      </c>
      <c r="AY476" s="13" t="s">
        <v>6122</v>
      </c>
      <c r="AZ476" s="13" t="s">
        <v>6123</v>
      </c>
      <c r="BA476" s="13" t="s">
        <v>6123</v>
      </c>
      <c r="BB476" s="13" t="s">
        <v>6124</v>
      </c>
      <c r="BC476" s="13" t="s">
        <v>6125</v>
      </c>
      <c r="BD476" s="13">
        <f t="shared" si="17"/>
        <v>57</v>
      </c>
      <c r="BE476" s="17" t="s">
        <v>5221</v>
      </c>
      <c r="BF476" s="17" t="s">
        <v>5778</v>
      </c>
      <c r="BG476" s="17" t="s">
        <v>5996</v>
      </c>
      <c r="BH476" s="31" t="s">
        <v>4738</v>
      </c>
      <c r="BI476" s="17"/>
      <c r="BJ476" s="17" t="s">
        <v>6126</v>
      </c>
      <c r="BK476" s="17"/>
      <c r="BL476" s="17"/>
      <c r="BM476" s="17"/>
      <c r="BN476" s="17" t="s">
        <v>5998</v>
      </c>
      <c r="BO476" s="17" t="s">
        <v>6114</v>
      </c>
      <c r="BP476" s="17"/>
      <c r="BQ476" s="17"/>
      <c r="BR476" s="17"/>
      <c r="BS476" s="17" t="s">
        <v>127</v>
      </c>
      <c r="BT476" s="17" t="s">
        <v>5722</v>
      </c>
      <c r="BU476" s="17" t="s">
        <v>129</v>
      </c>
      <c r="BV476" s="17"/>
      <c r="BW476" s="17"/>
      <c r="BX476" s="25" t="s">
        <v>6127</v>
      </c>
      <c r="BY476" s="13" t="s">
        <v>6001</v>
      </c>
      <c r="DA476" s="13" t="s">
        <v>10348</v>
      </c>
      <c r="DB476" s="13" t="s">
        <v>10348</v>
      </c>
    </row>
    <row r="477" spans="1:106" s="13" customFormat="1" ht="12.75" customHeight="1" x14ac:dyDescent="0.2">
      <c r="A477" s="13" t="s">
        <v>102</v>
      </c>
      <c r="B477" s="13" t="s">
        <v>103</v>
      </c>
      <c r="D477" s="13" t="s">
        <v>5212</v>
      </c>
      <c r="E477" s="13" t="s">
        <v>228</v>
      </c>
      <c r="F477" s="13" t="s">
        <v>5212</v>
      </c>
      <c r="G477" s="13" t="s">
        <v>229</v>
      </c>
      <c r="H477" s="13" t="s">
        <v>7712</v>
      </c>
      <c r="J477" s="13" t="s">
        <v>106</v>
      </c>
      <c r="W477" s="13">
        <v>561</v>
      </c>
      <c r="X477" s="13">
        <v>561</v>
      </c>
      <c r="Y477" s="13" t="s">
        <v>107</v>
      </c>
      <c r="Z477" s="13" t="s">
        <v>108</v>
      </c>
      <c r="AA477" s="39" t="s">
        <v>107</v>
      </c>
      <c r="AB477" s="13" t="s">
        <v>6128</v>
      </c>
      <c r="AC477" s="13" t="s">
        <v>6128</v>
      </c>
      <c r="AD477" s="13" t="s">
        <v>6128</v>
      </c>
      <c r="AE477" s="39" t="s">
        <v>112</v>
      </c>
      <c r="AF477" s="13" t="s">
        <v>6128</v>
      </c>
      <c r="AG477" s="13" t="s">
        <v>6128</v>
      </c>
      <c r="AH477" s="13" t="s">
        <v>6129</v>
      </c>
      <c r="AL477" s="13" t="s">
        <v>6130</v>
      </c>
      <c r="AN477" s="13">
        <v>329</v>
      </c>
      <c r="AO477" s="13" t="s">
        <v>6131</v>
      </c>
      <c r="AQ477" s="13" t="s">
        <v>6128</v>
      </c>
      <c r="AR477" s="13" t="s">
        <v>6128</v>
      </c>
      <c r="AS477" s="13" t="s">
        <v>116</v>
      </c>
      <c r="AT477" s="13" t="s">
        <v>6132</v>
      </c>
      <c r="AU477" s="13" t="s">
        <v>6121</v>
      </c>
      <c r="AV477" s="13" t="s">
        <v>5772</v>
      </c>
      <c r="AW477" s="39" t="s">
        <v>5773</v>
      </c>
      <c r="AX477" s="39" t="s">
        <v>5774</v>
      </c>
      <c r="AY477" s="13" t="s">
        <v>6133</v>
      </c>
      <c r="AZ477" s="13" t="s">
        <v>6134</v>
      </c>
      <c r="BA477" s="13" t="s">
        <v>6134</v>
      </c>
      <c r="BB477" s="13" t="s">
        <v>6135</v>
      </c>
      <c r="BC477" s="13" t="s">
        <v>6136</v>
      </c>
      <c r="BD477" s="13">
        <f t="shared" si="17"/>
        <v>57</v>
      </c>
      <c r="BE477" s="17" t="s">
        <v>5221</v>
      </c>
      <c r="BF477" s="17" t="s">
        <v>5778</v>
      </c>
      <c r="BG477" s="17" t="s">
        <v>5996</v>
      </c>
      <c r="BH477" s="31" t="s">
        <v>4738</v>
      </c>
      <c r="BI477" s="17"/>
      <c r="BJ477" s="17" t="s">
        <v>6137</v>
      </c>
      <c r="BK477" s="17"/>
      <c r="BL477" s="17"/>
      <c r="BM477" s="17"/>
      <c r="BN477" s="17" t="s">
        <v>5998</v>
      </c>
      <c r="BO477" s="17" t="s">
        <v>6138</v>
      </c>
      <c r="BP477" s="17"/>
      <c r="BQ477" s="17"/>
      <c r="BR477" s="17"/>
      <c r="BS477" s="17" t="s">
        <v>127</v>
      </c>
      <c r="BT477" s="17" t="s">
        <v>5722</v>
      </c>
      <c r="BU477" s="17" t="s">
        <v>129</v>
      </c>
      <c r="BV477" s="17"/>
      <c r="BW477" s="17"/>
      <c r="BX477" s="25" t="s">
        <v>6139</v>
      </c>
      <c r="BY477" s="13" t="s">
        <v>6001</v>
      </c>
      <c r="DA477" s="13" t="s">
        <v>10348</v>
      </c>
      <c r="DB477" s="13" t="s">
        <v>10348</v>
      </c>
    </row>
    <row r="478" spans="1:106" s="13" customFormat="1" ht="12.75" customHeight="1" x14ac:dyDescent="0.2">
      <c r="A478" s="13" t="s">
        <v>102</v>
      </c>
      <c r="B478" s="13" t="s">
        <v>103</v>
      </c>
      <c r="D478" s="13" t="s">
        <v>5212</v>
      </c>
      <c r="E478" s="13" t="s">
        <v>228</v>
      </c>
      <c r="F478" s="13" t="s">
        <v>5212</v>
      </c>
      <c r="G478" s="13" t="s">
        <v>229</v>
      </c>
      <c r="H478" s="13" t="s">
        <v>7712</v>
      </c>
      <c r="J478" s="13" t="s">
        <v>106</v>
      </c>
      <c r="W478" s="13">
        <v>562</v>
      </c>
      <c r="X478" s="13">
        <v>562</v>
      </c>
      <c r="Y478" s="13" t="s">
        <v>107</v>
      </c>
      <c r="Z478" s="13" t="s">
        <v>108</v>
      </c>
      <c r="AA478" s="39" t="s">
        <v>107</v>
      </c>
      <c r="AB478" s="13" t="s">
        <v>6140</v>
      </c>
      <c r="AC478" s="13" t="s">
        <v>6140</v>
      </c>
      <c r="AD478" s="13" t="s">
        <v>6140</v>
      </c>
      <c r="AE478" s="39" t="s">
        <v>112</v>
      </c>
      <c r="AF478" s="13" t="s">
        <v>6140</v>
      </c>
      <c r="AG478" s="13" t="s">
        <v>6140</v>
      </c>
      <c r="AH478" s="13" t="s">
        <v>6141</v>
      </c>
      <c r="AL478" s="13" t="s">
        <v>6142</v>
      </c>
      <c r="AN478" s="13">
        <v>329</v>
      </c>
      <c r="AO478" s="13" t="s">
        <v>6143</v>
      </c>
      <c r="AQ478" s="13" t="s">
        <v>6140</v>
      </c>
      <c r="AR478" s="13" t="s">
        <v>6140</v>
      </c>
      <c r="AS478" s="13" t="s">
        <v>116</v>
      </c>
      <c r="AT478" s="13" t="s">
        <v>6144</v>
      </c>
      <c r="AU478" s="13" t="s">
        <v>6108</v>
      </c>
      <c r="AV478" s="13" t="s">
        <v>5772</v>
      </c>
      <c r="AW478" s="39" t="s">
        <v>5773</v>
      </c>
      <c r="AX478" s="39" t="s">
        <v>5774</v>
      </c>
      <c r="AY478" s="13" t="s">
        <v>6145</v>
      </c>
      <c r="AZ478" s="13" t="s">
        <v>6146</v>
      </c>
      <c r="BA478" s="13" t="s">
        <v>6146</v>
      </c>
      <c r="BB478" s="13" t="s">
        <v>6147</v>
      </c>
      <c r="BC478" s="13" t="s">
        <v>6148</v>
      </c>
      <c r="BD478" s="13">
        <f t="shared" si="17"/>
        <v>57</v>
      </c>
      <c r="BE478" s="17" t="s">
        <v>5221</v>
      </c>
      <c r="BF478" s="17" t="s">
        <v>5778</v>
      </c>
      <c r="BG478" s="17" t="s">
        <v>5996</v>
      </c>
      <c r="BH478" s="31" t="s">
        <v>4738</v>
      </c>
      <c r="BI478" s="17"/>
      <c r="BJ478" s="17" t="s">
        <v>6149</v>
      </c>
      <c r="BK478" s="17"/>
      <c r="BL478" s="17"/>
      <c r="BM478" s="17"/>
      <c r="BN478" s="17" t="s">
        <v>5998</v>
      </c>
      <c r="BO478" s="17" t="s">
        <v>6114</v>
      </c>
      <c r="BP478" s="17"/>
      <c r="BQ478" s="17"/>
      <c r="BR478" s="17"/>
      <c r="BS478" s="17" t="s">
        <v>127</v>
      </c>
      <c r="BT478" s="17" t="s">
        <v>5722</v>
      </c>
      <c r="BU478" s="17" t="s">
        <v>129</v>
      </c>
      <c r="BV478" s="17"/>
      <c r="BW478" s="17"/>
      <c r="BX478" s="25" t="s">
        <v>6150</v>
      </c>
      <c r="BY478" s="13" t="s">
        <v>6001</v>
      </c>
      <c r="DA478" s="13" t="s">
        <v>10348</v>
      </c>
      <c r="DB478" s="13" t="s">
        <v>10348</v>
      </c>
    </row>
    <row r="479" spans="1:106" s="13" customFormat="1" ht="12.75" customHeight="1" x14ac:dyDescent="0.2">
      <c r="A479" s="13" t="s">
        <v>102</v>
      </c>
      <c r="B479" s="13" t="s">
        <v>103</v>
      </c>
      <c r="D479" s="13" t="s">
        <v>5212</v>
      </c>
      <c r="E479" s="13" t="s">
        <v>228</v>
      </c>
      <c r="F479" s="13" t="s">
        <v>5212</v>
      </c>
      <c r="G479" s="13" t="s">
        <v>229</v>
      </c>
      <c r="H479" s="13" t="s">
        <v>7712</v>
      </c>
      <c r="J479" s="13" t="s">
        <v>106</v>
      </c>
      <c r="W479" s="13">
        <v>563</v>
      </c>
      <c r="X479" s="13">
        <v>563</v>
      </c>
      <c r="Y479" s="13" t="s">
        <v>107</v>
      </c>
      <c r="Z479" s="13" t="s">
        <v>108</v>
      </c>
      <c r="AA479" s="39" t="s">
        <v>107</v>
      </c>
      <c r="AB479" s="13" t="s">
        <v>6151</v>
      </c>
      <c r="AC479" s="13" t="s">
        <v>6151</v>
      </c>
      <c r="AD479" s="13" t="s">
        <v>6151</v>
      </c>
      <c r="AE479" s="39" t="s">
        <v>112</v>
      </c>
      <c r="AF479" s="13" t="s">
        <v>6151</v>
      </c>
      <c r="AG479" s="13" t="s">
        <v>6151</v>
      </c>
      <c r="AH479" s="13" t="s">
        <v>6152</v>
      </c>
      <c r="AL479" s="13" t="s">
        <v>6153</v>
      </c>
      <c r="AN479" s="13">
        <v>329</v>
      </c>
      <c r="AO479" s="13" t="s">
        <v>6154</v>
      </c>
      <c r="AQ479" s="13" t="s">
        <v>6151</v>
      </c>
      <c r="AR479" s="13" t="s">
        <v>6151</v>
      </c>
      <c r="AS479" s="13" t="s">
        <v>116</v>
      </c>
      <c r="AT479" s="13" t="s">
        <v>6155</v>
      </c>
      <c r="AU479" s="13" t="s">
        <v>6121</v>
      </c>
      <c r="AV479" s="13" t="s">
        <v>5772</v>
      </c>
      <c r="AW479" s="39" t="s">
        <v>5773</v>
      </c>
      <c r="AX479" s="39" t="s">
        <v>5774</v>
      </c>
      <c r="AY479" s="13" t="s">
        <v>6156</v>
      </c>
      <c r="AZ479" s="13" t="s">
        <v>6157</v>
      </c>
      <c r="BA479" s="13" t="s">
        <v>6157</v>
      </c>
      <c r="BB479" s="13" t="s">
        <v>6158</v>
      </c>
      <c r="BC479" s="13" t="s">
        <v>6159</v>
      </c>
      <c r="BD479" s="13">
        <f t="shared" si="17"/>
        <v>57</v>
      </c>
      <c r="BE479" s="17" t="s">
        <v>5221</v>
      </c>
      <c r="BF479" s="17" t="s">
        <v>5778</v>
      </c>
      <c r="BG479" s="17" t="s">
        <v>5996</v>
      </c>
      <c r="BH479" s="31" t="s">
        <v>4738</v>
      </c>
      <c r="BI479" s="17"/>
      <c r="BJ479" s="17" t="s">
        <v>6160</v>
      </c>
      <c r="BK479" s="17"/>
      <c r="BL479" s="17"/>
      <c r="BM479" s="17"/>
      <c r="BN479" s="17" t="s">
        <v>5998</v>
      </c>
      <c r="BO479" s="17" t="s">
        <v>6114</v>
      </c>
      <c r="BP479" s="17"/>
      <c r="BQ479" s="17"/>
      <c r="BR479" s="17"/>
      <c r="BS479" s="17" t="s">
        <v>127</v>
      </c>
      <c r="BT479" s="17" t="s">
        <v>5722</v>
      </c>
      <c r="BU479" s="17" t="s">
        <v>129</v>
      </c>
      <c r="BV479" s="17"/>
      <c r="BW479" s="17"/>
      <c r="BX479" s="25" t="s">
        <v>6161</v>
      </c>
      <c r="BY479" s="13" t="s">
        <v>6001</v>
      </c>
      <c r="DA479" s="13" t="s">
        <v>10348</v>
      </c>
      <c r="DB479" s="13" t="s">
        <v>10348</v>
      </c>
    </row>
    <row r="480" spans="1:106" s="13" customFormat="1" ht="12.75" customHeight="1" x14ac:dyDescent="0.2">
      <c r="A480" s="13" t="s">
        <v>102</v>
      </c>
      <c r="B480" s="13" t="s">
        <v>103</v>
      </c>
      <c r="D480" s="13" t="s">
        <v>5212</v>
      </c>
      <c r="E480" s="13" t="s">
        <v>228</v>
      </c>
      <c r="F480" s="13" t="s">
        <v>5212</v>
      </c>
      <c r="G480" s="13" t="s">
        <v>229</v>
      </c>
      <c r="H480" s="13" t="s">
        <v>7712</v>
      </c>
      <c r="J480" s="13" t="s">
        <v>106</v>
      </c>
      <c r="W480" s="13">
        <v>564</v>
      </c>
      <c r="X480" s="13">
        <v>564</v>
      </c>
      <c r="Y480" s="13" t="s">
        <v>107</v>
      </c>
      <c r="Z480" s="13" t="s">
        <v>108</v>
      </c>
      <c r="AA480" s="39" t="s">
        <v>107</v>
      </c>
      <c r="AB480" s="13" t="s">
        <v>6162</v>
      </c>
      <c r="AC480" s="13" t="s">
        <v>6162</v>
      </c>
      <c r="AD480" s="13" t="s">
        <v>6162</v>
      </c>
      <c r="AE480" s="39" t="s">
        <v>112</v>
      </c>
      <c r="AF480" s="13" t="s">
        <v>6162</v>
      </c>
      <c r="AG480" s="13" t="s">
        <v>6162</v>
      </c>
      <c r="AH480" s="13" t="s">
        <v>6163</v>
      </c>
      <c r="AL480" s="13" t="s">
        <v>6164</v>
      </c>
      <c r="AN480" s="13">
        <v>329</v>
      </c>
      <c r="AO480" s="13" t="s">
        <v>6165</v>
      </c>
      <c r="AQ480" s="13" t="s">
        <v>6162</v>
      </c>
      <c r="AR480" s="13" t="s">
        <v>6162</v>
      </c>
      <c r="AS480" s="13" t="s">
        <v>116</v>
      </c>
      <c r="AT480" s="13" t="s">
        <v>6166</v>
      </c>
      <c r="AU480" s="13" t="s">
        <v>6121</v>
      </c>
      <c r="AV480" s="13" t="s">
        <v>5772</v>
      </c>
      <c r="AW480" s="39" t="s">
        <v>5773</v>
      </c>
      <c r="AX480" s="39" t="s">
        <v>5774</v>
      </c>
      <c r="AY480" s="13" t="s">
        <v>6167</v>
      </c>
      <c r="AZ480" s="13" t="s">
        <v>6168</v>
      </c>
      <c r="BA480" s="13" t="s">
        <v>6168</v>
      </c>
      <c r="BB480" s="13" t="s">
        <v>6169</v>
      </c>
      <c r="BC480" s="13" t="s">
        <v>6170</v>
      </c>
      <c r="BD480" s="13">
        <f t="shared" si="17"/>
        <v>57</v>
      </c>
      <c r="BE480" s="17" t="s">
        <v>5221</v>
      </c>
      <c r="BF480" s="17" t="s">
        <v>5778</v>
      </c>
      <c r="BG480" s="17" t="s">
        <v>5996</v>
      </c>
      <c r="BH480" s="31" t="s">
        <v>4738</v>
      </c>
      <c r="BI480" s="17"/>
      <c r="BJ480" s="17" t="s">
        <v>6171</v>
      </c>
      <c r="BK480" s="17"/>
      <c r="BL480" s="17"/>
      <c r="BM480" s="17"/>
      <c r="BN480" s="17" t="s">
        <v>5998</v>
      </c>
      <c r="BO480" s="17" t="s">
        <v>6114</v>
      </c>
      <c r="BP480" s="17"/>
      <c r="BQ480" s="17"/>
      <c r="BR480" s="17"/>
      <c r="BS480" s="17" t="s">
        <v>127</v>
      </c>
      <c r="BT480" s="17" t="s">
        <v>5722</v>
      </c>
      <c r="BU480" s="17" t="s">
        <v>129</v>
      </c>
      <c r="BV480" s="17"/>
      <c r="BW480" s="17"/>
      <c r="BX480" s="25" t="s">
        <v>6172</v>
      </c>
      <c r="BY480" s="13" t="s">
        <v>6001</v>
      </c>
      <c r="DA480" s="13" t="s">
        <v>10348</v>
      </c>
      <c r="DB480" s="13" t="s">
        <v>10348</v>
      </c>
    </row>
    <row r="481" spans="1:106" s="13" customFormat="1" ht="12.75" customHeight="1" x14ac:dyDescent="0.2">
      <c r="A481" s="13" t="s">
        <v>102</v>
      </c>
      <c r="B481" s="13" t="s">
        <v>103</v>
      </c>
      <c r="D481" s="13" t="s">
        <v>5212</v>
      </c>
      <c r="E481" s="13" t="s">
        <v>228</v>
      </c>
      <c r="F481" s="13" t="s">
        <v>5212</v>
      </c>
      <c r="G481" s="13" t="s">
        <v>229</v>
      </c>
      <c r="H481" s="13" t="s">
        <v>7712</v>
      </c>
      <c r="J481" s="13" t="s">
        <v>106</v>
      </c>
      <c r="W481" s="13">
        <v>565</v>
      </c>
      <c r="X481" s="13">
        <v>565</v>
      </c>
      <c r="Y481" s="13" t="s">
        <v>107</v>
      </c>
      <c r="Z481" s="13" t="s">
        <v>108</v>
      </c>
      <c r="AA481" s="39" t="s">
        <v>107</v>
      </c>
      <c r="AB481" s="13" t="s">
        <v>6173</v>
      </c>
      <c r="AC481" s="13" t="s">
        <v>6173</v>
      </c>
      <c r="AD481" s="13" t="s">
        <v>6173</v>
      </c>
      <c r="AE481" s="39" t="s">
        <v>112</v>
      </c>
      <c r="AF481" s="13" t="s">
        <v>6173</v>
      </c>
      <c r="AG481" s="13" t="s">
        <v>6173</v>
      </c>
      <c r="AH481" s="13" t="s">
        <v>6174</v>
      </c>
      <c r="AL481" s="13" t="s">
        <v>6175</v>
      </c>
      <c r="AN481" s="13">
        <v>329</v>
      </c>
      <c r="AO481" s="13" t="s">
        <v>6176</v>
      </c>
      <c r="AQ481" s="13" t="s">
        <v>6173</v>
      </c>
      <c r="AR481" s="13" t="s">
        <v>6173</v>
      </c>
      <c r="AS481" s="13" t="s">
        <v>116</v>
      </c>
      <c r="AT481" s="13" t="s">
        <v>6177</v>
      </c>
      <c r="AU481" s="13" t="s">
        <v>6108</v>
      </c>
      <c r="AV481" s="13" t="s">
        <v>5772</v>
      </c>
      <c r="AW481" s="39" t="s">
        <v>5773</v>
      </c>
      <c r="AX481" s="39" t="s">
        <v>5774</v>
      </c>
      <c r="AY481" s="13" t="s">
        <v>6178</v>
      </c>
      <c r="AZ481" s="13" t="s">
        <v>6179</v>
      </c>
      <c r="BA481" s="13" t="s">
        <v>6179</v>
      </c>
      <c r="BB481" s="13" t="s">
        <v>6180</v>
      </c>
      <c r="BC481" s="13" t="s">
        <v>6181</v>
      </c>
      <c r="BD481" s="13">
        <f t="shared" si="17"/>
        <v>57</v>
      </c>
      <c r="BE481" s="17" t="s">
        <v>5221</v>
      </c>
      <c r="BF481" s="17" t="s">
        <v>5778</v>
      </c>
      <c r="BG481" s="17" t="s">
        <v>5996</v>
      </c>
      <c r="BH481" s="31" t="s">
        <v>2598</v>
      </c>
      <c r="BI481" s="17"/>
      <c r="BJ481" s="17" t="s">
        <v>6182</v>
      </c>
      <c r="BK481" s="17"/>
      <c r="BL481" s="17"/>
      <c r="BM481" s="17"/>
      <c r="BN481" s="17" t="s">
        <v>5998</v>
      </c>
      <c r="BO481" s="17" t="s">
        <v>6114</v>
      </c>
      <c r="BP481" s="17"/>
      <c r="BQ481" s="17"/>
      <c r="BR481" s="17"/>
      <c r="BS481" s="17" t="s">
        <v>127</v>
      </c>
      <c r="BT481" s="17" t="s">
        <v>5722</v>
      </c>
      <c r="BU481" s="17" t="s">
        <v>129</v>
      </c>
      <c r="BV481" s="17"/>
      <c r="BW481" s="17"/>
      <c r="BX481" s="25" t="s">
        <v>6183</v>
      </c>
      <c r="BY481" s="13" t="s">
        <v>6001</v>
      </c>
      <c r="DA481" s="13" t="s">
        <v>10348</v>
      </c>
      <c r="DB481" s="13" t="s">
        <v>10348</v>
      </c>
    </row>
    <row r="482" spans="1:106" s="13" customFormat="1" ht="12.75" customHeight="1" x14ac:dyDescent="0.2">
      <c r="A482" s="13" t="s">
        <v>102</v>
      </c>
      <c r="B482" s="13" t="s">
        <v>103</v>
      </c>
      <c r="D482" s="13" t="s">
        <v>5212</v>
      </c>
      <c r="E482" s="13" t="s">
        <v>228</v>
      </c>
      <c r="F482" s="13" t="s">
        <v>5212</v>
      </c>
      <c r="G482" s="13" t="s">
        <v>229</v>
      </c>
      <c r="H482" s="13" t="s">
        <v>7712</v>
      </c>
      <c r="J482" s="13" t="s">
        <v>106</v>
      </c>
      <c r="W482" s="13">
        <v>566</v>
      </c>
      <c r="X482" s="13">
        <v>566</v>
      </c>
      <c r="Y482" s="13" t="s">
        <v>107</v>
      </c>
      <c r="Z482" s="13" t="s">
        <v>108</v>
      </c>
      <c r="AA482" s="39" t="s">
        <v>107</v>
      </c>
      <c r="AB482" s="13" t="s">
        <v>6184</v>
      </c>
      <c r="AC482" s="13" t="s">
        <v>6184</v>
      </c>
      <c r="AD482" s="13" t="s">
        <v>6184</v>
      </c>
      <c r="AE482" s="39" t="s">
        <v>112</v>
      </c>
      <c r="AF482" s="13" t="s">
        <v>6184</v>
      </c>
      <c r="AG482" s="13" t="s">
        <v>6184</v>
      </c>
      <c r="AH482" s="13" t="s">
        <v>6185</v>
      </c>
      <c r="AL482" s="13" t="s">
        <v>6186</v>
      </c>
      <c r="AN482" s="13">
        <v>329</v>
      </c>
      <c r="AO482" s="13" t="s">
        <v>6187</v>
      </c>
      <c r="AQ482" s="13" t="s">
        <v>6184</v>
      </c>
      <c r="AR482" s="13" t="s">
        <v>6184</v>
      </c>
      <c r="AS482" s="13" t="s">
        <v>116</v>
      </c>
      <c r="AT482" s="13" t="s">
        <v>6188</v>
      </c>
      <c r="AU482" s="13" t="s">
        <v>5991</v>
      </c>
      <c r="AV482" s="13" t="s">
        <v>5772</v>
      </c>
      <c r="AW482" s="39" t="s">
        <v>5773</v>
      </c>
      <c r="AX482" s="39" t="s">
        <v>5774</v>
      </c>
      <c r="AY482" s="13" t="s">
        <v>6189</v>
      </c>
      <c r="AZ482" s="13" t="s">
        <v>6190</v>
      </c>
      <c r="BA482" s="13" t="s">
        <v>6190</v>
      </c>
      <c r="BB482" s="13" t="s">
        <v>6191</v>
      </c>
      <c r="BC482" s="13" t="s">
        <v>6192</v>
      </c>
      <c r="BD482" s="13">
        <f t="shared" si="17"/>
        <v>57</v>
      </c>
      <c r="BE482" s="17" t="s">
        <v>5221</v>
      </c>
      <c r="BF482" s="17" t="s">
        <v>5778</v>
      </c>
      <c r="BG482" s="17" t="s">
        <v>5996</v>
      </c>
      <c r="BH482" s="31" t="s">
        <v>2598</v>
      </c>
      <c r="BI482" s="17"/>
      <c r="BJ482" s="17" t="s">
        <v>6193</v>
      </c>
      <c r="BK482" s="17"/>
      <c r="BL482" s="17"/>
      <c r="BM482" s="17"/>
      <c r="BN482" s="17" t="s">
        <v>5998</v>
      </c>
      <c r="BO482" s="17" t="s">
        <v>6114</v>
      </c>
      <c r="BP482" s="17"/>
      <c r="BQ482" s="17"/>
      <c r="BR482" s="17"/>
      <c r="BS482" s="17" t="s">
        <v>127</v>
      </c>
      <c r="BT482" s="17" t="s">
        <v>5722</v>
      </c>
      <c r="BU482" s="17" t="s">
        <v>129</v>
      </c>
      <c r="BV482" s="17"/>
      <c r="BW482" s="17"/>
      <c r="BX482" s="25" t="s">
        <v>6194</v>
      </c>
      <c r="BY482" s="13" t="s">
        <v>6001</v>
      </c>
      <c r="DA482" s="13" t="s">
        <v>10348</v>
      </c>
      <c r="DB482" s="13" t="s">
        <v>10348</v>
      </c>
    </row>
    <row r="483" spans="1:106" s="13" customFormat="1" ht="12.75" customHeight="1" x14ac:dyDescent="0.2">
      <c r="A483" s="13" t="s">
        <v>102</v>
      </c>
      <c r="B483" s="13" t="s">
        <v>103</v>
      </c>
      <c r="D483" s="13" t="s">
        <v>5212</v>
      </c>
      <c r="E483" s="13" t="s">
        <v>228</v>
      </c>
      <c r="F483" s="13" t="s">
        <v>5212</v>
      </c>
      <c r="G483" s="13" t="s">
        <v>229</v>
      </c>
      <c r="H483" s="13" t="s">
        <v>7712</v>
      </c>
      <c r="J483" s="13" t="s">
        <v>106</v>
      </c>
      <c r="W483" s="13">
        <v>567</v>
      </c>
      <c r="X483" s="13">
        <v>567</v>
      </c>
      <c r="Y483" s="13" t="s">
        <v>107</v>
      </c>
      <c r="Z483" s="13" t="s">
        <v>108</v>
      </c>
      <c r="AA483" s="39" t="s">
        <v>107</v>
      </c>
      <c r="AB483" s="13" t="s">
        <v>6195</v>
      </c>
      <c r="AC483" s="13" t="s">
        <v>6195</v>
      </c>
      <c r="AD483" s="13" t="s">
        <v>6195</v>
      </c>
      <c r="AE483" s="39" t="s">
        <v>112</v>
      </c>
      <c r="AF483" s="13" t="s">
        <v>6195</v>
      </c>
      <c r="AG483" s="13" t="s">
        <v>6195</v>
      </c>
      <c r="AH483" s="13" t="s">
        <v>6196</v>
      </c>
      <c r="AL483" s="13" t="s">
        <v>6197</v>
      </c>
      <c r="AN483" s="13">
        <v>329</v>
      </c>
      <c r="AO483" s="13" t="s">
        <v>6198</v>
      </c>
      <c r="AQ483" s="13" t="s">
        <v>6195</v>
      </c>
      <c r="AR483" s="13" t="s">
        <v>6195</v>
      </c>
      <c r="AS483" s="13" t="s">
        <v>116</v>
      </c>
      <c r="AT483" s="13" t="s">
        <v>6199</v>
      </c>
      <c r="AU483" s="13" t="s">
        <v>6007</v>
      </c>
      <c r="AV483" s="13" t="s">
        <v>5772</v>
      </c>
      <c r="AW483" s="39" t="s">
        <v>5773</v>
      </c>
      <c r="AX483" s="39" t="s">
        <v>5774</v>
      </c>
      <c r="AY483" s="13" t="s">
        <v>6200</v>
      </c>
      <c r="AZ483" s="13" t="s">
        <v>6201</v>
      </c>
      <c r="BA483" s="13" t="s">
        <v>6201</v>
      </c>
      <c r="BB483" s="13" t="s">
        <v>6202</v>
      </c>
      <c r="BC483" s="13" t="s">
        <v>6203</v>
      </c>
      <c r="BD483" s="13">
        <f t="shared" si="17"/>
        <v>57</v>
      </c>
      <c r="BE483" s="17" t="s">
        <v>5221</v>
      </c>
      <c r="BF483" s="17" t="s">
        <v>5778</v>
      </c>
      <c r="BG483" s="17" t="s">
        <v>5996</v>
      </c>
      <c r="BH483" s="31" t="s">
        <v>2598</v>
      </c>
      <c r="BI483" s="17"/>
      <c r="BJ483" s="17" t="s">
        <v>6012</v>
      </c>
      <c r="BK483" s="17"/>
      <c r="BL483" s="17"/>
      <c r="BM483" s="17"/>
      <c r="BN483" s="17" t="s">
        <v>5998</v>
      </c>
      <c r="BO483" s="17" t="s">
        <v>6114</v>
      </c>
      <c r="BP483" s="17"/>
      <c r="BQ483" s="17"/>
      <c r="BR483" s="17"/>
      <c r="BS483" s="17" t="s">
        <v>127</v>
      </c>
      <c r="BT483" s="17" t="s">
        <v>5722</v>
      </c>
      <c r="BU483" s="17" t="s">
        <v>129</v>
      </c>
      <c r="BV483" s="17"/>
      <c r="BW483" s="17"/>
      <c r="BX483" s="25" t="s">
        <v>6204</v>
      </c>
      <c r="BY483" s="13" t="s">
        <v>6001</v>
      </c>
      <c r="DA483" s="13" t="s">
        <v>10348</v>
      </c>
      <c r="DB483" s="13" t="s">
        <v>10348</v>
      </c>
    </row>
    <row r="484" spans="1:106" s="13" customFormat="1" ht="12.75" customHeight="1" x14ac:dyDescent="0.2">
      <c r="A484" s="13" t="s">
        <v>102</v>
      </c>
      <c r="B484" s="13" t="s">
        <v>103</v>
      </c>
      <c r="D484" s="13" t="s">
        <v>5212</v>
      </c>
      <c r="E484" s="13" t="s">
        <v>228</v>
      </c>
      <c r="F484" s="13" t="s">
        <v>5212</v>
      </c>
      <c r="G484" s="13" t="s">
        <v>229</v>
      </c>
      <c r="H484" s="13" t="s">
        <v>7712</v>
      </c>
      <c r="J484" s="13" t="s">
        <v>106</v>
      </c>
      <c r="W484" s="13">
        <v>568</v>
      </c>
      <c r="X484" s="13">
        <v>568</v>
      </c>
      <c r="Y484" s="13" t="s">
        <v>107</v>
      </c>
      <c r="Z484" s="13" t="s">
        <v>108</v>
      </c>
      <c r="AA484" s="39" t="s">
        <v>107</v>
      </c>
      <c r="AB484" s="13" t="s">
        <v>6205</v>
      </c>
      <c r="AC484" s="13" t="s">
        <v>6205</v>
      </c>
      <c r="AD484" s="13" t="s">
        <v>6205</v>
      </c>
      <c r="AE484" s="39" t="s">
        <v>112</v>
      </c>
      <c r="AF484" s="13" t="s">
        <v>6205</v>
      </c>
      <c r="AG484" s="13" t="s">
        <v>6205</v>
      </c>
      <c r="AH484" s="13" t="s">
        <v>6206</v>
      </c>
      <c r="AL484" s="13" t="s">
        <v>6207</v>
      </c>
      <c r="AN484" s="13">
        <v>329</v>
      </c>
      <c r="AO484" s="13" t="s">
        <v>6208</v>
      </c>
      <c r="AQ484" s="13" t="s">
        <v>6205</v>
      </c>
      <c r="AR484" s="13" t="s">
        <v>6205</v>
      </c>
      <c r="AS484" s="13" t="s">
        <v>116</v>
      </c>
      <c r="AT484" s="13" t="s">
        <v>6209</v>
      </c>
      <c r="AU484" s="13" t="s">
        <v>6108</v>
      </c>
      <c r="AV484" s="13" t="s">
        <v>5772</v>
      </c>
      <c r="AW484" s="39" t="s">
        <v>5773</v>
      </c>
      <c r="AX484" s="39" t="s">
        <v>5774</v>
      </c>
      <c r="AY484" s="13" t="s">
        <v>6210</v>
      </c>
      <c r="AZ484" s="13" t="s">
        <v>6211</v>
      </c>
      <c r="BA484" s="13" t="s">
        <v>6211</v>
      </c>
      <c r="BB484" s="13" t="s">
        <v>6212</v>
      </c>
      <c r="BC484" s="13" t="s">
        <v>6213</v>
      </c>
      <c r="BD484" s="13">
        <f t="shared" si="17"/>
        <v>57</v>
      </c>
      <c r="BE484" s="17" t="s">
        <v>5221</v>
      </c>
      <c r="BF484" s="17" t="s">
        <v>5778</v>
      </c>
      <c r="BG484" s="17" t="s">
        <v>5996</v>
      </c>
      <c r="BH484" s="31" t="s">
        <v>2598</v>
      </c>
      <c r="BI484" s="17"/>
      <c r="BJ484" s="17" t="s">
        <v>6214</v>
      </c>
      <c r="BK484" s="17"/>
      <c r="BL484" s="17"/>
      <c r="BM484" s="17"/>
      <c r="BN484" s="17" t="s">
        <v>5998</v>
      </c>
      <c r="BO484" s="17" t="s">
        <v>6138</v>
      </c>
      <c r="BP484" s="17"/>
      <c r="BQ484" s="17"/>
      <c r="BR484" s="17"/>
      <c r="BS484" s="17" t="s">
        <v>127</v>
      </c>
      <c r="BT484" s="17" t="s">
        <v>5722</v>
      </c>
      <c r="BU484" s="17" t="s">
        <v>129</v>
      </c>
      <c r="BV484" s="17"/>
      <c r="BW484" s="17"/>
      <c r="BX484" s="25" t="s">
        <v>6215</v>
      </c>
      <c r="BY484" s="13" t="s">
        <v>6001</v>
      </c>
      <c r="DA484" s="13" t="s">
        <v>10348</v>
      </c>
      <c r="DB484" s="13" t="s">
        <v>10348</v>
      </c>
    </row>
    <row r="485" spans="1:106" s="13" customFormat="1" ht="12.75" customHeight="1" x14ac:dyDescent="0.2">
      <c r="A485" s="13" t="s">
        <v>102</v>
      </c>
      <c r="B485" s="13" t="s">
        <v>103</v>
      </c>
      <c r="D485" s="13" t="s">
        <v>5212</v>
      </c>
      <c r="E485" s="13" t="s">
        <v>228</v>
      </c>
      <c r="F485" s="13" t="s">
        <v>5212</v>
      </c>
      <c r="G485" s="13" t="s">
        <v>229</v>
      </c>
      <c r="H485" s="13" t="s">
        <v>7712</v>
      </c>
      <c r="J485" s="13" t="s">
        <v>106</v>
      </c>
      <c r="W485" s="13">
        <v>569</v>
      </c>
      <c r="X485" s="13">
        <v>569</v>
      </c>
      <c r="Y485" s="13" t="s">
        <v>107</v>
      </c>
      <c r="Z485" s="13" t="s">
        <v>108</v>
      </c>
      <c r="AA485" s="39" t="s">
        <v>107</v>
      </c>
      <c r="AB485" s="13" t="s">
        <v>6216</v>
      </c>
      <c r="AC485" s="13" t="s">
        <v>6216</v>
      </c>
      <c r="AD485" s="13" t="s">
        <v>6216</v>
      </c>
      <c r="AE485" s="39" t="s">
        <v>112</v>
      </c>
      <c r="AF485" s="13" t="s">
        <v>6216</v>
      </c>
      <c r="AG485" s="13" t="s">
        <v>6216</v>
      </c>
      <c r="AH485" s="13" t="s">
        <v>6217</v>
      </c>
      <c r="AL485" s="13" t="s">
        <v>6218</v>
      </c>
      <c r="AN485" s="13">
        <v>329</v>
      </c>
      <c r="AO485" s="13" t="s">
        <v>6219</v>
      </c>
      <c r="AQ485" s="13" t="s">
        <v>6216</v>
      </c>
      <c r="AR485" s="13" t="s">
        <v>6216</v>
      </c>
      <c r="AS485" s="13" t="s">
        <v>116</v>
      </c>
      <c r="AT485" s="13" t="s">
        <v>6220</v>
      </c>
      <c r="AU485" s="13" t="s">
        <v>6108</v>
      </c>
      <c r="AV485" s="13" t="s">
        <v>5772</v>
      </c>
      <c r="AW485" s="39" t="s">
        <v>5773</v>
      </c>
      <c r="AX485" s="39" t="s">
        <v>5774</v>
      </c>
      <c r="AY485" s="13" t="s">
        <v>6221</v>
      </c>
      <c r="AZ485" s="13" t="s">
        <v>6222</v>
      </c>
      <c r="BA485" s="13" t="s">
        <v>6222</v>
      </c>
      <c r="BB485" s="13" t="s">
        <v>6223</v>
      </c>
      <c r="BC485" s="13" t="s">
        <v>6224</v>
      </c>
      <c r="BD485" s="13">
        <f t="shared" si="17"/>
        <v>58</v>
      </c>
      <c r="BE485" s="17" t="s">
        <v>5221</v>
      </c>
      <c r="BF485" s="17" t="s">
        <v>5778</v>
      </c>
      <c r="BG485" s="17" t="s">
        <v>5996</v>
      </c>
      <c r="BH485" s="31" t="s">
        <v>2598</v>
      </c>
      <c r="BI485" s="17"/>
      <c r="BJ485" s="17" t="s">
        <v>6225</v>
      </c>
      <c r="BK485" s="17"/>
      <c r="BL485" s="17"/>
      <c r="BM485" s="17"/>
      <c r="BN485" s="17" t="s">
        <v>5998</v>
      </c>
      <c r="BO485" s="17" t="s">
        <v>6114</v>
      </c>
      <c r="BP485" s="17"/>
      <c r="BQ485" s="17"/>
      <c r="BR485" s="17"/>
      <c r="BS485" s="17" t="s">
        <v>127</v>
      </c>
      <c r="BT485" s="17" t="s">
        <v>5722</v>
      </c>
      <c r="BU485" s="17" t="s">
        <v>129</v>
      </c>
      <c r="BV485" s="17"/>
      <c r="BW485" s="17"/>
      <c r="BX485" s="25" t="s">
        <v>6226</v>
      </c>
      <c r="BY485" s="13" t="s">
        <v>6001</v>
      </c>
      <c r="DA485" s="13" t="s">
        <v>10348</v>
      </c>
      <c r="DB485" s="13" t="s">
        <v>10348</v>
      </c>
    </row>
    <row r="486" spans="1:106" s="13" customFormat="1" ht="12.75" customHeight="1" x14ac:dyDescent="0.2">
      <c r="A486" s="13" t="s">
        <v>102</v>
      </c>
      <c r="B486" s="13" t="s">
        <v>103</v>
      </c>
      <c r="D486" s="13" t="s">
        <v>5212</v>
      </c>
      <c r="E486" s="13" t="s">
        <v>228</v>
      </c>
      <c r="F486" s="13" t="s">
        <v>5212</v>
      </c>
      <c r="G486" s="13" t="s">
        <v>229</v>
      </c>
      <c r="H486" s="13" t="s">
        <v>7712</v>
      </c>
      <c r="J486" s="13" t="s">
        <v>106</v>
      </c>
      <c r="W486" s="13">
        <v>570</v>
      </c>
      <c r="X486" s="13">
        <v>570</v>
      </c>
      <c r="Y486" s="13" t="s">
        <v>107</v>
      </c>
      <c r="Z486" s="13" t="s">
        <v>108</v>
      </c>
      <c r="AA486" s="39" t="s">
        <v>107</v>
      </c>
      <c r="AB486" s="13" t="s">
        <v>6227</v>
      </c>
      <c r="AC486" s="13" t="s">
        <v>6227</v>
      </c>
      <c r="AD486" s="13" t="s">
        <v>6227</v>
      </c>
      <c r="AE486" s="39" t="s">
        <v>112</v>
      </c>
      <c r="AF486" s="13" t="s">
        <v>6227</v>
      </c>
      <c r="AG486" s="13" t="s">
        <v>6227</v>
      </c>
      <c r="AH486" s="13" t="s">
        <v>6228</v>
      </c>
      <c r="AL486" s="13" t="s">
        <v>6229</v>
      </c>
      <c r="AN486" s="13">
        <v>329</v>
      </c>
      <c r="AO486" s="13" t="s">
        <v>6230</v>
      </c>
      <c r="AQ486" s="13" t="s">
        <v>6227</v>
      </c>
      <c r="AR486" s="13" t="s">
        <v>6227</v>
      </c>
      <c r="AS486" s="13" t="s">
        <v>116</v>
      </c>
      <c r="AT486" s="13" t="s">
        <v>6231</v>
      </c>
      <c r="AU486" s="13" t="s">
        <v>6232</v>
      </c>
      <c r="AV486" s="13" t="s">
        <v>5772</v>
      </c>
      <c r="AW486" s="39" t="s">
        <v>5773</v>
      </c>
      <c r="AX486" s="39" t="s">
        <v>5774</v>
      </c>
      <c r="AY486" s="13" t="s">
        <v>6233</v>
      </c>
      <c r="AZ486" s="13" t="s">
        <v>6234</v>
      </c>
      <c r="BA486" s="13" t="s">
        <v>6234</v>
      </c>
      <c r="BB486" s="13" t="s">
        <v>6235</v>
      </c>
      <c r="BC486" s="13" t="s">
        <v>6236</v>
      </c>
      <c r="BD486" s="13">
        <f t="shared" si="17"/>
        <v>58</v>
      </c>
      <c r="BE486" s="17" t="s">
        <v>5221</v>
      </c>
      <c r="BF486" s="17" t="s">
        <v>5778</v>
      </c>
      <c r="BG486" s="17" t="s">
        <v>5996</v>
      </c>
      <c r="BH486" s="31" t="s">
        <v>2598</v>
      </c>
      <c r="BI486" s="17"/>
      <c r="BJ486" s="17" t="s">
        <v>6023</v>
      </c>
      <c r="BK486" s="17"/>
      <c r="BL486" s="17"/>
      <c r="BM486" s="17"/>
      <c r="BN486" s="17" t="s">
        <v>5998</v>
      </c>
      <c r="BO486" s="17" t="s">
        <v>6114</v>
      </c>
      <c r="BP486" s="17"/>
      <c r="BQ486" s="17"/>
      <c r="BR486" s="17"/>
      <c r="BS486" s="17" t="s">
        <v>127</v>
      </c>
      <c r="BT486" s="17" t="s">
        <v>5722</v>
      </c>
      <c r="BU486" s="17" t="s">
        <v>129</v>
      </c>
      <c r="BV486" s="17"/>
      <c r="BW486" s="17"/>
      <c r="BX486" s="25" t="s">
        <v>6237</v>
      </c>
      <c r="BY486" s="13" t="s">
        <v>6001</v>
      </c>
      <c r="DA486" s="13" t="s">
        <v>10348</v>
      </c>
      <c r="DB486" s="13" t="s">
        <v>10348</v>
      </c>
    </row>
    <row r="487" spans="1:106" s="13" customFormat="1" ht="12.75" customHeight="1" x14ac:dyDescent="0.2">
      <c r="A487" s="13" t="s">
        <v>102</v>
      </c>
      <c r="B487" s="13" t="s">
        <v>103</v>
      </c>
      <c r="D487" s="13" t="s">
        <v>5212</v>
      </c>
      <c r="E487" s="13" t="s">
        <v>228</v>
      </c>
      <c r="F487" s="13" t="s">
        <v>5212</v>
      </c>
      <c r="G487" s="13" t="s">
        <v>229</v>
      </c>
      <c r="H487" s="13" t="s">
        <v>7712</v>
      </c>
      <c r="J487" s="13" t="s">
        <v>106</v>
      </c>
      <c r="W487" s="13">
        <v>571</v>
      </c>
      <c r="X487" s="13">
        <v>571</v>
      </c>
      <c r="Y487" s="13" t="s">
        <v>107</v>
      </c>
      <c r="Z487" s="13" t="s">
        <v>108</v>
      </c>
      <c r="AA487" s="39" t="s">
        <v>107</v>
      </c>
      <c r="AB487" s="13" t="s">
        <v>6238</v>
      </c>
      <c r="AC487" s="13" t="s">
        <v>6238</v>
      </c>
      <c r="AD487" s="13" t="s">
        <v>6238</v>
      </c>
      <c r="AE487" s="39" t="s">
        <v>112</v>
      </c>
      <c r="AF487" s="13" t="s">
        <v>6238</v>
      </c>
      <c r="AG487" s="13" t="s">
        <v>6238</v>
      </c>
      <c r="AH487" s="13" t="s">
        <v>6239</v>
      </c>
      <c r="AL487" s="13" t="s">
        <v>6240</v>
      </c>
      <c r="AN487" s="13">
        <v>329</v>
      </c>
      <c r="AO487" s="13" t="s">
        <v>6241</v>
      </c>
      <c r="AQ487" s="13" t="s">
        <v>6238</v>
      </c>
      <c r="AR487" s="13" t="s">
        <v>6238</v>
      </c>
      <c r="AS487" s="13" t="s">
        <v>116</v>
      </c>
      <c r="AT487" s="13" t="s">
        <v>6242</v>
      </c>
      <c r="AU487" s="13" t="s">
        <v>6232</v>
      </c>
      <c r="AV487" s="13" t="s">
        <v>5772</v>
      </c>
      <c r="AW487" s="39" t="s">
        <v>5773</v>
      </c>
      <c r="AX487" s="39" t="s">
        <v>5774</v>
      </c>
      <c r="AY487" s="13" t="s">
        <v>6243</v>
      </c>
      <c r="AZ487" s="13" t="s">
        <v>6244</v>
      </c>
      <c r="BA487" s="13" t="s">
        <v>6244</v>
      </c>
      <c r="BB487" s="13" t="s">
        <v>6245</v>
      </c>
      <c r="BC487" s="13" t="s">
        <v>6246</v>
      </c>
      <c r="BD487" s="13">
        <f t="shared" si="17"/>
        <v>58</v>
      </c>
      <c r="BE487" s="17" t="s">
        <v>5221</v>
      </c>
      <c r="BF487" s="17" t="s">
        <v>5778</v>
      </c>
      <c r="BG487" s="17" t="s">
        <v>5996</v>
      </c>
      <c r="BH487" s="31" t="s">
        <v>2598</v>
      </c>
      <c r="BI487" s="17"/>
      <c r="BJ487" s="17" t="s">
        <v>6035</v>
      </c>
      <c r="BK487" s="17"/>
      <c r="BL487" s="17"/>
      <c r="BM487" s="17"/>
      <c r="BN487" s="17" t="s">
        <v>5998</v>
      </c>
      <c r="BO487" s="17" t="s">
        <v>6114</v>
      </c>
      <c r="BP487" s="17"/>
      <c r="BQ487" s="17"/>
      <c r="BR487" s="17"/>
      <c r="BS487" s="17" t="s">
        <v>127</v>
      </c>
      <c r="BT487" s="17" t="s">
        <v>5722</v>
      </c>
      <c r="BU487" s="17" t="s">
        <v>129</v>
      </c>
      <c r="BV487" s="17"/>
      <c r="BW487" s="17"/>
      <c r="BX487" s="25" t="s">
        <v>6247</v>
      </c>
      <c r="BY487" s="13" t="s">
        <v>6001</v>
      </c>
      <c r="DA487" s="13" t="s">
        <v>10348</v>
      </c>
      <c r="DB487" s="13" t="s">
        <v>10348</v>
      </c>
    </row>
    <row r="488" spans="1:106" s="13" customFormat="1" ht="12.75" customHeight="1" x14ac:dyDescent="0.2">
      <c r="A488" s="13" t="s">
        <v>102</v>
      </c>
      <c r="B488" s="13" t="s">
        <v>103</v>
      </c>
      <c r="D488" s="13" t="s">
        <v>5212</v>
      </c>
      <c r="E488" s="13" t="s">
        <v>228</v>
      </c>
      <c r="F488" s="13" t="s">
        <v>5212</v>
      </c>
      <c r="G488" s="13" t="s">
        <v>229</v>
      </c>
      <c r="H488" s="13" t="s">
        <v>7712</v>
      </c>
      <c r="J488" s="13" t="s">
        <v>106</v>
      </c>
      <c r="W488" s="13">
        <v>572</v>
      </c>
      <c r="X488" s="13">
        <v>572</v>
      </c>
      <c r="Y488" s="13" t="s">
        <v>107</v>
      </c>
      <c r="Z488" s="13" t="s">
        <v>108</v>
      </c>
      <c r="AA488" s="39" t="s">
        <v>107</v>
      </c>
      <c r="AB488" s="13" t="s">
        <v>6248</v>
      </c>
      <c r="AC488" s="13" t="s">
        <v>6248</v>
      </c>
      <c r="AD488" s="13" t="s">
        <v>6248</v>
      </c>
      <c r="AE488" s="39" t="s">
        <v>112</v>
      </c>
      <c r="AF488" s="13" t="s">
        <v>6248</v>
      </c>
      <c r="AG488" s="13" t="s">
        <v>6248</v>
      </c>
      <c r="AH488" s="13" t="s">
        <v>6249</v>
      </c>
      <c r="AL488" s="13" t="s">
        <v>6250</v>
      </c>
      <c r="AN488" s="13">
        <v>329</v>
      </c>
      <c r="AO488" s="13" t="s">
        <v>6251</v>
      </c>
      <c r="AQ488" s="13" t="s">
        <v>6248</v>
      </c>
      <c r="AR488" s="13" t="s">
        <v>6248</v>
      </c>
      <c r="AS488" s="13" t="s">
        <v>116</v>
      </c>
      <c r="AT488" s="13" t="s">
        <v>6252</v>
      </c>
      <c r="AU488" s="13" t="s">
        <v>6007</v>
      </c>
      <c r="AV488" s="13" t="s">
        <v>5772</v>
      </c>
      <c r="AW488" s="39" t="s">
        <v>5773</v>
      </c>
      <c r="AX488" s="39" t="s">
        <v>5774</v>
      </c>
      <c r="AY488" s="13" t="s">
        <v>6253</v>
      </c>
      <c r="AZ488" s="13" t="s">
        <v>6254</v>
      </c>
      <c r="BA488" s="13" t="s">
        <v>6254</v>
      </c>
      <c r="BB488" s="13" t="s">
        <v>6255</v>
      </c>
      <c r="BC488" s="13" t="s">
        <v>6256</v>
      </c>
      <c r="BD488" s="13">
        <f t="shared" si="17"/>
        <v>58</v>
      </c>
      <c r="BE488" s="17" t="s">
        <v>5221</v>
      </c>
      <c r="BF488" s="17" t="s">
        <v>5778</v>
      </c>
      <c r="BG488" s="17" t="s">
        <v>5996</v>
      </c>
      <c r="BH488" s="31" t="s">
        <v>2598</v>
      </c>
      <c r="BI488" s="17"/>
      <c r="BJ488" s="17" t="s">
        <v>6046</v>
      </c>
      <c r="BK488" s="17"/>
      <c r="BL488" s="17"/>
      <c r="BM488" s="17"/>
      <c r="BN488" s="17" t="s">
        <v>5998</v>
      </c>
      <c r="BO488" s="17" t="s">
        <v>6114</v>
      </c>
      <c r="BP488" s="17"/>
      <c r="BQ488" s="17"/>
      <c r="BR488" s="17"/>
      <c r="BS488" s="17" t="s">
        <v>127</v>
      </c>
      <c r="BT488" s="17" t="s">
        <v>5722</v>
      </c>
      <c r="BU488" s="17" t="s">
        <v>129</v>
      </c>
      <c r="BV488" s="17"/>
      <c r="BW488" s="17"/>
      <c r="BX488" s="25" t="s">
        <v>6257</v>
      </c>
      <c r="BY488" s="13" t="s">
        <v>6001</v>
      </c>
      <c r="DA488" s="13" t="s">
        <v>10348</v>
      </c>
      <c r="DB488" s="13" t="s">
        <v>10348</v>
      </c>
    </row>
    <row r="489" spans="1:106" s="13" customFormat="1" ht="12.75" customHeight="1" x14ac:dyDescent="0.2">
      <c r="A489" s="13" t="s">
        <v>102</v>
      </c>
      <c r="B489" s="13" t="s">
        <v>103</v>
      </c>
      <c r="D489" s="13" t="s">
        <v>5212</v>
      </c>
      <c r="E489" s="13" t="s">
        <v>228</v>
      </c>
      <c r="F489" s="13" t="s">
        <v>5212</v>
      </c>
      <c r="G489" s="13" t="s">
        <v>229</v>
      </c>
      <c r="H489" s="13" t="s">
        <v>7712</v>
      </c>
      <c r="J489" s="13" t="s">
        <v>106</v>
      </c>
      <c r="W489" s="13">
        <v>573</v>
      </c>
      <c r="X489" s="13">
        <v>573</v>
      </c>
      <c r="Y489" s="13" t="s">
        <v>107</v>
      </c>
      <c r="Z489" s="13" t="s">
        <v>108</v>
      </c>
      <c r="AA489" s="39" t="s">
        <v>107</v>
      </c>
      <c r="AB489" s="13" t="s">
        <v>6258</v>
      </c>
      <c r="AC489" s="13" t="s">
        <v>6258</v>
      </c>
      <c r="AD489" s="13" t="s">
        <v>6258</v>
      </c>
      <c r="AE489" s="39" t="s">
        <v>112</v>
      </c>
      <c r="AF489" s="13" t="s">
        <v>6258</v>
      </c>
      <c r="AG489" s="13" t="s">
        <v>6258</v>
      </c>
      <c r="AH489" s="13" t="s">
        <v>6259</v>
      </c>
      <c r="AL489" s="13" t="s">
        <v>6260</v>
      </c>
      <c r="AN489" s="13">
        <v>329</v>
      </c>
      <c r="AO489" s="13" t="s">
        <v>6261</v>
      </c>
      <c r="AQ489" s="13" t="s">
        <v>6258</v>
      </c>
      <c r="AR489" s="13" t="s">
        <v>6258</v>
      </c>
      <c r="AS489" s="13" t="s">
        <v>116</v>
      </c>
      <c r="AT489" s="13" t="s">
        <v>6262</v>
      </c>
      <c r="AU489" s="13" t="s">
        <v>6121</v>
      </c>
      <c r="AV489" s="13" t="s">
        <v>5772</v>
      </c>
      <c r="AW489" s="39" t="s">
        <v>5773</v>
      </c>
      <c r="AX489" s="39" t="s">
        <v>5774</v>
      </c>
      <c r="AY489" s="13" t="s">
        <v>6263</v>
      </c>
      <c r="AZ489" s="13" t="s">
        <v>6264</v>
      </c>
      <c r="BA489" s="13" t="s">
        <v>6264</v>
      </c>
      <c r="BB489" s="13" t="s">
        <v>6265</v>
      </c>
      <c r="BC489" s="13" t="s">
        <v>6266</v>
      </c>
      <c r="BD489" s="13">
        <f t="shared" si="17"/>
        <v>58</v>
      </c>
      <c r="BE489" s="17" t="s">
        <v>5221</v>
      </c>
      <c r="BF489" s="17" t="s">
        <v>5778</v>
      </c>
      <c r="BG489" s="17" t="s">
        <v>5996</v>
      </c>
      <c r="BH489" s="31" t="s">
        <v>2598</v>
      </c>
      <c r="BI489" s="17"/>
      <c r="BJ489" s="17" t="s">
        <v>6267</v>
      </c>
      <c r="BK489" s="17"/>
      <c r="BL489" s="17"/>
      <c r="BM489" s="17"/>
      <c r="BN489" s="17" t="s">
        <v>5998</v>
      </c>
      <c r="BO489" s="17" t="s">
        <v>6138</v>
      </c>
      <c r="BP489" s="17"/>
      <c r="BQ489" s="17"/>
      <c r="BR489" s="17"/>
      <c r="BS489" s="17" t="s">
        <v>127</v>
      </c>
      <c r="BT489" s="17" t="s">
        <v>5722</v>
      </c>
      <c r="BU489" s="17" t="s">
        <v>129</v>
      </c>
      <c r="BV489" s="17"/>
      <c r="BW489" s="17"/>
      <c r="BX489" s="25" t="s">
        <v>6268</v>
      </c>
      <c r="BY489" s="13" t="s">
        <v>6001</v>
      </c>
      <c r="DA489" s="13" t="s">
        <v>10348</v>
      </c>
      <c r="DB489" s="13" t="s">
        <v>10348</v>
      </c>
    </row>
    <row r="490" spans="1:106" s="13" customFormat="1" ht="12.75" customHeight="1" x14ac:dyDescent="0.2">
      <c r="A490" s="13" t="s">
        <v>102</v>
      </c>
      <c r="B490" s="13" t="s">
        <v>103</v>
      </c>
      <c r="D490" s="13" t="s">
        <v>5212</v>
      </c>
      <c r="E490" s="13" t="s">
        <v>228</v>
      </c>
      <c r="F490" s="13" t="s">
        <v>5212</v>
      </c>
      <c r="G490" s="13" t="s">
        <v>229</v>
      </c>
      <c r="H490" s="13" t="s">
        <v>7712</v>
      </c>
      <c r="J490" s="13" t="s">
        <v>106</v>
      </c>
      <c r="W490" s="13">
        <v>574</v>
      </c>
      <c r="X490" s="13">
        <v>574</v>
      </c>
      <c r="Y490" s="13" t="s">
        <v>107</v>
      </c>
      <c r="Z490" s="13" t="s">
        <v>108</v>
      </c>
      <c r="AA490" s="39" t="s">
        <v>107</v>
      </c>
      <c r="AB490" s="13" t="s">
        <v>6269</v>
      </c>
      <c r="AC490" s="13" t="s">
        <v>6269</v>
      </c>
      <c r="AD490" s="13" t="s">
        <v>6269</v>
      </c>
      <c r="AE490" s="39" t="s">
        <v>112</v>
      </c>
      <c r="AF490" s="13" t="s">
        <v>6269</v>
      </c>
      <c r="AG490" s="13" t="s">
        <v>6269</v>
      </c>
      <c r="AH490" s="13" t="s">
        <v>6270</v>
      </c>
      <c r="AL490" s="13" t="s">
        <v>6271</v>
      </c>
      <c r="AN490" s="13">
        <v>329</v>
      </c>
      <c r="AO490" s="13" t="s">
        <v>6272</v>
      </c>
      <c r="AQ490" s="13" t="s">
        <v>6269</v>
      </c>
      <c r="AR490" s="13" t="s">
        <v>6269</v>
      </c>
      <c r="AS490" s="13" t="s">
        <v>116</v>
      </c>
      <c r="AT490" s="13" t="s">
        <v>6273</v>
      </c>
      <c r="AU490" s="13" t="s">
        <v>6108</v>
      </c>
      <c r="AV490" s="13" t="s">
        <v>5772</v>
      </c>
      <c r="AW490" s="39" t="s">
        <v>5773</v>
      </c>
      <c r="AX490" s="39" t="s">
        <v>5774</v>
      </c>
      <c r="AY490" s="13" t="s">
        <v>6274</v>
      </c>
      <c r="AZ490" s="13" t="s">
        <v>6275</v>
      </c>
      <c r="BA490" s="13" t="s">
        <v>6275</v>
      </c>
      <c r="BB490" s="13" t="s">
        <v>6276</v>
      </c>
      <c r="BC490" s="13" t="s">
        <v>6277</v>
      </c>
      <c r="BD490" s="13">
        <f t="shared" si="17"/>
        <v>58</v>
      </c>
      <c r="BE490" s="17" t="s">
        <v>5221</v>
      </c>
      <c r="BF490" s="17" t="s">
        <v>5778</v>
      </c>
      <c r="BG490" s="17" t="s">
        <v>5996</v>
      </c>
      <c r="BH490" s="31" t="s">
        <v>2598</v>
      </c>
      <c r="BI490" s="17"/>
      <c r="BJ490" s="17" t="s">
        <v>6278</v>
      </c>
      <c r="BK490" s="17"/>
      <c r="BL490" s="17"/>
      <c r="BM490" s="17"/>
      <c r="BN490" s="17" t="s">
        <v>5998</v>
      </c>
      <c r="BO490" s="17" t="s">
        <v>6138</v>
      </c>
      <c r="BP490" s="17"/>
      <c r="BQ490" s="17"/>
      <c r="BR490" s="17"/>
      <c r="BS490" s="17" t="s">
        <v>127</v>
      </c>
      <c r="BT490" s="17" t="s">
        <v>5722</v>
      </c>
      <c r="BU490" s="17" t="s">
        <v>129</v>
      </c>
      <c r="BV490" s="17"/>
      <c r="BW490" s="17"/>
      <c r="BX490" s="25" t="s">
        <v>6279</v>
      </c>
      <c r="BY490" s="13" t="s">
        <v>6001</v>
      </c>
      <c r="DA490" s="13" t="s">
        <v>10348</v>
      </c>
      <c r="DB490" s="13" t="s">
        <v>10348</v>
      </c>
    </row>
    <row r="491" spans="1:106" s="13" customFormat="1" ht="12.75" customHeight="1" x14ac:dyDescent="0.2">
      <c r="A491" s="13" t="s">
        <v>102</v>
      </c>
      <c r="B491" s="13" t="s">
        <v>103</v>
      </c>
      <c r="D491" s="13" t="s">
        <v>5212</v>
      </c>
      <c r="E491" s="13" t="s">
        <v>228</v>
      </c>
      <c r="F491" s="13" t="s">
        <v>5212</v>
      </c>
      <c r="G491" s="13" t="s">
        <v>229</v>
      </c>
      <c r="H491" s="13" t="s">
        <v>7712</v>
      </c>
      <c r="J491" s="13" t="s">
        <v>106</v>
      </c>
      <c r="W491" s="13">
        <v>575</v>
      </c>
      <c r="X491" s="13">
        <v>575</v>
      </c>
      <c r="Y491" s="13" t="s">
        <v>107</v>
      </c>
      <c r="Z491" s="13" t="s">
        <v>108</v>
      </c>
      <c r="AA491" s="39" t="s">
        <v>107</v>
      </c>
      <c r="AB491" s="13" t="s">
        <v>6280</v>
      </c>
      <c r="AC491" s="13" t="s">
        <v>6280</v>
      </c>
      <c r="AD491" s="13" t="s">
        <v>6280</v>
      </c>
      <c r="AE491" s="39" t="s">
        <v>112</v>
      </c>
      <c r="AF491" s="13" t="s">
        <v>6280</v>
      </c>
      <c r="AG491" s="13" t="s">
        <v>6280</v>
      </c>
      <c r="AH491" s="13" t="s">
        <v>6281</v>
      </c>
      <c r="AL491" s="13" t="s">
        <v>6282</v>
      </c>
      <c r="AN491" s="13">
        <v>329</v>
      </c>
      <c r="AO491" s="13" t="s">
        <v>6283</v>
      </c>
      <c r="AQ491" s="13" t="s">
        <v>6280</v>
      </c>
      <c r="AR491" s="13" t="s">
        <v>6280</v>
      </c>
      <c r="AS491" s="13" t="s">
        <v>116</v>
      </c>
      <c r="AT491" s="13" t="s">
        <v>6284</v>
      </c>
      <c r="AU491" s="13" t="s">
        <v>6108</v>
      </c>
      <c r="AV491" s="13" t="s">
        <v>5772</v>
      </c>
      <c r="AW491" s="39" t="s">
        <v>5773</v>
      </c>
      <c r="AX491" s="39" t="s">
        <v>5774</v>
      </c>
      <c r="AY491" s="13" t="s">
        <v>6285</v>
      </c>
      <c r="AZ491" s="13" t="s">
        <v>6286</v>
      </c>
      <c r="BA491" s="13" t="s">
        <v>6286</v>
      </c>
      <c r="BB491" s="13" t="s">
        <v>6287</v>
      </c>
      <c r="BC491" s="13" t="s">
        <v>6288</v>
      </c>
      <c r="BD491" s="13">
        <f t="shared" si="17"/>
        <v>58</v>
      </c>
      <c r="BE491" s="17" t="s">
        <v>5221</v>
      </c>
      <c r="BF491" s="17" t="s">
        <v>5778</v>
      </c>
      <c r="BG491" s="17" t="s">
        <v>5996</v>
      </c>
      <c r="BH491" s="31" t="s">
        <v>2598</v>
      </c>
      <c r="BI491" s="17"/>
      <c r="BJ491" s="17" t="s">
        <v>6289</v>
      </c>
      <c r="BK491" s="17"/>
      <c r="BL491" s="17"/>
      <c r="BM491" s="17"/>
      <c r="BN491" s="17" t="s">
        <v>5998</v>
      </c>
      <c r="BO491" s="17" t="s">
        <v>6138</v>
      </c>
      <c r="BP491" s="17"/>
      <c r="BQ491" s="17"/>
      <c r="BR491" s="17"/>
      <c r="BS491" s="17" t="s">
        <v>127</v>
      </c>
      <c r="BT491" s="17" t="s">
        <v>5722</v>
      </c>
      <c r="BU491" s="17" t="s">
        <v>129</v>
      </c>
      <c r="BV491" s="17"/>
      <c r="BW491" s="17"/>
      <c r="BX491" s="25" t="s">
        <v>6290</v>
      </c>
      <c r="BY491" s="13" t="s">
        <v>6001</v>
      </c>
      <c r="DA491" s="13" t="s">
        <v>10348</v>
      </c>
      <c r="DB491" s="13" t="s">
        <v>10348</v>
      </c>
    </row>
    <row r="492" spans="1:106" s="13" customFormat="1" ht="12.75" customHeight="1" x14ac:dyDescent="0.2">
      <c r="A492" s="13" t="s">
        <v>102</v>
      </c>
      <c r="B492" s="13" t="s">
        <v>103</v>
      </c>
      <c r="D492" s="13" t="s">
        <v>5212</v>
      </c>
      <c r="E492" s="13" t="s">
        <v>228</v>
      </c>
      <c r="F492" s="13" t="s">
        <v>5212</v>
      </c>
      <c r="G492" s="13" t="s">
        <v>229</v>
      </c>
      <c r="H492" s="13" t="s">
        <v>7712</v>
      </c>
      <c r="J492" s="13" t="s">
        <v>106</v>
      </c>
      <c r="W492" s="13">
        <v>576</v>
      </c>
      <c r="X492" s="13">
        <v>576</v>
      </c>
      <c r="Y492" s="13" t="s">
        <v>107</v>
      </c>
      <c r="Z492" s="13" t="s">
        <v>108</v>
      </c>
      <c r="AA492" s="39" t="s">
        <v>107</v>
      </c>
      <c r="AB492" s="13" t="s">
        <v>6291</v>
      </c>
      <c r="AC492" s="13" t="s">
        <v>6291</v>
      </c>
      <c r="AD492" s="13" t="s">
        <v>6291</v>
      </c>
      <c r="AE492" s="39" t="s">
        <v>112</v>
      </c>
      <c r="AF492" s="13" t="s">
        <v>6291</v>
      </c>
      <c r="AG492" s="13" t="s">
        <v>6291</v>
      </c>
      <c r="AH492" s="13" t="s">
        <v>6292</v>
      </c>
      <c r="AL492" s="13" t="s">
        <v>6293</v>
      </c>
      <c r="AN492" s="13">
        <v>329</v>
      </c>
      <c r="AO492" s="13" t="s">
        <v>6294</v>
      </c>
      <c r="AQ492" s="13" t="s">
        <v>6291</v>
      </c>
      <c r="AR492" s="13" t="s">
        <v>6291</v>
      </c>
      <c r="AS492" s="13" t="s">
        <v>116</v>
      </c>
      <c r="AT492" s="13" t="s">
        <v>6295</v>
      </c>
      <c r="AU492" s="13" t="s">
        <v>6108</v>
      </c>
      <c r="AV492" s="13" t="s">
        <v>5772</v>
      </c>
      <c r="AW492" s="39" t="s">
        <v>5773</v>
      </c>
      <c r="AX492" s="39" t="s">
        <v>5774</v>
      </c>
      <c r="AY492" s="13" t="s">
        <v>6296</v>
      </c>
      <c r="AZ492" s="13" t="s">
        <v>6297</v>
      </c>
      <c r="BA492" s="13" t="s">
        <v>6297</v>
      </c>
      <c r="BB492" s="13" t="s">
        <v>6298</v>
      </c>
      <c r="BC492" s="13" t="s">
        <v>6299</v>
      </c>
      <c r="BD492" s="13">
        <f t="shared" si="17"/>
        <v>58</v>
      </c>
      <c r="BE492" s="17" t="s">
        <v>5221</v>
      </c>
      <c r="BF492" s="17" t="s">
        <v>5778</v>
      </c>
      <c r="BG492" s="17" t="s">
        <v>5996</v>
      </c>
      <c r="BH492" s="31" t="s">
        <v>2598</v>
      </c>
      <c r="BI492" s="17"/>
      <c r="BJ492" s="17" t="s">
        <v>6300</v>
      </c>
      <c r="BK492" s="17"/>
      <c r="BL492" s="17"/>
      <c r="BM492" s="17"/>
      <c r="BN492" s="17" t="s">
        <v>5998</v>
      </c>
      <c r="BO492" s="17" t="s">
        <v>6114</v>
      </c>
      <c r="BP492" s="17"/>
      <c r="BQ492" s="17"/>
      <c r="BR492" s="17"/>
      <c r="BS492" s="17" t="s">
        <v>127</v>
      </c>
      <c r="BT492" s="17" t="s">
        <v>5722</v>
      </c>
      <c r="BU492" s="17" t="s">
        <v>129</v>
      </c>
      <c r="BV492" s="17"/>
      <c r="BW492" s="17"/>
      <c r="BX492" s="25" t="s">
        <v>6301</v>
      </c>
      <c r="BY492" s="13" t="s">
        <v>6001</v>
      </c>
      <c r="DA492" s="13" t="s">
        <v>10348</v>
      </c>
      <c r="DB492" s="13" t="s">
        <v>10348</v>
      </c>
    </row>
    <row r="493" spans="1:106" s="13" customFormat="1" ht="12.75" customHeight="1" x14ac:dyDescent="0.2">
      <c r="A493" s="13" t="s">
        <v>102</v>
      </c>
      <c r="B493" s="13" t="s">
        <v>103</v>
      </c>
      <c r="D493" s="13" t="s">
        <v>5212</v>
      </c>
      <c r="E493" s="13" t="s">
        <v>228</v>
      </c>
      <c r="F493" s="13" t="s">
        <v>5212</v>
      </c>
      <c r="G493" s="13" t="s">
        <v>229</v>
      </c>
      <c r="H493" s="13" t="s">
        <v>7712</v>
      </c>
      <c r="J493" s="13" t="s">
        <v>106</v>
      </c>
      <c r="W493" s="13">
        <v>577</v>
      </c>
      <c r="X493" s="13">
        <v>577</v>
      </c>
      <c r="Y493" s="13" t="s">
        <v>107</v>
      </c>
      <c r="Z493" s="13" t="s">
        <v>108</v>
      </c>
      <c r="AA493" s="39" t="s">
        <v>107</v>
      </c>
      <c r="AB493" s="13" t="s">
        <v>6302</v>
      </c>
      <c r="AC493" s="13" t="s">
        <v>6302</v>
      </c>
      <c r="AD493" s="13" t="s">
        <v>6302</v>
      </c>
      <c r="AE493" s="39" t="s">
        <v>112</v>
      </c>
      <c r="AF493" s="13" t="s">
        <v>6302</v>
      </c>
      <c r="AG493" s="13" t="s">
        <v>6302</v>
      </c>
      <c r="AH493" s="13" t="s">
        <v>6303</v>
      </c>
      <c r="AL493" s="13" t="s">
        <v>6304</v>
      </c>
      <c r="AN493" s="13">
        <v>329</v>
      </c>
      <c r="AO493" s="13" t="s">
        <v>6305</v>
      </c>
      <c r="AQ493" s="13" t="s">
        <v>6302</v>
      </c>
      <c r="AR493" s="13" t="s">
        <v>6302</v>
      </c>
      <c r="AS493" s="13" t="s">
        <v>116</v>
      </c>
      <c r="AT493" s="13" t="s">
        <v>6306</v>
      </c>
      <c r="AU493" s="13" t="s">
        <v>6232</v>
      </c>
      <c r="AV493" s="13" t="s">
        <v>5772</v>
      </c>
      <c r="AW493" s="39" t="s">
        <v>5773</v>
      </c>
      <c r="AX493" s="39" t="s">
        <v>5774</v>
      </c>
      <c r="AY493" s="13" t="s">
        <v>6307</v>
      </c>
      <c r="AZ493" s="13" t="s">
        <v>6308</v>
      </c>
      <c r="BA493" s="13" t="s">
        <v>6308</v>
      </c>
      <c r="BB493" s="13" t="s">
        <v>6309</v>
      </c>
      <c r="BC493" s="13" t="s">
        <v>6310</v>
      </c>
      <c r="BD493" s="13">
        <f t="shared" si="17"/>
        <v>58</v>
      </c>
      <c r="BE493" s="17" t="s">
        <v>5221</v>
      </c>
      <c r="BF493" s="17" t="s">
        <v>5778</v>
      </c>
      <c r="BG493" s="17" t="s">
        <v>5996</v>
      </c>
      <c r="BH493" s="31" t="s">
        <v>2598</v>
      </c>
      <c r="BI493" s="17"/>
      <c r="BJ493" s="17" t="s">
        <v>6057</v>
      </c>
      <c r="BK493" s="17"/>
      <c r="BL493" s="17"/>
      <c r="BM493" s="17"/>
      <c r="BN493" s="17" t="s">
        <v>5998</v>
      </c>
      <c r="BO493" s="17" t="s">
        <v>6114</v>
      </c>
      <c r="BP493" s="17"/>
      <c r="BQ493" s="17"/>
      <c r="BR493" s="17"/>
      <c r="BS493" s="17" t="s">
        <v>127</v>
      </c>
      <c r="BT493" s="17" t="s">
        <v>5722</v>
      </c>
      <c r="BU493" s="17" t="s">
        <v>129</v>
      </c>
      <c r="BV493" s="17"/>
      <c r="BW493" s="17"/>
      <c r="BX493" s="25" t="s">
        <v>6311</v>
      </c>
      <c r="BY493" s="13" t="s">
        <v>6001</v>
      </c>
      <c r="DA493" s="13" t="s">
        <v>10348</v>
      </c>
      <c r="DB493" s="13" t="s">
        <v>10348</v>
      </c>
    </row>
    <row r="494" spans="1:106" s="13" customFormat="1" ht="12.75" customHeight="1" x14ac:dyDescent="0.2">
      <c r="A494" s="13" t="s">
        <v>102</v>
      </c>
      <c r="B494" s="13" t="s">
        <v>103</v>
      </c>
      <c r="D494" s="13" t="s">
        <v>5212</v>
      </c>
      <c r="E494" s="13" t="s">
        <v>228</v>
      </c>
      <c r="F494" s="13" t="s">
        <v>5212</v>
      </c>
      <c r="G494" s="13" t="s">
        <v>229</v>
      </c>
      <c r="H494" s="13" t="s">
        <v>7712</v>
      </c>
      <c r="J494" s="13" t="s">
        <v>106</v>
      </c>
      <c r="W494" s="13">
        <v>578</v>
      </c>
      <c r="X494" s="13">
        <v>578</v>
      </c>
      <c r="Y494" s="13" t="s">
        <v>107</v>
      </c>
      <c r="Z494" s="13" t="s">
        <v>108</v>
      </c>
      <c r="AA494" s="39" t="s">
        <v>107</v>
      </c>
      <c r="AB494" s="13" t="s">
        <v>6312</v>
      </c>
      <c r="AC494" s="13" t="s">
        <v>6312</v>
      </c>
      <c r="AD494" s="13" t="s">
        <v>6312</v>
      </c>
      <c r="AE494" s="39" t="s">
        <v>112</v>
      </c>
      <c r="AF494" s="13" t="s">
        <v>6312</v>
      </c>
      <c r="AG494" s="13" t="s">
        <v>6312</v>
      </c>
      <c r="AH494" s="13" t="s">
        <v>6313</v>
      </c>
      <c r="AL494" s="13" t="s">
        <v>6314</v>
      </c>
      <c r="AN494" s="13">
        <v>329</v>
      </c>
      <c r="AO494" s="13" t="s">
        <v>6315</v>
      </c>
      <c r="AQ494" s="13" t="s">
        <v>6312</v>
      </c>
      <c r="AR494" s="13" t="s">
        <v>6312</v>
      </c>
      <c r="AS494" s="13" t="s">
        <v>116</v>
      </c>
      <c r="AT494" s="13" t="s">
        <v>6316</v>
      </c>
      <c r="AU494" s="13" t="s">
        <v>6232</v>
      </c>
      <c r="AV494" s="13" t="s">
        <v>5772</v>
      </c>
      <c r="AW494" s="39" t="s">
        <v>5773</v>
      </c>
      <c r="AX494" s="39" t="s">
        <v>5774</v>
      </c>
      <c r="AY494" s="13" t="s">
        <v>6317</v>
      </c>
      <c r="AZ494" s="13" t="s">
        <v>6318</v>
      </c>
      <c r="BA494" s="13" t="s">
        <v>6318</v>
      </c>
      <c r="BB494" s="13" t="s">
        <v>6319</v>
      </c>
      <c r="BC494" s="13" t="s">
        <v>6320</v>
      </c>
      <c r="BD494" s="13">
        <f t="shared" si="17"/>
        <v>58</v>
      </c>
      <c r="BE494" s="17" t="s">
        <v>5221</v>
      </c>
      <c r="BF494" s="17" t="s">
        <v>5778</v>
      </c>
      <c r="BG494" s="17" t="s">
        <v>5996</v>
      </c>
      <c r="BH494" s="31" t="s">
        <v>2598</v>
      </c>
      <c r="BI494" s="17"/>
      <c r="BJ494" s="17" t="s">
        <v>6068</v>
      </c>
      <c r="BK494" s="17"/>
      <c r="BL494" s="17"/>
      <c r="BM494" s="17"/>
      <c r="BN494" s="17" t="s">
        <v>5998</v>
      </c>
      <c r="BO494" s="17" t="s">
        <v>6114</v>
      </c>
      <c r="BP494" s="17"/>
      <c r="BQ494" s="17"/>
      <c r="BR494" s="17"/>
      <c r="BS494" s="17" t="s">
        <v>127</v>
      </c>
      <c r="BT494" s="17" t="s">
        <v>5722</v>
      </c>
      <c r="BU494" s="17" t="s">
        <v>129</v>
      </c>
      <c r="BV494" s="17"/>
      <c r="BW494" s="17"/>
      <c r="BX494" s="25" t="s">
        <v>6321</v>
      </c>
      <c r="BY494" s="13" t="s">
        <v>6001</v>
      </c>
      <c r="DA494" s="13" t="s">
        <v>10348</v>
      </c>
      <c r="DB494" s="13" t="s">
        <v>10348</v>
      </c>
    </row>
    <row r="495" spans="1:106" s="13" customFormat="1" ht="12.75" customHeight="1" x14ac:dyDescent="0.2">
      <c r="A495" s="13" t="s">
        <v>102</v>
      </c>
      <c r="B495" s="13" t="s">
        <v>103</v>
      </c>
      <c r="D495" s="13" t="s">
        <v>5212</v>
      </c>
      <c r="E495" s="13" t="s">
        <v>228</v>
      </c>
      <c r="F495" s="13" t="s">
        <v>5212</v>
      </c>
      <c r="G495" s="13" t="s">
        <v>229</v>
      </c>
      <c r="H495" s="13" t="s">
        <v>7712</v>
      </c>
      <c r="J495" s="13" t="s">
        <v>106</v>
      </c>
      <c r="W495" s="13">
        <v>579</v>
      </c>
      <c r="X495" s="13">
        <v>579</v>
      </c>
      <c r="Y495" s="13" t="s">
        <v>107</v>
      </c>
      <c r="Z495" s="13" t="s">
        <v>108</v>
      </c>
      <c r="AA495" s="39" t="s">
        <v>107</v>
      </c>
      <c r="AB495" s="13" t="s">
        <v>6322</v>
      </c>
      <c r="AC495" s="13" t="s">
        <v>6322</v>
      </c>
      <c r="AD495" s="13" t="s">
        <v>6322</v>
      </c>
      <c r="AE495" s="39" t="s">
        <v>112</v>
      </c>
      <c r="AF495" s="13" t="s">
        <v>6322</v>
      </c>
      <c r="AG495" s="13" t="s">
        <v>6322</v>
      </c>
      <c r="AH495" s="13" t="s">
        <v>6323</v>
      </c>
      <c r="AL495" s="13" t="s">
        <v>6324</v>
      </c>
      <c r="AN495" s="13">
        <v>329</v>
      </c>
      <c r="AO495" s="13" t="s">
        <v>6325</v>
      </c>
      <c r="AQ495" s="13" t="s">
        <v>6322</v>
      </c>
      <c r="AR495" s="13" t="s">
        <v>6322</v>
      </c>
      <c r="AS495" s="13" t="s">
        <v>116</v>
      </c>
      <c r="AT495" s="13" t="s">
        <v>6326</v>
      </c>
      <c r="AU495" s="13" t="s">
        <v>6108</v>
      </c>
      <c r="AV495" s="13" t="s">
        <v>5772</v>
      </c>
      <c r="AW495" s="39" t="s">
        <v>5773</v>
      </c>
      <c r="AX495" s="39" t="s">
        <v>5774</v>
      </c>
      <c r="AY495" s="13" t="s">
        <v>6327</v>
      </c>
      <c r="AZ495" s="13" t="s">
        <v>6328</v>
      </c>
      <c r="BA495" s="13" t="s">
        <v>6328</v>
      </c>
      <c r="BB495" s="13" t="s">
        <v>6329</v>
      </c>
      <c r="BC495" s="13" t="s">
        <v>6330</v>
      </c>
      <c r="BD495" s="13">
        <f t="shared" si="17"/>
        <v>58</v>
      </c>
      <c r="BE495" s="17" t="s">
        <v>5221</v>
      </c>
      <c r="BF495" s="17" t="s">
        <v>5778</v>
      </c>
      <c r="BG495" s="17" t="s">
        <v>5996</v>
      </c>
      <c r="BH495" s="31" t="s">
        <v>2598</v>
      </c>
      <c r="BI495" s="17"/>
      <c r="BJ495" s="17" t="s">
        <v>6331</v>
      </c>
      <c r="BK495" s="17"/>
      <c r="BL495" s="17"/>
      <c r="BM495" s="17"/>
      <c r="BN495" s="17" t="s">
        <v>5998</v>
      </c>
      <c r="BO495" s="17" t="s">
        <v>6114</v>
      </c>
      <c r="BP495" s="17"/>
      <c r="BQ495" s="17"/>
      <c r="BR495" s="17"/>
      <c r="BS495" s="17" t="s">
        <v>127</v>
      </c>
      <c r="BT495" s="17" t="s">
        <v>5722</v>
      </c>
      <c r="BU495" s="17" t="s">
        <v>129</v>
      </c>
      <c r="BV495" s="17"/>
      <c r="BW495" s="17"/>
      <c r="BX495" s="25" t="s">
        <v>6332</v>
      </c>
      <c r="BY495" s="13" t="s">
        <v>6001</v>
      </c>
      <c r="DA495" s="13" t="s">
        <v>10348</v>
      </c>
      <c r="DB495" s="13" t="s">
        <v>10348</v>
      </c>
    </row>
    <row r="496" spans="1:106" s="13" customFormat="1" ht="12.75" customHeight="1" x14ac:dyDescent="0.2">
      <c r="A496" s="13" t="s">
        <v>102</v>
      </c>
      <c r="B496" s="13" t="s">
        <v>103</v>
      </c>
      <c r="D496" s="13" t="s">
        <v>5212</v>
      </c>
      <c r="E496" s="13" t="s">
        <v>228</v>
      </c>
      <c r="F496" s="13" t="s">
        <v>5212</v>
      </c>
      <c r="G496" s="13" t="s">
        <v>229</v>
      </c>
      <c r="H496" s="13" t="s">
        <v>7712</v>
      </c>
      <c r="J496" s="13" t="s">
        <v>106</v>
      </c>
      <c r="W496" s="13">
        <v>580</v>
      </c>
      <c r="X496" s="13">
        <v>580</v>
      </c>
      <c r="Y496" s="13" t="s">
        <v>107</v>
      </c>
      <c r="Z496" s="13" t="s">
        <v>108</v>
      </c>
      <c r="AA496" s="39" t="s">
        <v>107</v>
      </c>
      <c r="AB496" s="13" t="s">
        <v>6333</v>
      </c>
      <c r="AC496" s="13" t="s">
        <v>6333</v>
      </c>
      <c r="AD496" s="13" t="s">
        <v>6333</v>
      </c>
      <c r="AE496" s="39" t="s">
        <v>112</v>
      </c>
      <c r="AF496" s="13" t="s">
        <v>6333</v>
      </c>
      <c r="AG496" s="13" t="s">
        <v>6333</v>
      </c>
      <c r="AH496" s="13" t="s">
        <v>6334</v>
      </c>
      <c r="AL496" s="13" t="s">
        <v>6335</v>
      </c>
      <c r="AN496" s="13">
        <v>329</v>
      </c>
      <c r="AO496" s="13" t="s">
        <v>6336</v>
      </c>
      <c r="AQ496" s="13" t="s">
        <v>6333</v>
      </c>
      <c r="AR496" s="13" t="s">
        <v>6333</v>
      </c>
      <c r="AS496" s="13" t="s">
        <v>116</v>
      </c>
      <c r="AT496" s="13" t="s">
        <v>6337</v>
      </c>
      <c r="AU496" s="13" t="s">
        <v>6121</v>
      </c>
      <c r="AV496" s="13" t="s">
        <v>5772</v>
      </c>
      <c r="AW496" s="39" t="s">
        <v>5773</v>
      </c>
      <c r="AX496" s="39" t="s">
        <v>5774</v>
      </c>
      <c r="AY496" s="13" t="s">
        <v>6338</v>
      </c>
      <c r="AZ496" s="13" t="s">
        <v>6339</v>
      </c>
      <c r="BA496" s="13" t="s">
        <v>6339</v>
      </c>
      <c r="BB496" s="13" t="s">
        <v>6340</v>
      </c>
      <c r="BC496" s="13" t="s">
        <v>6341</v>
      </c>
      <c r="BD496" s="13">
        <f t="shared" si="17"/>
        <v>58</v>
      </c>
      <c r="BE496" s="17" t="s">
        <v>5221</v>
      </c>
      <c r="BF496" s="17" t="s">
        <v>5778</v>
      </c>
      <c r="BG496" s="17" t="s">
        <v>5996</v>
      </c>
      <c r="BH496" s="31" t="s">
        <v>2598</v>
      </c>
      <c r="BI496" s="17"/>
      <c r="BJ496" s="17" t="s">
        <v>6342</v>
      </c>
      <c r="BK496" s="17"/>
      <c r="BL496" s="17"/>
      <c r="BM496" s="17"/>
      <c r="BN496" s="17" t="s">
        <v>5998</v>
      </c>
      <c r="BO496" s="17" t="s">
        <v>6138</v>
      </c>
      <c r="BP496" s="17"/>
      <c r="BQ496" s="17"/>
      <c r="BR496" s="17"/>
      <c r="BS496" s="17" t="s">
        <v>127</v>
      </c>
      <c r="BT496" s="17" t="s">
        <v>5722</v>
      </c>
      <c r="BU496" s="17" t="s">
        <v>129</v>
      </c>
      <c r="BV496" s="17"/>
      <c r="BW496" s="17"/>
      <c r="BX496" s="25" t="s">
        <v>6343</v>
      </c>
      <c r="BY496" s="13" t="s">
        <v>6001</v>
      </c>
      <c r="DA496" s="13" t="s">
        <v>10348</v>
      </c>
      <c r="DB496" s="13" t="s">
        <v>10348</v>
      </c>
    </row>
    <row r="497" spans="1:106" s="13" customFormat="1" ht="12.75" customHeight="1" x14ac:dyDescent="0.2">
      <c r="A497" s="13" t="s">
        <v>102</v>
      </c>
      <c r="B497" s="13" t="s">
        <v>103</v>
      </c>
      <c r="D497" s="13" t="s">
        <v>5212</v>
      </c>
      <c r="E497" s="13" t="s">
        <v>228</v>
      </c>
      <c r="F497" s="13" t="s">
        <v>5212</v>
      </c>
      <c r="G497" s="13" t="s">
        <v>229</v>
      </c>
      <c r="H497" s="13" t="s">
        <v>7712</v>
      </c>
      <c r="J497" s="13" t="s">
        <v>106</v>
      </c>
      <c r="W497" s="13">
        <v>581</v>
      </c>
      <c r="X497" s="13">
        <v>581</v>
      </c>
      <c r="Y497" s="13" t="s">
        <v>107</v>
      </c>
      <c r="Z497" s="13" t="s">
        <v>108</v>
      </c>
      <c r="AA497" s="39" t="s">
        <v>107</v>
      </c>
      <c r="AB497" s="13" t="s">
        <v>6344</v>
      </c>
      <c r="AC497" s="13" t="s">
        <v>6344</v>
      </c>
      <c r="AD497" s="13" t="s">
        <v>6344</v>
      </c>
      <c r="AE497" s="39" t="s">
        <v>112</v>
      </c>
      <c r="AF497" s="13" t="s">
        <v>6344</v>
      </c>
      <c r="AG497" s="13" t="s">
        <v>6344</v>
      </c>
      <c r="AH497" s="13" t="s">
        <v>6345</v>
      </c>
      <c r="AL497" s="13" t="s">
        <v>6346</v>
      </c>
      <c r="AN497" s="13">
        <v>329</v>
      </c>
      <c r="AO497" s="13" t="s">
        <v>6347</v>
      </c>
      <c r="AQ497" s="13" t="s">
        <v>6344</v>
      </c>
      <c r="AR497" s="13" t="s">
        <v>6344</v>
      </c>
      <c r="AS497" s="13" t="s">
        <v>116</v>
      </c>
      <c r="AT497" s="13" t="s">
        <v>6348</v>
      </c>
      <c r="AU497" s="13" t="s">
        <v>6108</v>
      </c>
      <c r="AV497" s="13" t="s">
        <v>5772</v>
      </c>
      <c r="AW497" s="39" t="s">
        <v>5773</v>
      </c>
      <c r="AX497" s="39" t="s">
        <v>5774</v>
      </c>
      <c r="AY497" s="13" t="s">
        <v>6349</v>
      </c>
      <c r="AZ497" s="13" t="s">
        <v>6350</v>
      </c>
      <c r="BA497" s="13" t="s">
        <v>6350</v>
      </c>
      <c r="BB497" s="13" t="s">
        <v>6351</v>
      </c>
      <c r="BC497" s="13" t="s">
        <v>6352</v>
      </c>
      <c r="BD497" s="13">
        <f t="shared" si="17"/>
        <v>58</v>
      </c>
      <c r="BE497" s="17" t="s">
        <v>5221</v>
      </c>
      <c r="BF497" s="17" t="s">
        <v>5778</v>
      </c>
      <c r="BG497" s="17" t="s">
        <v>5996</v>
      </c>
      <c r="BH497" s="31" t="s">
        <v>2598</v>
      </c>
      <c r="BI497" s="17"/>
      <c r="BJ497" s="17" t="s">
        <v>6353</v>
      </c>
      <c r="BK497" s="17"/>
      <c r="BL497" s="17"/>
      <c r="BM497" s="17"/>
      <c r="BN497" s="17" t="s">
        <v>5998</v>
      </c>
      <c r="BO497" s="17" t="s">
        <v>6138</v>
      </c>
      <c r="BP497" s="17"/>
      <c r="BQ497" s="17"/>
      <c r="BR497" s="17"/>
      <c r="BS497" s="17" t="s">
        <v>127</v>
      </c>
      <c r="BT497" s="17" t="s">
        <v>5722</v>
      </c>
      <c r="BU497" s="17" t="s">
        <v>129</v>
      </c>
      <c r="BV497" s="17"/>
      <c r="BW497" s="17"/>
      <c r="BX497" s="25" t="s">
        <v>6354</v>
      </c>
      <c r="BY497" s="13" t="s">
        <v>6001</v>
      </c>
      <c r="DA497" s="13" t="s">
        <v>10348</v>
      </c>
      <c r="DB497" s="13" t="s">
        <v>10348</v>
      </c>
    </row>
    <row r="498" spans="1:106" s="13" customFormat="1" ht="12.75" customHeight="1" x14ac:dyDescent="0.2">
      <c r="A498" s="13" t="s">
        <v>102</v>
      </c>
      <c r="B498" s="13" t="s">
        <v>103</v>
      </c>
      <c r="D498" s="13" t="s">
        <v>5212</v>
      </c>
      <c r="E498" s="13" t="s">
        <v>228</v>
      </c>
      <c r="F498" s="13" t="s">
        <v>5212</v>
      </c>
      <c r="G498" s="13" t="s">
        <v>229</v>
      </c>
      <c r="H498" s="13" t="s">
        <v>7712</v>
      </c>
      <c r="J498" s="13" t="s">
        <v>106</v>
      </c>
      <c r="W498" s="13">
        <v>582</v>
      </c>
      <c r="X498" s="13">
        <v>582</v>
      </c>
      <c r="Y498" s="13" t="s">
        <v>107</v>
      </c>
      <c r="Z498" s="13" t="s">
        <v>108</v>
      </c>
      <c r="AA498" s="39" t="s">
        <v>107</v>
      </c>
      <c r="AB498" s="13" t="s">
        <v>6355</v>
      </c>
      <c r="AC498" s="13" t="s">
        <v>6355</v>
      </c>
      <c r="AD498" s="13" t="s">
        <v>6355</v>
      </c>
      <c r="AE498" s="39" t="s">
        <v>112</v>
      </c>
      <c r="AF498" s="13" t="s">
        <v>6355</v>
      </c>
      <c r="AG498" s="13" t="s">
        <v>6355</v>
      </c>
      <c r="AH498" s="13" t="s">
        <v>6356</v>
      </c>
      <c r="AL498" s="13" t="s">
        <v>6357</v>
      </c>
      <c r="AN498" s="13">
        <v>329</v>
      </c>
      <c r="AO498" s="13" t="s">
        <v>6358</v>
      </c>
      <c r="AQ498" s="13" t="s">
        <v>6355</v>
      </c>
      <c r="AR498" s="13" t="s">
        <v>6355</v>
      </c>
      <c r="AS498" s="13" t="s">
        <v>116</v>
      </c>
      <c r="AT498" s="13" t="s">
        <v>6359</v>
      </c>
      <c r="AU498" s="13" t="s">
        <v>6108</v>
      </c>
      <c r="AV498" s="13" t="s">
        <v>5772</v>
      </c>
      <c r="AW498" s="39" t="s">
        <v>5773</v>
      </c>
      <c r="AX498" s="39" t="s">
        <v>5774</v>
      </c>
      <c r="AY498" s="13" t="s">
        <v>6360</v>
      </c>
      <c r="AZ498" s="13" t="s">
        <v>6361</v>
      </c>
      <c r="BA498" s="13" t="s">
        <v>6361</v>
      </c>
      <c r="BB498" s="13" t="s">
        <v>6362</v>
      </c>
      <c r="BC498" s="13" t="s">
        <v>6363</v>
      </c>
      <c r="BD498" s="13">
        <f t="shared" si="17"/>
        <v>58</v>
      </c>
      <c r="BE498" s="17" t="s">
        <v>5221</v>
      </c>
      <c r="BF498" s="17" t="s">
        <v>5778</v>
      </c>
      <c r="BG498" s="17" t="s">
        <v>5996</v>
      </c>
      <c r="BH498" s="31" t="s">
        <v>2598</v>
      </c>
      <c r="BI498" s="17"/>
      <c r="BJ498" s="17" t="s">
        <v>6364</v>
      </c>
      <c r="BK498" s="17"/>
      <c r="BL498" s="17"/>
      <c r="BM498" s="17"/>
      <c r="BN498" s="17" t="s">
        <v>5998</v>
      </c>
      <c r="BO498" s="17" t="s">
        <v>6138</v>
      </c>
      <c r="BP498" s="17"/>
      <c r="BQ498" s="17"/>
      <c r="BR498" s="17"/>
      <c r="BS498" s="17" t="s">
        <v>127</v>
      </c>
      <c r="BT498" s="17" t="s">
        <v>5722</v>
      </c>
      <c r="BU498" s="17" t="s">
        <v>129</v>
      </c>
      <c r="BV498" s="17"/>
      <c r="BW498" s="17"/>
      <c r="BX498" s="25" t="s">
        <v>6365</v>
      </c>
      <c r="BY498" s="13" t="s">
        <v>6001</v>
      </c>
      <c r="DA498" s="13" t="s">
        <v>10348</v>
      </c>
      <c r="DB498" s="13" t="s">
        <v>10348</v>
      </c>
    </row>
    <row r="499" spans="1:106" s="13" customFormat="1" ht="12.75" customHeight="1" x14ac:dyDescent="0.2">
      <c r="A499" s="13" t="s">
        <v>102</v>
      </c>
      <c r="B499" s="13" t="s">
        <v>103</v>
      </c>
      <c r="D499" s="13" t="s">
        <v>5212</v>
      </c>
      <c r="E499" s="13" t="s">
        <v>228</v>
      </c>
      <c r="F499" s="13" t="s">
        <v>5212</v>
      </c>
      <c r="G499" s="13" t="s">
        <v>229</v>
      </c>
      <c r="H499" s="13" t="s">
        <v>7712</v>
      </c>
      <c r="J499" s="13" t="s">
        <v>106</v>
      </c>
      <c r="W499" s="13">
        <v>583</v>
      </c>
      <c r="X499" s="13">
        <v>583</v>
      </c>
      <c r="Y499" s="13" t="s">
        <v>107</v>
      </c>
      <c r="Z499" s="13" t="s">
        <v>108</v>
      </c>
      <c r="AA499" s="39" t="s">
        <v>107</v>
      </c>
      <c r="AB499" s="13" t="s">
        <v>6366</v>
      </c>
      <c r="AC499" s="13" t="s">
        <v>6366</v>
      </c>
      <c r="AD499" s="13" t="s">
        <v>6366</v>
      </c>
      <c r="AE499" s="39" t="s">
        <v>112</v>
      </c>
      <c r="AF499" s="13" t="s">
        <v>6366</v>
      </c>
      <c r="AG499" s="13" t="s">
        <v>6366</v>
      </c>
      <c r="AH499" s="13" t="s">
        <v>6367</v>
      </c>
      <c r="AL499" s="13" t="s">
        <v>6368</v>
      </c>
      <c r="AN499" s="13">
        <v>329</v>
      </c>
      <c r="AO499" s="13" t="s">
        <v>6369</v>
      </c>
      <c r="AQ499" s="13" t="s">
        <v>6366</v>
      </c>
      <c r="AR499" s="13" t="s">
        <v>6366</v>
      </c>
      <c r="AS499" s="13" t="s">
        <v>116</v>
      </c>
      <c r="AT499" s="13" t="s">
        <v>6370</v>
      </c>
      <c r="AU499" s="13" t="s">
        <v>6108</v>
      </c>
      <c r="AV499" s="13" t="s">
        <v>5772</v>
      </c>
      <c r="AW499" s="39" t="s">
        <v>5773</v>
      </c>
      <c r="AX499" s="39" t="s">
        <v>5774</v>
      </c>
      <c r="AY499" s="13" t="s">
        <v>6371</v>
      </c>
      <c r="AZ499" s="13" t="s">
        <v>6372</v>
      </c>
      <c r="BA499" s="13" t="s">
        <v>6372</v>
      </c>
      <c r="BB499" s="13" t="s">
        <v>6373</v>
      </c>
      <c r="BC499" s="13" t="s">
        <v>6374</v>
      </c>
      <c r="BD499" s="13">
        <f t="shared" si="17"/>
        <v>58</v>
      </c>
      <c r="BE499" s="17" t="s">
        <v>5221</v>
      </c>
      <c r="BF499" s="17" t="s">
        <v>5778</v>
      </c>
      <c r="BG499" s="17" t="s">
        <v>5996</v>
      </c>
      <c r="BH499" s="31" t="s">
        <v>2598</v>
      </c>
      <c r="BI499" s="17"/>
      <c r="BJ499" s="17" t="s">
        <v>6375</v>
      </c>
      <c r="BK499" s="17"/>
      <c r="BL499" s="17"/>
      <c r="BM499" s="17"/>
      <c r="BN499" s="17" t="s">
        <v>5998</v>
      </c>
      <c r="BO499" s="17" t="s">
        <v>6114</v>
      </c>
      <c r="BP499" s="17"/>
      <c r="BQ499" s="17"/>
      <c r="BR499" s="17"/>
      <c r="BS499" s="17" t="s">
        <v>127</v>
      </c>
      <c r="BT499" s="17" t="s">
        <v>5722</v>
      </c>
      <c r="BU499" s="17" t="s">
        <v>129</v>
      </c>
      <c r="BV499" s="17"/>
      <c r="BW499" s="17"/>
      <c r="BX499" s="25" t="s">
        <v>6376</v>
      </c>
      <c r="BY499" s="13" t="s">
        <v>6001</v>
      </c>
      <c r="DA499" s="13" t="s">
        <v>10348</v>
      </c>
      <c r="DB499" s="13" t="s">
        <v>10348</v>
      </c>
    </row>
    <row r="500" spans="1:106" s="13" customFormat="1" ht="12.75" customHeight="1" x14ac:dyDescent="0.2">
      <c r="A500" s="13" t="s">
        <v>102</v>
      </c>
      <c r="B500" s="13" t="s">
        <v>103</v>
      </c>
      <c r="D500" s="13" t="s">
        <v>5212</v>
      </c>
      <c r="E500" s="13" t="s">
        <v>228</v>
      </c>
      <c r="F500" s="13" t="s">
        <v>5212</v>
      </c>
      <c r="G500" s="13" t="s">
        <v>229</v>
      </c>
      <c r="H500" s="13" t="s">
        <v>7712</v>
      </c>
      <c r="J500" s="13" t="s">
        <v>106</v>
      </c>
      <c r="W500" s="13">
        <v>584</v>
      </c>
      <c r="X500" s="13">
        <v>584</v>
      </c>
      <c r="Y500" s="13" t="s">
        <v>107</v>
      </c>
      <c r="Z500" s="13" t="s">
        <v>108</v>
      </c>
      <c r="AA500" s="39" t="s">
        <v>107</v>
      </c>
      <c r="AB500" s="13" t="s">
        <v>6377</v>
      </c>
      <c r="AC500" s="13" t="s">
        <v>6377</v>
      </c>
      <c r="AD500" s="13" t="s">
        <v>6377</v>
      </c>
      <c r="AE500" s="39" t="s">
        <v>112</v>
      </c>
      <c r="AF500" s="13" t="s">
        <v>6377</v>
      </c>
      <c r="AG500" s="13" t="s">
        <v>6377</v>
      </c>
      <c r="AH500" s="13" t="s">
        <v>6378</v>
      </c>
      <c r="AL500" s="13" t="s">
        <v>6379</v>
      </c>
      <c r="AN500" s="13">
        <v>329</v>
      </c>
      <c r="AO500" s="13" t="s">
        <v>6380</v>
      </c>
      <c r="AQ500" s="13" t="s">
        <v>6377</v>
      </c>
      <c r="AR500" s="13" t="s">
        <v>6377</v>
      </c>
      <c r="AS500" s="13" t="s">
        <v>116</v>
      </c>
      <c r="AT500" s="13" t="s">
        <v>6381</v>
      </c>
      <c r="AU500" s="13" t="s">
        <v>6232</v>
      </c>
      <c r="AV500" s="13" t="s">
        <v>5772</v>
      </c>
      <c r="AW500" s="39" t="s">
        <v>5773</v>
      </c>
      <c r="AX500" s="39" t="s">
        <v>5774</v>
      </c>
      <c r="AY500" s="13" t="s">
        <v>6382</v>
      </c>
      <c r="AZ500" s="13" t="s">
        <v>6383</v>
      </c>
      <c r="BA500" s="13" t="s">
        <v>6383</v>
      </c>
      <c r="BB500" s="13" t="s">
        <v>6384</v>
      </c>
      <c r="BC500" s="13" t="s">
        <v>6385</v>
      </c>
      <c r="BD500" s="13">
        <f t="shared" si="17"/>
        <v>58</v>
      </c>
      <c r="BE500" s="17" t="s">
        <v>5221</v>
      </c>
      <c r="BF500" s="17" t="s">
        <v>5778</v>
      </c>
      <c r="BG500" s="17" t="s">
        <v>5996</v>
      </c>
      <c r="BH500" s="31" t="s">
        <v>2598</v>
      </c>
      <c r="BI500" s="17"/>
      <c r="BJ500" s="17" t="s">
        <v>6079</v>
      </c>
      <c r="BK500" s="17"/>
      <c r="BL500" s="17"/>
      <c r="BM500" s="17"/>
      <c r="BN500" s="17" t="s">
        <v>5998</v>
      </c>
      <c r="BO500" s="17" t="s">
        <v>6114</v>
      </c>
      <c r="BP500" s="17"/>
      <c r="BQ500" s="17"/>
      <c r="BR500" s="17"/>
      <c r="BS500" s="17" t="s">
        <v>127</v>
      </c>
      <c r="BT500" s="17" t="s">
        <v>5722</v>
      </c>
      <c r="BU500" s="17" t="s">
        <v>129</v>
      </c>
      <c r="BV500" s="17"/>
      <c r="BW500" s="17"/>
      <c r="BX500" s="25" t="s">
        <v>6386</v>
      </c>
      <c r="BY500" s="13" t="s">
        <v>6001</v>
      </c>
      <c r="DA500" s="13" t="s">
        <v>10348</v>
      </c>
      <c r="DB500" s="13" t="s">
        <v>10348</v>
      </c>
    </row>
    <row r="501" spans="1:106" s="13" customFormat="1" ht="12.75" customHeight="1" x14ac:dyDescent="0.2">
      <c r="A501" s="13" t="s">
        <v>102</v>
      </c>
      <c r="B501" s="13" t="s">
        <v>103</v>
      </c>
      <c r="D501" s="13" t="s">
        <v>5212</v>
      </c>
      <c r="E501" s="13" t="s">
        <v>228</v>
      </c>
      <c r="F501" s="13" t="s">
        <v>5212</v>
      </c>
      <c r="G501" s="13" t="s">
        <v>229</v>
      </c>
      <c r="H501" s="13" t="s">
        <v>7712</v>
      </c>
      <c r="J501" s="13" t="s">
        <v>106</v>
      </c>
      <c r="W501" s="13">
        <v>585</v>
      </c>
      <c r="X501" s="13">
        <v>585</v>
      </c>
      <c r="Y501" s="13" t="s">
        <v>107</v>
      </c>
      <c r="Z501" s="13" t="s">
        <v>108</v>
      </c>
      <c r="AA501" s="39" t="s">
        <v>107</v>
      </c>
      <c r="AB501" s="13" t="s">
        <v>6387</v>
      </c>
      <c r="AC501" s="13" t="s">
        <v>6387</v>
      </c>
      <c r="AD501" s="13" t="s">
        <v>6387</v>
      </c>
      <c r="AE501" s="39" t="s">
        <v>112</v>
      </c>
      <c r="AF501" s="13" t="s">
        <v>6387</v>
      </c>
      <c r="AG501" s="13" t="s">
        <v>6387</v>
      </c>
      <c r="AH501" s="13" t="s">
        <v>6388</v>
      </c>
      <c r="AL501" s="13" t="s">
        <v>6389</v>
      </c>
      <c r="AN501" s="13">
        <v>329</v>
      </c>
      <c r="AO501" s="13" t="s">
        <v>6390</v>
      </c>
      <c r="AQ501" s="13" t="s">
        <v>6387</v>
      </c>
      <c r="AR501" s="13" t="s">
        <v>6387</v>
      </c>
      <c r="AS501" s="13" t="s">
        <v>116</v>
      </c>
      <c r="AT501" s="13" t="s">
        <v>6391</v>
      </c>
      <c r="AU501" s="13" t="s">
        <v>6232</v>
      </c>
      <c r="AV501" s="13" t="s">
        <v>5772</v>
      </c>
      <c r="AW501" s="39" t="s">
        <v>5773</v>
      </c>
      <c r="AX501" s="39" t="s">
        <v>5774</v>
      </c>
      <c r="AY501" s="13" t="s">
        <v>6392</v>
      </c>
      <c r="AZ501" s="13" t="s">
        <v>6393</v>
      </c>
      <c r="BA501" s="13" t="s">
        <v>6393</v>
      </c>
      <c r="BB501" s="13" t="s">
        <v>6394</v>
      </c>
      <c r="BC501" s="13" t="s">
        <v>6395</v>
      </c>
      <c r="BD501" s="13">
        <f t="shared" ref="BD501:BD532" si="18">LEN(SUBSTITUTE(BC501, ", "," "))</f>
        <v>58</v>
      </c>
      <c r="BE501" s="17" t="s">
        <v>5221</v>
      </c>
      <c r="BF501" s="17" t="s">
        <v>5778</v>
      </c>
      <c r="BG501" s="17" t="s">
        <v>5996</v>
      </c>
      <c r="BH501" s="31" t="s">
        <v>2598</v>
      </c>
      <c r="BI501" s="17"/>
      <c r="BJ501" s="17" t="s">
        <v>6090</v>
      </c>
      <c r="BK501" s="17"/>
      <c r="BL501" s="17"/>
      <c r="BM501" s="17"/>
      <c r="BN501" s="17" t="s">
        <v>5998</v>
      </c>
      <c r="BO501" s="17" t="s">
        <v>6114</v>
      </c>
      <c r="BP501" s="17"/>
      <c r="BQ501" s="17"/>
      <c r="BR501" s="17"/>
      <c r="BS501" s="17" t="s">
        <v>127</v>
      </c>
      <c r="BT501" s="17" t="s">
        <v>5722</v>
      </c>
      <c r="BU501" s="17" t="s">
        <v>129</v>
      </c>
      <c r="BV501" s="17"/>
      <c r="BW501" s="17"/>
      <c r="BX501" s="25" t="s">
        <v>6396</v>
      </c>
      <c r="BY501" s="13" t="s">
        <v>6001</v>
      </c>
      <c r="DA501" s="13" t="s">
        <v>10348</v>
      </c>
      <c r="DB501" s="13" t="s">
        <v>10348</v>
      </c>
    </row>
    <row r="502" spans="1:106" s="13" customFormat="1" ht="12.75" customHeight="1" x14ac:dyDescent="0.2">
      <c r="A502" s="13" t="s">
        <v>102</v>
      </c>
      <c r="B502" s="13" t="s">
        <v>103</v>
      </c>
      <c r="D502" s="13" t="s">
        <v>5212</v>
      </c>
      <c r="E502" s="13" t="s">
        <v>228</v>
      </c>
      <c r="F502" s="13" t="s">
        <v>5212</v>
      </c>
      <c r="G502" s="13" t="s">
        <v>229</v>
      </c>
      <c r="H502" s="13" t="s">
        <v>7712</v>
      </c>
      <c r="J502" s="13" t="s">
        <v>106</v>
      </c>
      <c r="W502" s="13">
        <v>586</v>
      </c>
      <c r="X502" s="13">
        <v>586</v>
      </c>
      <c r="Y502" s="13" t="s">
        <v>107</v>
      </c>
      <c r="Z502" s="13" t="s">
        <v>108</v>
      </c>
      <c r="AA502" s="39" t="s">
        <v>107</v>
      </c>
      <c r="AB502" s="13" t="s">
        <v>6397</v>
      </c>
      <c r="AC502" s="13" t="s">
        <v>6397</v>
      </c>
      <c r="AD502" s="13" t="s">
        <v>6397</v>
      </c>
      <c r="AE502" s="39" t="s">
        <v>112</v>
      </c>
      <c r="AF502" s="13" t="s">
        <v>6397</v>
      </c>
      <c r="AG502" s="13" t="s">
        <v>6397</v>
      </c>
      <c r="AH502" s="13" t="s">
        <v>6398</v>
      </c>
      <c r="AL502" s="13" t="s">
        <v>6399</v>
      </c>
      <c r="AN502" s="13">
        <v>329</v>
      </c>
      <c r="AO502" s="13" t="s">
        <v>6400</v>
      </c>
      <c r="AQ502" s="13" t="s">
        <v>6397</v>
      </c>
      <c r="AR502" s="13" t="s">
        <v>6397</v>
      </c>
      <c r="AS502" s="13" t="s">
        <v>116</v>
      </c>
      <c r="AT502" s="13" t="s">
        <v>6401</v>
      </c>
      <c r="AU502" s="13" t="s">
        <v>6108</v>
      </c>
      <c r="AV502" s="13" t="s">
        <v>5772</v>
      </c>
      <c r="AW502" s="39" t="s">
        <v>5773</v>
      </c>
      <c r="AX502" s="39" t="s">
        <v>5774</v>
      </c>
      <c r="AY502" s="13" t="s">
        <v>6402</v>
      </c>
      <c r="AZ502" s="13" t="s">
        <v>6403</v>
      </c>
      <c r="BA502" s="13" t="s">
        <v>6403</v>
      </c>
      <c r="BB502" s="13" t="s">
        <v>6404</v>
      </c>
      <c r="BC502" s="13" t="s">
        <v>6405</v>
      </c>
      <c r="BD502" s="13">
        <f t="shared" si="18"/>
        <v>58</v>
      </c>
      <c r="BE502" s="17" t="s">
        <v>5221</v>
      </c>
      <c r="BF502" s="17" t="s">
        <v>5778</v>
      </c>
      <c r="BG502" s="17" t="s">
        <v>5996</v>
      </c>
      <c r="BH502" s="31" t="s">
        <v>2598</v>
      </c>
      <c r="BI502" s="17"/>
      <c r="BJ502" s="17" t="s">
        <v>6406</v>
      </c>
      <c r="BK502" s="17"/>
      <c r="BL502" s="17"/>
      <c r="BM502" s="17"/>
      <c r="BN502" s="17" t="s">
        <v>5998</v>
      </c>
      <c r="BO502" s="17" t="s">
        <v>6114</v>
      </c>
      <c r="BP502" s="17"/>
      <c r="BQ502" s="17"/>
      <c r="BR502" s="17"/>
      <c r="BS502" s="17" t="s">
        <v>127</v>
      </c>
      <c r="BT502" s="17" t="s">
        <v>5722</v>
      </c>
      <c r="BU502" s="17" t="s">
        <v>129</v>
      </c>
      <c r="BV502" s="17"/>
      <c r="BW502" s="17"/>
      <c r="BX502" s="25" t="s">
        <v>6407</v>
      </c>
      <c r="BY502" s="13" t="s">
        <v>6001</v>
      </c>
      <c r="DA502" s="13" t="s">
        <v>10348</v>
      </c>
      <c r="DB502" s="13" t="s">
        <v>10348</v>
      </c>
    </row>
    <row r="503" spans="1:106" s="13" customFormat="1" ht="12.75" customHeight="1" x14ac:dyDescent="0.2">
      <c r="A503" s="13" t="s">
        <v>102</v>
      </c>
      <c r="B503" s="13" t="s">
        <v>103</v>
      </c>
      <c r="D503" s="13" t="s">
        <v>5212</v>
      </c>
      <c r="E503" s="13" t="s">
        <v>228</v>
      </c>
      <c r="F503" s="13" t="s">
        <v>5212</v>
      </c>
      <c r="G503" s="13" t="s">
        <v>229</v>
      </c>
      <c r="H503" s="13" t="s">
        <v>7712</v>
      </c>
      <c r="J503" s="13" t="s">
        <v>106</v>
      </c>
      <c r="W503" s="13">
        <v>587</v>
      </c>
      <c r="X503" s="13">
        <v>587</v>
      </c>
      <c r="Y503" s="13" t="s">
        <v>107</v>
      </c>
      <c r="Z503" s="13" t="s">
        <v>108</v>
      </c>
      <c r="AA503" s="39" t="s">
        <v>107</v>
      </c>
      <c r="AB503" s="13" t="s">
        <v>6408</v>
      </c>
      <c r="AC503" s="13" t="s">
        <v>6408</v>
      </c>
      <c r="AD503" s="13" t="s">
        <v>6408</v>
      </c>
      <c r="AE503" s="39" t="s">
        <v>112</v>
      </c>
      <c r="AF503" s="13" t="s">
        <v>6408</v>
      </c>
      <c r="AG503" s="13" t="s">
        <v>6408</v>
      </c>
      <c r="AH503" s="13" t="s">
        <v>6409</v>
      </c>
      <c r="AL503" s="13" t="s">
        <v>6410</v>
      </c>
      <c r="AN503" s="13">
        <v>329</v>
      </c>
      <c r="AO503" s="13" t="s">
        <v>6411</v>
      </c>
      <c r="AQ503" s="13" t="s">
        <v>6408</v>
      </c>
      <c r="AR503" s="13" t="s">
        <v>6408</v>
      </c>
      <c r="AS503" s="13" t="s">
        <v>116</v>
      </c>
      <c r="AT503" s="13" t="s">
        <v>6412</v>
      </c>
      <c r="AU503" s="13" t="s">
        <v>6121</v>
      </c>
      <c r="AV503" s="13" t="s">
        <v>5772</v>
      </c>
      <c r="AW503" s="39" t="s">
        <v>5773</v>
      </c>
      <c r="AX503" s="39" t="s">
        <v>5774</v>
      </c>
      <c r="AY503" s="13" t="s">
        <v>6413</v>
      </c>
      <c r="AZ503" s="13" t="s">
        <v>6414</v>
      </c>
      <c r="BA503" s="13" t="s">
        <v>6414</v>
      </c>
      <c r="BB503" s="13" t="s">
        <v>6415</v>
      </c>
      <c r="BC503" s="13" t="s">
        <v>6416</v>
      </c>
      <c r="BD503" s="13">
        <f t="shared" si="18"/>
        <v>58</v>
      </c>
      <c r="BE503" s="17" t="s">
        <v>5221</v>
      </c>
      <c r="BF503" s="17" t="s">
        <v>5778</v>
      </c>
      <c r="BG503" s="17" t="s">
        <v>5996</v>
      </c>
      <c r="BH503" s="31" t="s">
        <v>2598</v>
      </c>
      <c r="BI503" s="17"/>
      <c r="BJ503" s="17" t="s">
        <v>6417</v>
      </c>
      <c r="BK503" s="17"/>
      <c r="BL503" s="17"/>
      <c r="BM503" s="17"/>
      <c r="BN503" s="17" t="s">
        <v>5998</v>
      </c>
      <c r="BO503" s="17" t="s">
        <v>6138</v>
      </c>
      <c r="BP503" s="17"/>
      <c r="BQ503" s="17"/>
      <c r="BR503" s="17"/>
      <c r="BS503" s="17" t="s">
        <v>127</v>
      </c>
      <c r="BT503" s="17" t="s">
        <v>5722</v>
      </c>
      <c r="BU503" s="17" t="s">
        <v>129</v>
      </c>
      <c r="BV503" s="17"/>
      <c r="BW503" s="17"/>
      <c r="BX503" s="25" t="s">
        <v>6418</v>
      </c>
      <c r="BY503" s="13" t="s">
        <v>6001</v>
      </c>
      <c r="DA503" s="13" t="s">
        <v>10348</v>
      </c>
      <c r="DB503" s="13" t="s">
        <v>10348</v>
      </c>
    </row>
    <row r="504" spans="1:106" s="13" customFormat="1" ht="12.75" customHeight="1" x14ac:dyDescent="0.2">
      <c r="A504" s="13" t="s">
        <v>102</v>
      </c>
      <c r="B504" s="13" t="s">
        <v>103</v>
      </c>
      <c r="D504" s="13" t="s">
        <v>5212</v>
      </c>
      <c r="E504" s="13" t="s">
        <v>228</v>
      </c>
      <c r="F504" s="13" t="s">
        <v>5212</v>
      </c>
      <c r="G504" s="13" t="s">
        <v>229</v>
      </c>
      <c r="H504" s="13" t="s">
        <v>7712</v>
      </c>
      <c r="J504" s="13" t="s">
        <v>106</v>
      </c>
      <c r="W504" s="13">
        <v>588</v>
      </c>
      <c r="X504" s="13">
        <v>588</v>
      </c>
      <c r="Y504" s="13" t="s">
        <v>107</v>
      </c>
      <c r="Z504" s="13" t="s">
        <v>108</v>
      </c>
      <c r="AA504" s="39" t="s">
        <v>107</v>
      </c>
      <c r="AB504" s="13" t="s">
        <v>6419</v>
      </c>
      <c r="AC504" s="13" t="s">
        <v>6419</v>
      </c>
      <c r="AD504" s="13" t="s">
        <v>6419</v>
      </c>
      <c r="AE504" s="39" t="s">
        <v>112</v>
      </c>
      <c r="AF504" s="13" t="s">
        <v>6419</v>
      </c>
      <c r="AG504" s="13" t="s">
        <v>6419</v>
      </c>
      <c r="AH504" s="13" t="s">
        <v>6420</v>
      </c>
      <c r="AL504" s="13" t="s">
        <v>6421</v>
      </c>
      <c r="AN504" s="13">
        <v>329</v>
      </c>
      <c r="AO504" s="13" t="s">
        <v>6422</v>
      </c>
      <c r="AQ504" s="13" t="s">
        <v>6419</v>
      </c>
      <c r="AR504" s="13" t="s">
        <v>6419</v>
      </c>
      <c r="AS504" s="13" t="s">
        <v>116</v>
      </c>
      <c r="AT504" s="13" t="s">
        <v>6423</v>
      </c>
      <c r="AU504" s="13" t="s">
        <v>6108</v>
      </c>
      <c r="AV504" s="13" t="s">
        <v>5772</v>
      </c>
      <c r="AW504" s="39" t="s">
        <v>5773</v>
      </c>
      <c r="AX504" s="39" t="s">
        <v>5774</v>
      </c>
      <c r="AY504" s="13" t="s">
        <v>6424</v>
      </c>
      <c r="AZ504" s="13" t="s">
        <v>6425</v>
      </c>
      <c r="BA504" s="13" t="s">
        <v>6425</v>
      </c>
      <c r="BB504" s="13" t="s">
        <v>6426</v>
      </c>
      <c r="BC504" s="13" t="s">
        <v>6427</v>
      </c>
      <c r="BD504" s="13">
        <f t="shared" si="18"/>
        <v>58</v>
      </c>
      <c r="BE504" s="17" t="s">
        <v>5221</v>
      </c>
      <c r="BF504" s="17" t="s">
        <v>5778</v>
      </c>
      <c r="BG504" s="17" t="s">
        <v>5996</v>
      </c>
      <c r="BH504" s="31" t="s">
        <v>2598</v>
      </c>
      <c r="BI504" s="17"/>
      <c r="BJ504" s="17" t="s">
        <v>6428</v>
      </c>
      <c r="BK504" s="17"/>
      <c r="BL504" s="17"/>
      <c r="BM504" s="17"/>
      <c r="BN504" s="17" t="s">
        <v>5998</v>
      </c>
      <c r="BO504" s="17" t="s">
        <v>6138</v>
      </c>
      <c r="BP504" s="17"/>
      <c r="BQ504" s="17"/>
      <c r="BR504" s="17"/>
      <c r="BS504" s="17" t="s">
        <v>127</v>
      </c>
      <c r="BT504" s="17" t="s">
        <v>5722</v>
      </c>
      <c r="BU504" s="17" t="s">
        <v>129</v>
      </c>
      <c r="BV504" s="17"/>
      <c r="BW504" s="17"/>
      <c r="BX504" s="25" t="s">
        <v>6429</v>
      </c>
      <c r="BY504" s="13" t="s">
        <v>6001</v>
      </c>
      <c r="DA504" s="13" t="s">
        <v>10348</v>
      </c>
      <c r="DB504" s="13" t="s">
        <v>10348</v>
      </c>
    </row>
    <row r="505" spans="1:106" s="13" customFormat="1" ht="12.75" customHeight="1" x14ac:dyDescent="0.2">
      <c r="A505" s="13" t="s">
        <v>102</v>
      </c>
      <c r="B505" s="13" t="s">
        <v>103</v>
      </c>
      <c r="D505" s="13" t="s">
        <v>5212</v>
      </c>
      <c r="E505" s="13" t="s">
        <v>228</v>
      </c>
      <c r="F505" s="13" t="s">
        <v>5212</v>
      </c>
      <c r="G505" s="13" t="s">
        <v>229</v>
      </c>
      <c r="H505" s="13" t="s">
        <v>7712</v>
      </c>
      <c r="J505" s="13" t="s">
        <v>106</v>
      </c>
      <c r="W505" s="13">
        <v>589</v>
      </c>
      <c r="X505" s="13">
        <v>589</v>
      </c>
      <c r="Y505" s="13" t="s">
        <v>107</v>
      </c>
      <c r="Z505" s="13" t="s">
        <v>108</v>
      </c>
      <c r="AA505" s="39" t="s">
        <v>107</v>
      </c>
      <c r="AB505" s="13" t="s">
        <v>6430</v>
      </c>
      <c r="AC505" s="13" t="s">
        <v>6430</v>
      </c>
      <c r="AD505" s="13" t="s">
        <v>6430</v>
      </c>
      <c r="AE505" s="39" t="s">
        <v>112</v>
      </c>
      <c r="AF505" s="13" t="s">
        <v>6430</v>
      </c>
      <c r="AG505" s="13" t="s">
        <v>6430</v>
      </c>
      <c r="AH505" s="13" t="s">
        <v>6431</v>
      </c>
      <c r="AL505" s="13" t="s">
        <v>6432</v>
      </c>
      <c r="AN505" s="13">
        <v>329</v>
      </c>
      <c r="AO505" s="13" t="s">
        <v>6433</v>
      </c>
      <c r="AQ505" s="13" t="s">
        <v>6430</v>
      </c>
      <c r="AR505" s="13" t="s">
        <v>6430</v>
      </c>
      <c r="AS505" s="13" t="s">
        <v>116</v>
      </c>
      <c r="AT505" s="13" t="s">
        <v>6434</v>
      </c>
      <c r="AU505" s="13" t="s">
        <v>6108</v>
      </c>
      <c r="AV505" s="13" t="s">
        <v>5772</v>
      </c>
      <c r="AW505" s="39" t="s">
        <v>5773</v>
      </c>
      <c r="AX505" s="39" t="s">
        <v>5774</v>
      </c>
      <c r="AY505" s="13" t="s">
        <v>6435</v>
      </c>
      <c r="AZ505" s="13" t="s">
        <v>6436</v>
      </c>
      <c r="BA505" s="13" t="s">
        <v>6436</v>
      </c>
      <c r="BB505" s="13" t="s">
        <v>6437</v>
      </c>
      <c r="BC505" s="13" t="s">
        <v>6438</v>
      </c>
      <c r="BD505" s="13">
        <f t="shared" si="18"/>
        <v>58</v>
      </c>
      <c r="BE505" s="17" t="s">
        <v>5221</v>
      </c>
      <c r="BF505" s="17" t="s">
        <v>5778</v>
      </c>
      <c r="BG505" s="17" t="s">
        <v>5996</v>
      </c>
      <c r="BH505" s="31" t="s">
        <v>2598</v>
      </c>
      <c r="BI505" s="17"/>
      <c r="BJ505" s="17" t="s">
        <v>6439</v>
      </c>
      <c r="BK505" s="17"/>
      <c r="BL505" s="17"/>
      <c r="BM505" s="17"/>
      <c r="BN505" s="17" t="s">
        <v>5998</v>
      </c>
      <c r="BO505" s="17" t="s">
        <v>6138</v>
      </c>
      <c r="BP505" s="17"/>
      <c r="BQ505" s="17"/>
      <c r="BR505" s="17"/>
      <c r="BS505" s="17" t="s">
        <v>127</v>
      </c>
      <c r="BT505" s="17" t="s">
        <v>5722</v>
      </c>
      <c r="BU505" s="17" t="s">
        <v>129</v>
      </c>
      <c r="BV505" s="17"/>
      <c r="BW505" s="17"/>
      <c r="BX505" s="25" t="s">
        <v>6440</v>
      </c>
      <c r="BY505" s="13" t="s">
        <v>6001</v>
      </c>
      <c r="DA505" s="13" t="s">
        <v>10348</v>
      </c>
      <c r="DB505" s="13" t="s">
        <v>10348</v>
      </c>
    </row>
    <row r="506" spans="1:106" s="13" customFormat="1" ht="12.75" customHeight="1" x14ac:dyDescent="0.2">
      <c r="A506" s="13" t="s">
        <v>102</v>
      </c>
      <c r="B506" s="13" t="s">
        <v>103</v>
      </c>
      <c r="D506" s="13" t="s">
        <v>5212</v>
      </c>
      <c r="E506" s="13" t="s">
        <v>228</v>
      </c>
      <c r="F506" s="13" t="s">
        <v>5212</v>
      </c>
      <c r="G506" s="13" t="s">
        <v>229</v>
      </c>
      <c r="H506" s="13" t="s">
        <v>7712</v>
      </c>
      <c r="J506" s="13" t="s">
        <v>106</v>
      </c>
      <c r="W506" s="13">
        <v>590</v>
      </c>
      <c r="X506" s="13">
        <v>590</v>
      </c>
      <c r="Y506" s="13" t="s">
        <v>107</v>
      </c>
      <c r="Z506" s="13" t="s">
        <v>108</v>
      </c>
      <c r="AA506" s="39" t="s">
        <v>107</v>
      </c>
      <c r="AB506" s="13" t="s">
        <v>6441</v>
      </c>
      <c r="AC506" s="13" t="s">
        <v>6441</v>
      </c>
      <c r="AD506" s="13" t="s">
        <v>6441</v>
      </c>
      <c r="AE506" s="39" t="s">
        <v>112</v>
      </c>
      <c r="AF506" s="13" t="s">
        <v>6441</v>
      </c>
      <c r="AG506" s="13" t="s">
        <v>6441</v>
      </c>
      <c r="AH506" s="13" t="s">
        <v>6442</v>
      </c>
      <c r="AL506" s="13" t="s">
        <v>6443</v>
      </c>
      <c r="AN506" s="13">
        <v>329</v>
      </c>
      <c r="AO506" s="13" t="s">
        <v>6444</v>
      </c>
      <c r="AQ506" s="13" t="s">
        <v>6441</v>
      </c>
      <c r="AR506" s="13" t="s">
        <v>6441</v>
      </c>
      <c r="AS506" s="13" t="s">
        <v>116</v>
      </c>
      <c r="AT506" s="13" t="s">
        <v>6445</v>
      </c>
      <c r="AU506" s="13" t="s">
        <v>6232</v>
      </c>
      <c r="AV506" s="13" t="s">
        <v>5772</v>
      </c>
      <c r="AW506" s="39" t="s">
        <v>5773</v>
      </c>
      <c r="AX506" s="39" t="s">
        <v>5774</v>
      </c>
      <c r="AY506" s="13" t="s">
        <v>6446</v>
      </c>
      <c r="AZ506" s="13" t="s">
        <v>6447</v>
      </c>
      <c r="BA506" s="13" t="s">
        <v>6447</v>
      </c>
      <c r="BB506" s="13" t="s">
        <v>6448</v>
      </c>
      <c r="BC506" s="13" t="s">
        <v>6449</v>
      </c>
      <c r="BD506" s="13">
        <f t="shared" si="18"/>
        <v>58</v>
      </c>
      <c r="BE506" s="17" t="s">
        <v>5221</v>
      </c>
      <c r="BF506" s="17" t="s">
        <v>5778</v>
      </c>
      <c r="BG506" s="17" t="s">
        <v>5996</v>
      </c>
      <c r="BH506" s="31" t="s">
        <v>2598</v>
      </c>
      <c r="BI506" s="17"/>
      <c r="BJ506" s="17" t="s">
        <v>6101</v>
      </c>
      <c r="BK506" s="17"/>
      <c r="BL506" s="17"/>
      <c r="BM506" s="17"/>
      <c r="BN506" s="17" t="s">
        <v>5998</v>
      </c>
      <c r="BO506" s="17" t="s">
        <v>6114</v>
      </c>
      <c r="BP506" s="17"/>
      <c r="BQ506" s="17"/>
      <c r="BR506" s="17"/>
      <c r="BS506" s="17" t="s">
        <v>127</v>
      </c>
      <c r="BT506" s="17" t="s">
        <v>5722</v>
      </c>
      <c r="BU506" s="17" t="s">
        <v>129</v>
      </c>
      <c r="BV506" s="17"/>
      <c r="BW506" s="17"/>
      <c r="BX506" s="25" t="s">
        <v>6450</v>
      </c>
      <c r="BY506" s="13" t="s">
        <v>6001</v>
      </c>
      <c r="DA506" s="13" t="s">
        <v>10348</v>
      </c>
      <c r="DB506" s="13" t="s">
        <v>10348</v>
      </c>
    </row>
    <row r="507" spans="1:106" s="13" customFormat="1" ht="12.75" customHeight="1" x14ac:dyDescent="0.2">
      <c r="A507" s="13" t="s">
        <v>102</v>
      </c>
      <c r="B507" s="13" t="s">
        <v>103</v>
      </c>
      <c r="D507" s="13" t="s">
        <v>5212</v>
      </c>
      <c r="E507" s="13" t="s">
        <v>228</v>
      </c>
      <c r="F507" s="13" t="s">
        <v>5212</v>
      </c>
      <c r="G507" s="13" t="s">
        <v>229</v>
      </c>
      <c r="H507" s="13" t="s">
        <v>7712</v>
      </c>
      <c r="J507" s="13" t="s">
        <v>106</v>
      </c>
      <c r="W507" s="13">
        <v>591</v>
      </c>
      <c r="X507" s="13">
        <v>591</v>
      </c>
      <c r="Y507" s="13" t="s">
        <v>107</v>
      </c>
      <c r="Z507" s="13" t="s">
        <v>108</v>
      </c>
      <c r="AA507" s="39" t="s">
        <v>107</v>
      </c>
      <c r="AB507" s="13" t="s">
        <v>6451</v>
      </c>
      <c r="AC507" s="13" t="s">
        <v>6451</v>
      </c>
      <c r="AD507" s="13" t="s">
        <v>6451</v>
      </c>
      <c r="AE507" s="39" t="s">
        <v>112</v>
      </c>
      <c r="AF507" s="13" t="s">
        <v>6451</v>
      </c>
      <c r="AG507" s="13" t="s">
        <v>6451</v>
      </c>
      <c r="AH507" s="13" t="s">
        <v>6452</v>
      </c>
      <c r="AL507" s="13" t="s">
        <v>6453</v>
      </c>
      <c r="AN507" s="13">
        <v>329</v>
      </c>
      <c r="AO507" s="13" t="s">
        <v>6454</v>
      </c>
      <c r="AQ507" s="13" t="s">
        <v>6451</v>
      </c>
      <c r="AR507" s="13" t="s">
        <v>6451</v>
      </c>
      <c r="AS507" s="13" t="s">
        <v>116</v>
      </c>
      <c r="AT507" s="13" t="s">
        <v>6455</v>
      </c>
      <c r="AU507" s="13" t="s">
        <v>6108</v>
      </c>
      <c r="AV507" s="13" t="s">
        <v>5772</v>
      </c>
      <c r="AW507" s="39" t="s">
        <v>5773</v>
      </c>
      <c r="AX507" s="39" t="s">
        <v>5774</v>
      </c>
      <c r="AY507" s="13" t="s">
        <v>6456</v>
      </c>
      <c r="AZ507" s="13" t="s">
        <v>6457</v>
      </c>
      <c r="BA507" s="13" t="s">
        <v>6457</v>
      </c>
      <c r="BB507" s="13" t="s">
        <v>6458</v>
      </c>
      <c r="BC507" s="13" t="s">
        <v>6459</v>
      </c>
      <c r="BD507" s="13">
        <f t="shared" si="18"/>
        <v>58</v>
      </c>
      <c r="BE507" s="17" t="s">
        <v>5221</v>
      </c>
      <c r="BF507" s="17" t="s">
        <v>5778</v>
      </c>
      <c r="BG507" s="17" t="s">
        <v>5996</v>
      </c>
      <c r="BH507" s="31" t="s">
        <v>2598</v>
      </c>
      <c r="BI507" s="17"/>
      <c r="BJ507" s="17" t="s">
        <v>6460</v>
      </c>
      <c r="BK507" s="17"/>
      <c r="BL507" s="17"/>
      <c r="BM507" s="17"/>
      <c r="BN507" s="17" t="s">
        <v>5998</v>
      </c>
      <c r="BO507" s="17" t="s">
        <v>6114</v>
      </c>
      <c r="BP507" s="17"/>
      <c r="BQ507" s="17"/>
      <c r="BR507" s="17"/>
      <c r="BS507" s="17" t="s">
        <v>127</v>
      </c>
      <c r="BT507" s="17" t="s">
        <v>5722</v>
      </c>
      <c r="BU507" s="17" t="s">
        <v>129</v>
      </c>
      <c r="BV507" s="17"/>
      <c r="BW507" s="17"/>
      <c r="BX507" s="25" t="s">
        <v>6461</v>
      </c>
      <c r="BY507" s="13" t="s">
        <v>6001</v>
      </c>
      <c r="DA507" s="13" t="s">
        <v>10348</v>
      </c>
      <c r="DB507" s="13" t="s">
        <v>10348</v>
      </c>
    </row>
    <row r="508" spans="1:106" s="13" customFormat="1" ht="12.75" customHeight="1" x14ac:dyDescent="0.2">
      <c r="A508" s="13" t="s">
        <v>102</v>
      </c>
      <c r="B508" s="13" t="s">
        <v>103</v>
      </c>
      <c r="D508" s="13" t="s">
        <v>5212</v>
      </c>
      <c r="E508" s="13" t="s">
        <v>228</v>
      </c>
      <c r="F508" s="13" t="s">
        <v>5212</v>
      </c>
      <c r="G508" s="13" t="s">
        <v>229</v>
      </c>
      <c r="H508" s="13" t="s">
        <v>7712</v>
      </c>
      <c r="J508" s="13" t="s">
        <v>106</v>
      </c>
      <c r="W508" s="13">
        <v>592</v>
      </c>
      <c r="X508" s="13">
        <v>592</v>
      </c>
      <c r="Y508" s="13" t="s">
        <v>107</v>
      </c>
      <c r="Z508" s="13" t="s">
        <v>108</v>
      </c>
      <c r="AA508" s="39" t="s">
        <v>107</v>
      </c>
      <c r="AB508" s="13" t="s">
        <v>6462</v>
      </c>
      <c r="AC508" s="13" t="s">
        <v>6462</v>
      </c>
      <c r="AD508" s="13" t="s">
        <v>6462</v>
      </c>
      <c r="AE508" s="39" t="s">
        <v>112</v>
      </c>
      <c r="AF508" s="13" t="s">
        <v>6462</v>
      </c>
      <c r="AG508" s="13" t="s">
        <v>6462</v>
      </c>
      <c r="AH508" s="13" t="s">
        <v>6463</v>
      </c>
      <c r="AL508" s="13" t="s">
        <v>6464</v>
      </c>
      <c r="AN508" s="13">
        <v>329</v>
      </c>
      <c r="AO508" s="13" t="s">
        <v>6465</v>
      </c>
      <c r="AQ508" s="13" t="s">
        <v>6462</v>
      </c>
      <c r="AR508" s="13" t="s">
        <v>6462</v>
      </c>
      <c r="AS508" s="13" t="s">
        <v>116</v>
      </c>
      <c r="AT508" s="13" t="s">
        <v>6466</v>
      </c>
      <c r="AU508" s="13" t="s">
        <v>6108</v>
      </c>
      <c r="AV508" s="13" t="s">
        <v>5772</v>
      </c>
      <c r="AW508" s="39" t="s">
        <v>5773</v>
      </c>
      <c r="AX508" s="39" t="s">
        <v>5774</v>
      </c>
      <c r="AY508" s="13" t="s">
        <v>6467</v>
      </c>
      <c r="AZ508" s="13" t="s">
        <v>6468</v>
      </c>
      <c r="BA508" s="13" t="s">
        <v>6468</v>
      </c>
      <c r="BB508" s="13" t="s">
        <v>6469</v>
      </c>
      <c r="BC508" s="13" t="s">
        <v>6470</v>
      </c>
      <c r="BD508" s="13">
        <f t="shared" si="18"/>
        <v>58</v>
      </c>
      <c r="BE508" s="17" t="s">
        <v>5221</v>
      </c>
      <c r="BF508" s="17" t="s">
        <v>5778</v>
      </c>
      <c r="BG508" s="17" t="s">
        <v>5996</v>
      </c>
      <c r="BH508" s="31" t="s">
        <v>2598</v>
      </c>
      <c r="BI508" s="17"/>
      <c r="BJ508" s="17" t="s">
        <v>6471</v>
      </c>
      <c r="BK508" s="17"/>
      <c r="BL508" s="17"/>
      <c r="BM508" s="17"/>
      <c r="BN508" s="17" t="s">
        <v>5998</v>
      </c>
      <c r="BO508" s="17" t="s">
        <v>6138</v>
      </c>
      <c r="BP508" s="17"/>
      <c r="BQ508" s="17"/>
      <c r="BR508" s="17"/>
      <c r="BS508" s="17" t="s">
        <v>127</v>
      </c>
      <c r="BT508" s="17" t="s">
        <v>5722</v>
      </c>
      <c r="BU508" s="17" t="s">
        <v>129</v>
      </c>
      <c r="BV508" s="17"/>
      <c r="BW508" s="17"/>
      <c r="BX508" s="25" t="s">
        <v>6472</v>
      </c>
      <c r="BY508" s="13" t="s">
        <v>6001</v>
      </c>
      <c r="DA508" s="13" t="s">
        <v>10348</v>
      </c>
      <c r="DB508" s="13" t="s">
        <v>10348</v>
      </c>
    </row>
    <row r="509" spans="1:106" s="13" customFormat="1" ht="12.75" customHeight="1" x14ac:dyDescent="0.2">
      <c r="A509" s="13" t="s">
        <v>102</v>
      </c>
      <c r="B509" s="13" t="s">
        <v>103</v>
      </c>
      <c r="D509" s="13" t="s">
        <v>5212</v>
      </c>
      <c r="E509" s="13" t="s">
        <v>228</v>
      </c>
      <c r="F509" s="13" t="s">
        <v>5212</v>
      </c>
      <c r="G509" s="13" t="s">
        <v>229</v>
      </c>
      <c r="H509" s="13" t="s">
        <v>7712</v>
      </c>
      <c r="J509" s="13" t="s">
        <v>106</v>
      </c>
      <c r="W509" s="13">
        <v>593</v>
      </c>
      <c r="X509" s="13">
        <v>593</v>
      </c>
      <c r="Y509" s="13" t="s">
        <v>107</v>
      </c>
      <c r="Z509" s="13" t="s">
        <v>108</v>
      </c>
      <c r="AA509" s="39" t="s">
        <v>107</v>
      </c>
      <c r="AB509" s="13" t="s">
        <v>6473</v>
      </c>
      <c r="AC509" s="13" t="s">
        <v>6473</v>
      </c>
      <c r="AD509" s="13" t="s">
        <v>6473</v>
      </c>
      <c r="AE509" s="39" t="s">
        <v>112</v>
      </c>
      <c r="AF509" s="13" t="s">
        <v>6473</v>
      </c>
      <c r="AG509" s="13" t="s">
        <v>6473</v>
      </c>
      <c r="AH509" s="13" t="s">
        <v>6474</v>
      </c>
      <c r="AL509" s="13" t="s">
        <v>6475</v>
      </c>
      <c r="AN509" s="13">
        <v>329</v>
      </c>
      <c r="AO509" s="13" t="s">
        <v>6476</v>
      </c>
      <c r="AQ509" s="13" t="s">
        <v>6473</v>
      </c>
      <c r="AR509" s="13" t="s">
        <v>6473</v>
      </c>
      <c r="AS509" s="13" t="s">
        <v>116</v>
      </c>
      <c r="AT509" s="13" t="s">
        <v>6477</v>
      </c>
      <c r="AU509" s="13" t="s">
        <v>6108</v>
      </c>
      <c r="AV509" s="13" t="s">
        <v>5772</v>
      </c>
      <c r="AW509" s="39" t="s">
        <v>5773</v>
      </c>
      <c r="AX509" s="39" t="s">
        <v>5774</v>
      </c>
      <c r="AY509" s="13" t="s">
        <v>6478</v>
      </c>
      <c r="AZ509" s="13" t="s">
        <v>6479</v>
      </c>
      <c r="BA509" s="13" t="s">
        <v>6479</v>
      </c>
      <c r="BB509" s="13" t="s">
        <v>6480</v>
      </c>
      <c r="BC509" s="13" t="s">
        <v>6481</v>
      </c>
      <c r="BD509" s="13">
        <f t="shared" si="18"/>
        <v>58</v>
      </c>
      <c r="BE509" s="17" t="s">
        <v>5221</v>
      </c>
      <c r="BF509" s="17" t="s">
        <v>5778</v>
      </c>
      <c r="BG509" s="17" t="s">
        <v>5996</v>
      </c>
      <c r="BH509" s="31" t="s">
        <v>2598</v>
      </c>
      <c r="BI509" s="17"/>
      <c r="BJ509" s="17" t="s">
        <v>6482</v>
      </c>
      <c r="BK509" s="17"/>
      <c r="BL509" s="17"/>
      <c r="BM509" s="17"/>
      <c r="BN509" s="17" t="s">
        <v>5998</v>
      </c>
      <c r="BO509" s="17" t="s">
        <v>6138</v>
      </c>
      <c r="BP509" s="17"/>
      <c r="BQ509" s="17"/>
      <c r="BR509" s="17"/>
      <c r="BS509" s="17" t="s">
        <v>127</v>
      </c>
      <c r="BT509" s="17" t="s">
        <v>5722</v>
      </c>
      <c r="BU509" s="17" t="s">
        <v>129</v>
      </c>
      <c r="BV509" s="17"/>
      <c r="BW509" s="17"/>
      <c r="BX509" s="25" t="s">
        <v>6483</v>
      </c>
      <c r="BY509" s="13" t="s">
        <v>6001</v>
      </c>
      <c r="DA509" s="13" t="s">
        <v>10348</v>
      </c>
      <c r="DB509" s="13" t="s">
        <v>10348</v>
      </c>
    </row>
    <row r="510" spans="1:106" s="13" customFormat="1" ht="12.75" customHeight="1" x14ac:dyDescent="0.2">
      <c r="A510" s="13" t="s">
        <v>102</v>
      </c>
      <c r="B510" s="13" t="s">
        <v>103</v>
      </c>
      <c r="D510" s="13" t="s">
        <v>5212</v>
      </c>
      <c r="E510" s="13" t="s">
        <v>228</v>
      </c>
      <c r="F510" s="13" t="s">
        <v>5212</v>
      </c>
      <c r="G510" s="13" t="s">
        <v>229</v>
      </c>
      <c r="H510" s="13" t="s">
        <v>7712</v>
      </c>
      <c r="J510" s="13" t="s">
        <v>106</v>
      </c>
      <c r="W510" s="13">
        <v>594</v>
      </c>
      <c r="X510" s="13">
        <v>594</v>
      </c>
      <c r="Y510" s="13" t="s">
        <v>107</v>
      </c>
      <c r="Z510" s="13" t="s">
        <v>108</v>
      </c>
      <c r="AA510" s="39" t="s">
        <v>107</v>
      </c>
      <c r="AB510" s="13" t="s">
        <v>6484</v>
      </c>
      <c r="AC510" s="13" t="s">
        <v>6484</v>
      </c>
      <c r="AD510" s="13" t="s">
        <v>6484</v>
      </c>
      <c r="AE510" s="39" t="s">
        <v>112</v>
      </c>
      <c r="AF510" s="13" t="s">
        <v>6484</v>
      </c>
      <c r="AG510" s="13" t="s">
        <v>6484</v>
      </c>
      <c r="AH510" s="13" t="s">
        <v>6485</v>
      </c>
      <c r="AL510" s="13" t="s">
        <v>6486</v>
      </c>
      <c r="AN510" s="13">
        <v>329</v>
      </c>
      <c r="AO510" s="13" t="s">
        <v>6487</v>
      </c>
      <c r="AQ510" s="13" t="s">
        <v>6484</v>
      </c>
      <c r="AR510" s="13" t="s">
        <v>6484</v>
      </c>
      <c r="AS510" s="13" t="s">
        <v>116</v>
      </c>
      <c r="AT510" s="13" t="s">
        <v>6488</v>
      </c>
      <c r="AU510" s="13" t="s">
        <v>6108</v>
      </c>
      <c r="AV510" s="13" t="s">
        <v>5772</v>
      </c>
      <c r="AW510" s="39" t="s">
        <v>5773</v>
      </c>
      <c r="AX510" s="39" t="s">
        <v>5774</v>
      </c>
      <c r="AY510" s="13" t="s">
        <v>6489</v>
      </c>
      <c r="AZ510" s="13" t="s">
        <v>6490</v>
      </c>
      <c r="BA510" s="13" t="s">
        <v>6490</v>
      </c>
      <c r="BB510" s="13" t="s">
        <v>6491</v>
      </c>
      <c r="BC510" s="13" t="s">
        <v>6492</v>
      </c>
      <c r="BD510" s="13">
        <f t="shared" si="18"/>
        <v>58</v>
      </c>
      <c r="BE510" s="17" t="s">
        <v>5221</v>
      </c>
      <c r="BF510" s="17" t="s">
        <v>5778</v>
      </c>
      <c r="BG510" s="17" t="s">
        <v>5996</v>
      </c>
      <c r="BH510" s="31" t="s">
        <v>2598</v>
      </c>
      <c r="BI510" s="17"/>
      <c r="BJ510" s="17" t="s">
        <v>6493</v>
      </c>
      <c r="BK510" s="17"/>
      <c r="BL510" s="17"/>
      <c r="BM510" s="17"/>
      <c r="BN510" s="17" t="s">
        <v>5998</v>
      </c>
      <c r="BO510" s="17" t="s">
        <v>6138</v>
      </c>
      <c r="BP510" s="17"/>
      <c r="BQ510" s="17"/>
      <c r="BR510" s="17"/>
      <c r="BS510" s="17" t="s">
        <v>127</v>
      </c>
      <c r="BT510" s="17" t="s">
        <v>5722</v>
      </c>
      <c r="BU510" s="17" t="s">
        <v>129</v>
      </c>
      <c r="BV510" s="17"/>
      <c r="BW510" s="17"/>
      <c r="BX510" s="25" t="s">
        <v>6494</v>
      </c>
      <c r="BY510" s="13" t="s">
        <v>6001</v>
      </c>
      <c r="DA510" s="13" t="s">
        <v>10348</v>
      </c>
      <c r="DB510" s="13" t="s">
        <v>10348</v>
      </c>
    </row>
    <row r="511" spans="1:106" s="13" customFormat="1" ht="12.75" customHeight="1" x14ac:dyDescent="0.2">
      <c r="A511" s="13" t="s">
        <v>102</v>
      </c>
      <c r="B511" s="13" t="s">
        <v>103</v>
      </c>
      <c r="D511" s="13" t="s">
        <v>937</v>
      </c>
      <c r="E511" s="17" t="s">
        <v>228</v>
      </c>
      <c r="F511" s="13" t="s">
        <v>937</v>
      </c>
      <c r="G511" s="17" t="s">
        <v>229</v>
      </c>
      <c r="H511" s="13" t="s">
        <v>7712</v>
      </c>
      <c r="I511" s="17"/>
      <c r="J511" s="13" t="s">
        <v>106</v>
      </c>
      <c r="W511" s="13">
        <v>595</v>
      </c>
      <c r="X511" s="13">
        <v>595</v>
      </c>
      <c r="Y511" s="13" t="s">
        <v>107</v>
      </c>
      <c r="Z511" s="13" t="s">
        <v>108</v>
      </c>
      <c r="AA511" s="29" t="s">
        <v>107</v>
      </c>
      <c r="AB511" s="13" t="s">
        <v>6495</v>
      </c>
      <c r="AC511" s="13" t="s">
        <v>6495</v>
      </c>
      <c r="AD511" s="13" t="s">
        <v>6495</v>
      </c>
      <c r="AE511" s="14" t="s">
        <v>112</v>
      </c>
      <c r="AF511" s="13" t="s">
        <v>6495</v>
      </c>
      <c r="AG511" s="32" t="s">
        <v>6495</v>
      </c>
      <c r="AH511" s="13" t="s">
        <v>6496</v>
      </c>
      <c r="AL511" s="13" t="s">
        <v>6497</v>
      </c>
      <c r="AN511" s="13">
        <v>329</v>
      </c>
      <c r="AO511" s="13" t="s">
        <v>6498</v>
      </c>
      <c r="AQ511" s="13" t="s">
        <v>6495</v>
      </c>
      <c r="AR511" s="13" t="s">
        <v>6495</v>
      </c>
      <c r="AS511" s="13" t="s">
        <v>116</v>
      </c>
      <c r="AT511" s="13" t="s">
        <v>6499</v>
      </c>
      <c r="AU511" s="13" t="s">
        <v>6500</v>
      </c>
      <c r="AV511" s="13" t="s">
        <v>2204</v>
      </c>
      <c r="AW511" s="24" t="s">
        <v>1691</v>
      </c>
      <c r="AX511" s="24" t="s">
        <v>1692</v>
      </c>
      <c r="AY511" s="13" t="s">
        <v>6501</v>
      </c>
      <c r="AZ511" s="13" t="s">
        <v>6502</v>
      </c>
      <c r="BA511" s="13" t="s">
        <v>6502</v>
      </c>
      <c r="BB511" s="13" t="s">
        <v>6503</v>
      </c>
      <c r="BC511" s="13" t="s">
        <v>6504</v>
      </c>
      <c r="BD511" s="16">
        <f t="shared" si="18"/>
        <v>56</v>
      </c>
      <c r="BE511" s="13" t="s">
        <v>1697</v>
      </c>
      <c r="BF511" s="13" t="s">
        <v>951</v>
      </c>
      <c r="BG511" s="13" t="s">
        <v>6505</v>
      </c>
      <c r="BJ511" s="13" t="s">
        <v>6506</v>
      </c>
      <c r="BO511" s="13" t="s">
        <v>6507</v>
      </c>
      <c r="BS511" s="13" t="s">
        <v>127</v>
      </c>
      <c r="BT511" s="13" t="s">
        <v>6508</v>
      </c>
      <c r="BU511" s="13" t="s">
        <v>129</v>
      </c>
      <c r="BX511" s="13" t="s">
        <v>6509</v>
      </c>
      <c r="DA511" s="13" t="s">
        <v>10348</v>
      </c>
      <c r="DB511" s="13" t="s">
        <v>10348</v>
      </c>
    </row>
    <row r="512" spans="1:106" s="13" customFormat="1" ht="12.75" customHeight="1" x14ac:dyDescent="0.2">
      <c r="A512" s="13" t="s">
        <v>102</v>
      </c>
      <c r="B512" s="13" t="s">
        <v>103</v>
      </c>
      <c r="D512" s="13" t="s">
        <v>937</v>
      </c>
      <c r="E512" s="17" t="s">
        <v>228</v>
      </c>
      <c r="F512" s="13" t="s">
        <v>937</v>
      </c>
      <c r="G512" s="17" t="s">
        <v>229</v>
      </c>
      <c r="H512" s="13" t="s">
        <v>7712</v>
      </c>
      <c r="I512" s="17"/>
      <c r="J512" s="13" t="s">
        <v>106</v>
      </c>
      <c r="W512" s="13">
        <v>596</v>
      </c>
      <c r="X512" s="13">
        <v>596</v>
      </c>
      <c r="Y512" s="13" t="s">
        <v>107</v>
      </c>
      <c r="Z512" s="13" t="s">
        <v>108</v>
      </c>
      <c r="AA512" s="29" t="s">
        <v>107</v>
      </c>
      <c r="AB512" s="13" t="s">
        <v>6510</v>
      </c>
      <c r="AC512" s="13" t="s">
        <v>6510</v>
      </c>
      <c r="AD512" s="13" t="s">
        <v>6510</v>
      </c>
      <c r="AE512" s="14" t="s">
        <v>112</v>
      </c>
      <c r="AF512" s="13" t="s">
        <v>6510</v>
      </c>
      <c r="AG512" s="32" t="s">
        <v>6510</v>
      </c>
      <c r="AH512" s="13" t="s">
        <v>6511</v>
      </c>
      <c r="AL512" s="13" t="s">
        <v>6512</v>
      </c>
      <c r="AN512" s="13">
        <v>329</v>
      </c>
      <c r="AO512" s="13" t="s">
        <v>6513</v>
      </c>
      <c r="AQ512" s="13" t="s">
        <v>6510</v>
      </c>
      <c r="AR512" s="13" t="s">
        <v>6510</v>
      </c>
      <c r="AS512" s="13" t="s">
        <v>116</v>
      </c>
      <c r="AT512" s="13" t="s">
        <v>6514</v>
      </c>
      <c r="AU512" s="13" t="s">
        <v>6500</v>
      </c>
      <c r="AV512" s="13" t="s">
        <v>2204</v>
      </c>
      <c r="AW512" s="24" t="s">
        <v>1691</v>
      </c>
      <c r="AX512" s="24" t="s">
        <v>1692</v>
      </c>
      <c r="AY512" s="13" t="s">
        <v>6515</v>
      </c>
      <c r="AZ512" s="13" t="s">
        <v>6516</v>
      </c>
      <c r="BA512" s="13" t="s">
        <v>6516</v>
      </c>
      <c r="BB512" s="13" t="s">
        <v>6517</v>
      </c>
      <c r="BC512" s="13" t="s">
        <v>6518</v>
      </c>
      <c r="BD512" s="16">
        <f t="shared" si="18"/>
        <v>56</v>
      </c>
      <c r="BE512" s="13" t="s">
        <v>1697</v>
      </c>
      <c r="BF512" s="13" t="s">
        <v>951</v>
      </c>
      <c r="BG512" s="13" t="s">
        <v>6505</v>
      </c>
      <c r="BJ512" s="13" t="s">
        <v>6519</v>
      </c>
      <c r="BO512" s="13" t="s">
        <v>6507</v>
      </c>
      <c r="BS512" s="13" t="s">
        <v>127</v>
      </c>
      <c r="BT512" s="13" t="s">
        <v>6508</v>
      </c>
      <c r="BU512" s="13" t="s">
        <v>129</v>
      </c>
      <c r="BX512" s="13" t="s">
        <v>6520</v>
      </c>
      <c r="DA512" s="13" t="s">
        <v>10348</v>
      </c>
      <c r="DB512" s="13" t="s">
        <v>10348</v>
      </c>
    </row>
    <row r="513" spans="1:106" s="13" customFormat="1" ht="12.75" customHeight="1" x14ac:dyDescent="0.2">
      <c r="A513" s="13" t="s">
        <v>102</v>
      </c>
      <c r="B513" s="13" t="s">
        <v>103</v>
      </c>
      <c r="D513" s="13" t="s">
        <v>937</v>
      </c>
      <c r="E513" s="17" t="s">
        <v>228</v>
      </c>
      <c r="F513" s="13" t="s">
        <v>937</v>
      </c>
      <c r="G513" s="17" t="s">
        <v>229</v>
      </c>
      <c r="H513" s="13" t="s">
        <v>7712</v>
      </c>
      <c r="I513" s="17"/>
      <c r="J513" s="13" t="s">
        <v>106</v>
      </c>
      <c r="W513" s="13">
        <v>597</v>
      </c>
      <c r="X513" s="13">
        <v>597</v>
      </c>
      <c r="Y513" s="13" t="s">
        <v>107</v>
      </c>
      <c r="Z513" s="13" t="s">
        <v>108</v>
      </c>
      <c r="AA513" s="29" t="s">
        <v>107</v>
      </c>
      <c r="AB513" s="13" t="s">
        <v>6521</v>
      </c>
      <c r="AC513" s="13" t="s">
        <v>6521</v>
      </c>
      <c r="AD513" s="13" t="s">
        <v>6521</v>
      </c>
      <c r="AE513" s="14" t="s">
        <v>112</v>
      </c>
      <c r="AF513" s="13" t="s">
        <v>6521</v>
      </c>
      <c r="AG513" s="32" t="s">
        <v>6521</v>
      </c>
      <c r="AH513" s="13" t="s">
        <v>6522</v>
      </c>
      <c r="AL513" s="13" t="s">
        <v>6523</v>
      </c>
      <c r="AN513" s="13">
        <v>329</v>
      </c>
      <c r="AO513" s="13" t="s">
        <v>6524</v>
      </c>
      <c r="AQ513" s="13" t="s">
        <v>6521</v>
      </c>
      <c r="AR513" s="13" t="s">
        <v>6521</v>
      </c>
      <c r="AS513" s="13" t="s">
        <v>116</v>
      </c>
      <c r="AT513" s="13" t="s">
        <v>6525</v>
      </c>
      <c r="AU513" s="13" t="s">
        <v>6500</v>
      </c>
      <c r="AV513" s="13" t="s">
        <v>2204</v>
      </c>
      <c r="AW513" s="24" t="s">
        <v>1691</v>
      </c>
      <c r="AX513" s="24" t="s">
        <v>1692</v>
      </c>
      <c r="AY513" s="13" t="s">
        <v>6526</v>
      </c>
      <c r="AZ513" s="13" t="s">
        <v>6527</v>
      </c>
      <c r="BA513" s="13" t="s">
        <v>6527</v>
      </c>
      <c r="BB513" s="13" t="s">
        <v>6528</v>
      </c>
      <c r="BC513" s="13" t="s">
        <v>6529</v>
      </c>
      <c r="BD513" s="16">
        <f t="shared" si="18"/>
        <v>56</v>
      </c>
      <c r="BE513" s="13" t="s">
        <v>1697</v>
      </c>
      <c r="BF513" s="13" t="s">
        <v>951</v>
      </c>
      <c r="BG513" s="13" t="s">
        <v>6505</v>
      </c>
      <c r="BJ513" s="13" t="s">
        <v>6530</v>
      </c>
      <c r="BO513" s="13" t="s">
        <v>6507</v>
      </c>
      <c r="BS513" s="13" t="s">
        <v>127</v>
      </c>
      <c r="BT513" s="13" t="s">
        <v>6508</v>
      </c>
      <c r="BU513" s="13" t="s">
        <v>129</v>
      </c>
      <c r="BX513" s="13" t="s">
        <v>6531</v>
      </c>
      <c r="DA513" s="13" t="s">
        <v>10348</v>
      </c>
      <c r="DB513" s="13" t="s">
        <v>10348</v>
      </c>
    </row>
    <row r="514" spans="1:106" s="13" customFormat="1" ht="12.75" customHeight="1" x14ac:dyDescent="0.2">
      <c r="A514" s="13" t="s">
        <v>102</v>
      </c>
      <c r="B514" s="13" t="s">
        <v>103</v>
      </c>
      <c r="D514" s="13" t="s">
        <v>937</v>
      </c>
      <c r="E514" s="17" t="s">
        <v>228</v>
      </c>
      <c r="F514" s="13" t="s">
        <v>937</v>
      </c>
      <c r="G514" s="17" t="s">
        <v>229</v>
      </c>
      <c r="H514" s="13" t="s">
        <v>7712</v>
      </c>
      <c r="I514" s="17"/>
      <c r="J514" s="13" t="s">
        <v>106</v>
      </c>
      <c r="W514" s="13">
        <v>598</v>
      </c>
      <c r="X514" s="13">
        <v>598</v>
      </c>
      <c r="Y514" s="13" t="s">
        <v>107</v>
      </c>
      <c r="Z514" s="13" t="s">
        <v>108</v>
      </c>
      <c r="AA514" s="29" t="s">
        <v>107</v>
      </c>
      <c r="AB514" s="13" t="s">
        <v>6532</v>
      </c>
      <c r="AC514" s="13" t="s">
        <v>6532</v>
      </c>
      <c r="AD514" s="13" t="s">
        <v>6532</v>
      </c>
      <c r="AE514" s="14" t="s">
        <v>112</v>
      </c>
      <c r="AF514" s="13" t="s">
        <v>6532</v>
      </c>
      <c r="AG514" s="32" t="s">
        <v>6532</v>
      </c>
      <c r="AH514" s="13" t="s">
        <v>6533</v>
      </c>
      <c r="AL514" s="13" t="s">
        <v>6534</v>
      </c>
      <c r="AN514" s="13">
        <v>329</v>
      </c>
      <c r="AO514" s="13" t="s">
        <v>6535</v>
      </c>
      <c r="AQ514" s="13" t="s">
        <v>6532</v>
      </c>
      <c r="AR514" s="13" t="s">
        <v>6532</v>
      </c>
      <c r="AS514" s="13" t="s">
        <v>116</v>
      </c>
      <c r="AT514" s="13" t="s">
        <v>6536</v>
      </c>
      <c r="AU514" s="13" t="s">
        <v>6500</v>
      </c>
      <c r="AV514" s="13" t="s">
        <v>2204</v>
      </c>
      <c r="AW514" s="24" t="s">
        <v>1691</v>
      </c>
      <c r="AX514" s="24" t="s">
        <v>1692</v>
      </c>
      <c r="AY514" s="13" t="s">
        <v>6537</v>
      </c>
      <c r="AZ514" s="13" t="s">
        <v>6538</v>
      </c>
      <c r="BA514" s="13" t="s">
        <v>6538</v>
      </c>
      <c r="BB514" s="13" t="s">
        <v>6539</v>
      </c>
      <c r="BC514" s="13" t="s">
        <v>6540</v>
      </c>
      <c r="BD514" s="16">
        <f t="shared" si="18"/>
        <v>56</v>
      </c>
      <c r="BE514" s="13" t="s">
        <v>1697</v>
      </c>
      <c r="BF514" s="13" t="s">
        <v>951</v>
      </c>
      <c r="BG514" s="13" t="s">
        <v>6505</v>
      </c>
      <c r="BJ514" s="13" t="s">
        <v>5884</v>
      </c>
      <c r="BO514" s="13" t="s">
        <v>6507</v>
      </c>
      <c r="BS514" s="13" t="s">
        <v>127</v>
      </c>
      <c r="BT514" s="13" t="s">
        <v>6508</v>
      </c>
      <c r="BU514" s="13" t="s">
        <v>129</v>
      </c>
      <c r="BX514" s="13" t="s">
        <v>6541</v>
      </c>
      <c r="DA514" s="13" t="s">
        <v>10348</v>
      </c>
      <c r="DB514" s="13" t="s">
        <v>10348</v>
      </c>
    </row>
    <row r="515" spans="1:106" s="13" customFormat="1" ht="12.75" customHeight="1" x14ac:dyDescent="0.2">
      <c r="A515" s="13" t="s">
        <v>102</v>
      </c>
      <c r="B515" s="13" t="s">
        <v>103</v>
      </c>
      <c r="D515" s="13" t="s">
        <v>937</v>
      </c>
      <c r="E515" s="17" t="s">
        <v>228</v>
      </c>
      <c r="F515" s="13" t="s">
        <v>937</v>
      </c>
      <c r="G515" s="17" t="s">
        <v>229</v>
      </c>
      <c r="H515" s="13" t="s">
        <v>7712</v>
      </c>
      <c r="I515" s="17"/>
      <c r="J515" s="13" t="s">
        <v>106</v>
      </c>
      <c r="W515" s="13">
        <v>599</v>
      </c>
      <c r="X515" s="13">
        <v>599</v>
      </c>
      <c r="Y515" s="13" t="s">
        <v>107</v>
      </c>
      <c r="Z515" s="13" t="s">
        <v>108</v>
      </c>
      <c r="AA515" s="29" t="s">
        <v>107</v>
      </c>
      <c r="AB515" s="13" t="s">
        <v>6542</v>
      </c>
      <c r="AC515" s="13" t="s">
        <v>6542</v>
      </c>
      <c r="AD515" s="13" t="s">
        <v>6542</v>
      </c>
      <c r="AE515" s="14" t="s">
        <v>112</v>
      </c>
      <c r="AF515" s="13" t="s">
        <v>6542</v>
      </c>
      <c r="AG515" s="32" t="s">
        <v>6542</v>
      </c>
      <c r="AH515" s="13" t="s">
        <v>6543</v>
      </c>
      <c r="AL515" s="13" t="s">
        <v>6544</v>
      </c>
      <c r="AN515" s="13">
        <v>329</v>
      </c>
      <c r="AO515" s="13" t="s">
        <v>6545</v>
      </c>
      <c r="AQ515" s="13" t="s">
        <v>6542</v>
      </c>
      <c r="AR515" s="13" t="s">
        <v>6542</v>
      </c>
      <c r="AS515" s="13" t="s">
        <v>116</v>
      </c>
      <c r="AT515" s="13" t="s">
        <v>6546</v>
      </c>
      <c r="AU515" s="13" t="s">
        <v>6500</v>
      </c>
      <c r="AV515" s="13" t="s">
        <v>2204</v>
      </c>
      <c r="AW515" s="24" t="s">
        <v>1691</v>
      </c>
      <c r="AX515" s="24" t="s">
        <v>1692</v>
      </c>
      <c r="AY515" s="13" t="s">
        <v>6547</v>
      </c>
      <c r="AZ515" s="13" t="s">
        <v>6548</v>
      </c>
      <c r="BA515" s="13" t="s">
        <v>6548</v>
      </c>
      <c r="BB515" s="13" t="s">
        <v>6549</v>
      </c>
      <c r="BC515" s="13" t="s">
        <v>6550</v>
      </c>
      <c r="BD515" s="16">
        <f t="shared" si="18"/>
        <v>56</v>
      </c>
      <c r="BE515" s="13" t="s">
        <v>1697</v>
      </c>
      <c r="BF515" s="13" t="s">
        <v>951</v>
      </c>
      <c r="BG515" s="13" t="s">
        <v>6505</v>
      </c>
      <c r="BJ515" s="13" t="s">
        <v>2241</v>
      </c>
      <c r="BO515" s="13" t="s">
        <v>6507</v>
      </c>
      <c r="BS515" s="13" t="s">
        <v>127</v>
      </c>
      <c r="BT515" s="13" t="s">
        <v>6508</v>
      </c>
      <c r="BU515" s="13" t="s">
        <v>129</v>
      </c>
      <c r="BX515" s="13" t="s">
        <v>6551</v>
      </c>
      <c r="DA515" s="13" t="s">
        <v>10348</v>
      </c>
      <c r="DB515" s="13" t="s">
        <v>10348</v>
      </c>
    </row>
    <row r="516" spans="1:106" s="13" customFormat="1" ht="12.75" customHeight="1" x14ac:dyDescent="0.2">
      <c r="A516" s="13" t="s">
        <v>102</v>
      </c>
      <c r="B516" s="13" t="s">
        <v>103</v>
      </c>
      <c r="D516" s="13" t="s">
        <v>937</v>
      </c>
      <c r="E516" s="17" t="s">
        <v>228</v>
      </c>
      <c r="F516" s="13" t="s">
        <v>937</v>
      </c>
      <c r="G516" s="17" t="s">
        <v>229</v>
      </c>
      <c r="H516" s="13" t="s">
        <v>7712</v>
      </c>
      <c r="I516" s="17"/>
      <c r="J516" s="13" t="s">
        <v>106</v>
      </c>
      <c r="W516" s="13">
        <v>600</v>
      </c>
      <c r="X516" s="13">
        <v>600</v>
      </c>
      <c r="Y516" s="13" t="s">
        <v>107</v>
      </c>
      <c r="Z516" s="13" t="s">
        <v>108</v>
      </c>
      <c r="AA516" s="29" t="s">
        <v>107</v>
      </c>
      <c r="AB516" s="13" t="s">
        <v>6552</v>
      </c>
      <c r="AC516" s="13" t="s">
        <v>6552</v>
      </c>
      <c r="AD516" s="13" t="s">
        <v>6552</v>
      </c>
      <c r="AE516" s="14" t="s">
        <v>112</v>
      </c>
      <c r="AF516" s="13" t="s">
        <v>6552</v>
      </c>
      <c r="AG516" s="32" t="s">
        <v>6552</v>
      </c>
      <c r="AH516" s="13" t="s">
        <v>6553</v>
      </c>
      <c r="AL516" s="13" t="s">
        <v>6554</v>
      </c>
      <c r="AN516" s="13">
        <v>329</v>
      </c>
      <c r="AO516" s="13" t="s">
        <v>6555</v>
      </c>
      <c r="AQ516" s="13" t="s">
        <v>6552</v>
      </c>
      <c r="AR516" s="13" t="s">
        <v>6552</v>
      </c>
      <c r="AS516" s="13" t="s">
        <v>116</v>
      </c>
      <c r="AT516" s="13" t="s">
        <v>6556</v>
      </c>
      <c r="AU516" s="13" t="s">
        <v>6500</v>
      </c>
      <c r="AV516" s="13" t="s">
        <v>2204</v>
      </c>
      <c r="AW516" s="24" t="s">
        <v>1691</v>
      </c>
      <c r="AX516" s="24" t="s">
        <v>1692</v>
      </c>
      <c r="AY516" s="13" t="s">
        <v>6557</v>
      </c>
      <c r="AZ516" s="13" t="s">
        <v>6558</v>
      </c>
      <c r="BA516" s="13" t="s">
        <v>6558</v>
      </c>
      <c r="BB516" s="13" t="s">
        <v>6559</v>
      </c>
      <c r="BC516" s="13" t="s">
        <v>6560</v>
      </c>
      <c r="BD516" s="16">
        <f t="shared" si="18"/>
        <v>56</v>
      </c>
      <c r="BE516" s="13" t="s">
        <v>1697</v>
      </c>
      <c r="BF516" s="13" t="s">
        <v>951</v>
      </c>
      <c r="BG516" s="13" t="s">
        <v>6505</v>
      </c>
      <c r="BJ516" s="13" t="s">
        <v>6561</v>
      </c>
      <c r="BO516" s="13" t="s">
        <v>6507</v>
      </c>
      <c r="BS516" s="13" t="s">
        <v>127</v>
      </c>
      <c r="BT516" s="13" t="s">
        <v>6508</v>
      </c>
      <c r="BU516" s="13" t="s">
        <v>129</v>
      </c>
      <c r="BX516" s="13" t="s">
        <v>6562</v>
      </c>
      <c r="DA516" s="13" t="s">
        <v>10348</v>
      </c>
      <c r="DB516" s="13" t="s">
        <v>10348</v>
      </c>
    </row>
    <row r="517" spans="1:106" s="13" customFormat="1" ht="12.75" customHeight="1" x14ac:dyDescent="0.2">
      <c r="A517" s="13" t="s">
        <v>102</v>
      </c>
      <c r="B517" s="13" t="s">
        <v>103</v>
      </c>
      <c r="D517" s="13" t="s">
        <v>937</v>
      </c>
      <c r="E517" s="17" t="s">
        <v>228</v>
      </c>
      <c r="F517" s="13" t="s">
        <v>937</v>
      </c>
      <c r="G517" s="17" t="s">
        <v>229</v>
      </c>
      <c r="H517" s="13" t="s">
        <v>7712</v>
      </c>
      <c r="I517" s="17"/>
      <c r="J517" s="13" t="s">
        <v>106</v>
      </c>
      <c r="W517" s="13">
        <v>601</v>
      </c>
      <c r="X517" s="13">
        <v>601</v>
      </c>
      <c r="Y517" s="13" t="s">
        <v>107</v>
      </c>
      <c r="Z517" s="13" t="s">
        <v>108</v>
      </c>
      <c r="AA517" s="29" t="s">
        <v>107</v>
      </c>
      <c r="AB517" s="13" t="s">
        <v>6563</v>
      </c>
      <c r="AC517" s="13" t="s">
        <v>6563</v>
      </c>
      <c r="AD517" s="13" t="s">
        <v>6563</v>
      </c>
      <c r="AE517" s="14" t="s">
        <v>112</v>
      </c>
      <c r="AF517" s="13" t="s">
        <v>6563</v>
      </c>
      <c r="AG517" s="32" t="s">
        <v>6563</v>
      </c>
      <c r="AH517" s="13" t="s">
        <v>6564</v>
      </c>
      <c r="AL517" s="13" t="s">
        <v>6565</v>
      </c>
      <c r="AN517" s="13">
        <v>329</v>
      </c>
      <c r="AO517" s="13" t="s">
        <v>6566</v>
      </c>
      <c r="AQ517" s="13" t="s">
        <v>6563</v>
      </c>
      <c r="AR517" s="13" t="s">
        <v>6563</v>
      </c>
      <c r="AS517" s="13" t="s">
        <v>116</v>
      </c>
      <c r="AT517" s="13" t="s">
        <v>6567</v>
      </c>
      <c r="AU517" s="13" t="s">
        <v>6500</v>
      </c>
      <c r="AV517" s="13" t="s">
        <v>2204</v>
      </c>
      <c r="AW517" s="24" t="s">
        <v>1691</v>
      </c>
      <c r="AX517" s="24" t="s">
        <v>1692</v>
      </c>
      <c r="AY517" s="13" t="s">
        <v>6568</v>
      </c>
      <c r="AZ517" s="13" t="s">
        <v>6569</v>
      </c>
      <c r="BA517" s="13" t="s">
        <v>6569</v>
      </c>
      <c r="BB517" s="13" t="s">
        <v>6570</v>
      </c>
      <c r="BC517" s="13" t="s">
        <v>6571</v>
      </c>
      <c r="BD517" s="16">
        <f t="shared" si="18"/>
        <v>56</v>
      </c>
      <c r="BE517" s="13" t="s">
        <v>1697</v>
      </c>
      <c r="BF517" s="13" t="s">
        <v>951</v>
      </c>
      <c r="BG517" s="13" t="s">
        <v>6505</v>
      </c>
      <c r="BJ517" s="13" t="s">
        <v>6572</v>
      </c>
      <c r="BO517" s="13" t="s">
        <v>6507</v>
      </c>
      <c r="BS517" s="13" t="s">
        <v>127</v>
      </c>
      <c r="BT517" s="13" t="s">
        <v>6508</v>
      </c>
      <c r="BU517" s="13" t="s">
        <v>129</v>
      </c>
      <c r="BX517" s="13" t="s">
        <v>6573</v>
      </c>
      <c r="DA517" s="13" t="s">
        <v>10348</v>
      </c>
      <c r="DB517" s="13" t="s">
        <v>10348</v>
      </c>
    </row>
    <row r="518" spans="1:106" s="13" customFormat="1" ht="12.75" customHeight="1" x14ac:dyDescent="0.2">
      <c r="A518" s="13" t="s">
        <v>102</v>
      </c>
      <c r="B518" s="13" t="s">
        <v>103</v>
      </c>
      <c r="D518" s="13" t="s">
        <v>937</v>
      </c>
      <c r="E518" s="17" t="s">
        <v>228</v>
      </c>
      <c r="F518" s="13" t="s">
        <v>937</v>
      </c>
      <c r="G518" s="17" t="s">
        <v>229</v>
      </c>
      <c r="H518" s="13" t="s">
        <v>7712</v>
      </c>
      <c r="I518" s="17"/>
      <c r="J518" s="13" t="s">
        <v>106</v>
      </c>
      <c r="W518" s="13">
        <v>602</v>
      </c>
      <c r="X518" s="13">
        <v>602</v>
      </c>
      <c r="Y518" s="13" t="s">
        <v>107</v>
      </c>
      <c r="Z518" s="13" t="s">
        <v>108</v>
      </c>
      <c r="AA518" s="29" t="s">
        <v>107</v>
      </c>
      <c r="AB518" s="13" t="s">
        <v>6574</v>
      </c>
      <c r="AC518" s="13" t="s">
        <v>6574</v>
      </c>
      <c r="AD518" s="13" t="s">
        <v>6574</v>
      </c>
      <c r="AE518" s="14" t="s">
        <v>112</v>
      </c>
      <c r="AF518" s="13" t="s">
        <v>6574</v>
      </c>
      <c r="AG518" s="32" t="s">
        <v>6574</v>
      </c>
      <c r="AH518" s="13" t="s">
        <v>6575</v>
      </c>
      <c r="AL518" s="13" t="s">
        <v>6576</v>
      </c>
      <c r="AN518" s="13">
        <v>329</v>
      </c>
      <c r="AO518" s="13" t="s">
        <v>6577</v>
      </c>
      <c r="AQ518" s="13" t="s">
        <v>6574</v>
      </c>
      <c r="AR518" s="13" t="s">
        <v>6574</v>
      </c>
      <c r="AS518" s="13" t="s">
        <v>116</v>
      </c>
      <c r="AT518" s="13" t="s">
        <v>6578</v>
      </c>
      <c r="AU518" s="13" t="s">
        <v>6500</v>
      </c>
      <c r="AV518" s="13" t="s">
        <v>2204</v>
      </c>
      <c r="AW518" s="24" t="s">
        <v>1691</v>
      </c>
      <c r="AX518" s="24" t="s">
        <v>1692</v>
      </c>
      <c r="AY518" s="13" t="s">
        <v>6579</v>
      </c>
      <c r="AZ518" s="13" t="s">
        <v>6580</v>
      </c>
      <c r="BA518" s="13" t="s">
        <v>6580</v>
      </c>
      <c r="BB518" s="13" t="s">
        <v>6581</v>
      </c>
      <c r="BC518" s="13" t="s">
        <v>6582</v>
      </c>
      <c r="BD518" s="16">
        <f t="shared" si="18"/>
        <v>56</v>
      </c>
      <c r="BE518" s="13" t="s">
        <v>1697</v>
      </c>
      <c r="BF518" s="13" t="s">
        <v>951</v>
      </c>
      <c r="BG518" s="13" t="s">
        <v>6505</v>
      </c>
      <c r="BJ518" s="13" t="s">
        <v>6583</v>
      </c>
      <c r="BO518" s="13" t="s">
        <v>6507</v>
      </c>
      <c r="BS518" s="13" t="s">
        <v>127</v>
      </c>
      <c r="BT518" s="13" t="s">
        <v>6508</v>
      </c>
      <c r="BU518" s="13" t="s">
        <v>129</v>
      </c>
      <c r="BX518" s="13" t="s">
        <v>6584</v>
      </c>
      <c r="DA518" s="13" t="s">
        <v>10348</v>
      </c>
      <c r="DB518" s="13" t="s">
        <v>10348</v>
      </c>
    </row>
    <row r="519" spans="1:106" s="13" customFormat="1" ht="12.75" customHeight="1" x14ac:dyDescent="0.2">
      <c r="A519" s="13" t="s">
        <v>102</v>
      </c>
      <c r="B519" s="13" t="s">
        <v>103</v>
      </c>
      <c r="D519" s="13" t="s">
        <v>937</v>
      </c>
      <c r="E519" s="17" t="s">
        <v>228</v>
      </c>
      <c r="F519" s="13" t="s">
        <v>937</v>
      </c>
      <c r="G519" s="17" t="s">
        <v>229</v>
      </c>
      <c r="H519" s="13" t="s">
        <v>7712</v>
      </c>
      <c r="I519" s="17"/>
      <c r="J519" s="13" t="s">
        <v>106</v>
      </c>
      <c r="W519" s="13">
        <v>603</v>
      </c>
      <c r="X519" s="13">
        <v>603</v>
      </c>
      <c r="Y519" s="13" t="s">
        <v>107</v>
      </c>
      <c r="Z519" s="13" t="s">
        <v>108</v>
      </c>
      <c r="AA519" s="29" t="s">
        <v>107</v>
      </c>
      <c r="AB519" s="13" t="s">
        <v>6585</v>
      </c>
      <c r="AC519" s="13" t="s">
        <v>6585</v>
      </c>
      <c r="AD519" s="13" t="s">
        <v>6585</v>
      </c>
      <c r="AE519" s="14" t="s">
        <v>112</v>
      </c>
      <c r="AF519" s="13" t="s">
        <v>6585</v>
      </c>
      <c r="AG519" s="32" t="s">
        <v>6585</v>
      </c>
      <c r="AH519" s="13" t="s">
        <v>6586</v>
      </c>
      <c r="AL519" s="13" t="s">
        <v>6587</v>
      </c>
      <c r="AN519" s="13">
        <v>329</v>
      </c>
      <c r="AO519" s="13" t="s">
        <v>6588</v>
      </c>
      <c r="AQ519" s="13" t="s">
        <v>6585</v>
      </c>
      <c r="AR519" s="13" t="s">
        <v>6585</v>
      </c>
      <c r="AS519" s="13" t="s">
        <v>116</v>
      </c>
      <c r="AT519" s="13" t="s">
        <v>6589</v>
      </c>
      <c r="AU519" s="13" t="s">
        <v>6500</v>
      </c>
      <c r="AV519" s="13" t="s">
        <v>2204</v>
      </c>
      <c r="AW519" s="24" t="s">
        <v>1691</v>
      </c>
      <c r="AX519" s="24" t="s">
        <v>1692</v>
      </c>
      <c r="AY519" s="13" t="s">
        <v>6590</v>
      </c>
      <c r="AZ519" s="13" t="s">
        <v>6591</v>
      </c>
      <c r="BA519" s="13" t="s">
        <v>6591</v>
      </c>
      <c r="BB519" s="13" t="s">
        <v>6592</v>
      </c>
      <c r="BC519" s="13" t="s">
        <v>6593</v>
      </c>
      <c r="BD519" s="16">
        <f t="shared" si="18"/>
        <v>56</v>
      </c>
      <c r="BE519" s="13" t="s">
        <v>1697</v>
      </c>
      <c r="BF519" s="13" t="s">
        <v>951</v>
      </c>
      <c r="BG519" s="13" t="s">
        <v>6505</v>
      </c>
      <c r="BJ519" s="13" t="s">
        <v>2211</v>
      </c>
      <c r="BO519" s="13" t="s">
        <v>6507</v>
      </c>
      <c r="BS519" s="13" t="s">
        <v>127</v>
      </c>
      <c r="BT519" s="13" t="s">
        <v>6508</v>
      </c>
      <c r="BU519" s="13" t="s">
        <v>129</v>
      </c>
      <c r="BX519" s="13" t="s">
        <v>6594</v>
      </c>
      <c r="DA519" s="13" t="s">
        <v>10348</v>
      </c>
      <c r="DB519" s="13" t="s">
        <v>10348</v>
      </c>
    </row>
    <row r="520" spans="1:106" s="13" customFormat="1" ht="12.75" customHeight="1" x14ac:dyDescent="0.2">
      <c r="A520" s="13" t="s">
        <v>102</v>
      </c>
      <c r="B520" s="13" t="s">
        <v>103</v>
      </c>
      <c r="D520" s="13" t="s">
        <v>937</v>
      </c>
      <c r="E520" s="17" t="s">
        <v>228</v>
      </c>
      <c r="F520" s="13" t="s">
        <v>937</v>
      </c>
      <c r="G520" s="17" t="s">
        <v>229</v>
      </c>
      <c r="H520" s="13" t="s">
        <v>7712</v>
      </c>
      <c r="I520" s="17"/>
      <c r="J520" s="13" t="s">
        <v>106</v>
      </c>
      <c r="W520" s="13">
        <v>604</v>
      </c>
      <c r="X520" s="13">
        <v>604</v>
      </c>
      <c r="Y520" s="13" t="s">
        <v>107</v>
      </c>
      <c r="Z520" s="13" t="s">
        <v>108</v>
      </c>
      <c r="AA520" s="29" t="s">
        <v>107</v>
      </c>
      <c r="AB520" s="13" t="s">
        <v>6595</v>
      </c>
      <c r="AC520" s="13" t="s">
        <v>6595</v>
      </c>
      <c r="AD520" s="13" t="s">
        <v>6595</v>
      </c>
      <c r="AE520" s="14" t="s">
        <v>112</v>
      </c>
      <c r="AF520" s="13" t="s">
        <v>6595</v>
      </c>
      <c r="AG520" s="32" t="s">
        <v>6595</v>
      </c>
      <c r="AH520" s="13" t="s">
        <v>6596</v>
      </c>
      <c r="AL520" s="13" t="s">
        <v>6597</v>
      </c>
      <c r="AN520" s="13">
        <v>329</v>
      </c>
      <c r="AO520" s="13" t="s">
        <v>6598</v>
      </c>
      <c r="AQ520" s="13" t="s">
        <v>6595</v>
      </c>
      <c r="AR520" s="13" t="s">
        <v>6595</v>
      </c>
      <c r="AS520" s="13" t="s">
        <v>116</v>
      </c>
      <c r="AT520" s="13" t="s">
        <v>6599</v>
      </c>
      <c r="AU520" s="13" t="s">
        <v>6500</v>
      </c>
      <c r="AV520" s="13" t="s">
        <v>2204</v>
      </c>
      <c r="AW520" s="24" t="s">
        <v>1691</v>
      </c>
      <c r="AX520" s="24" t="s">
        <v>1692</v>
      </c>
      <c r="AY520" s="13" t="s">
        <v>6600</v>
      </c>
      <c r="AZ520" s="13" t="s">
        <v>6601</v>
      </c>
      <c r="BA520" s="13" t="s">
        <v>6601</v>
      </c>
      <c r="BB520" s="13" t="s">
        <v>6602</v>
      </c>
      <c r="BC520" s="13" t="s">
        <v>6603</v>
      </c>
      <c r="BD520" s="16">
        <f t="shared" si="18"/>
        <v>56</v>
      </c>
      <c r="BE520" s="13" t="s">
        <v>1697</v>
      </c>
      <c r="BF520" s="13" t="s">
        <v>951</v>
      </c>
      <c r="BG520" s="13" t="s">
        <v>6505</v>
      </c>
      <c r="BJ520" s="13" t="s">
        <v>6604</v>
      </c>
      <c r="BO520" s="13" t="s">
        <v>6507</v>
      </c>
      <c r="BS520" s="13" t="s">
        <v>127</v>
      </c>
      <c r="BT520" s="13" t="s">
        <v>6508</v>
      </c>
      <c r="BU520" s="13" t="s">
        <v>129</v>
      </c>
      <c r="BX520" s="13" t="s">
        <v>6605</v>
      </c>
      <c r="DA520" s="13" t="s">
        <v>10348</v>
      </c>
      <c r="DB520" s="13" t="s">
        <v>10348</v>
      </c>
    </row>
    <row r="521" spans="1:106" s="13" customFormat="1" ht="12.75" customHeight="1" x14ac:dyDescent="0.2">
      <c r="A521" s="13" t="s">
        <v>102</v>
      </c>
      <c r="B521" s="13" t="s">
        <v>103</v>
      </c>
      <c r="D521" s="13" t="s">
        <v>937</v>
      </c>
      <c r="E521" s="17" t="s">
        <v>228</v>
      </c>
      <c r="F521" s="13" t="s">
        <v>937</v>
      </c>
      <c r="G521" s="17" t="s">
        <v>229</v>
      </c>
      <c r="H521" s="13" t="s">
        <v>7712</v>
      </c>
      <c r="I521" s="17"/>
      <c r="J521" s="13" t="s">
        <v>106</v>
      </c>
      <c r="W521" s="13">
        <v>605</v>
      </c>
      <c r="X521" s="13">
        <v>605</v>
      </c>
      <c r="Y521" s="13" t="s">
        <v>107</v>
      </c>
      <c r="Z521" s="13" t="s">
        <v>108</v>
      </c>
      <c r="AA521" s="29" t="s">
        <v>107</v>
      </c>
      <c r="AB521" s="13" t="s">
        <v>6606</v>
      </c>
      <c r="AC521" s="13" t="s">
        <v>6606</v>
      </c>
      <c r="AD521" s="13" t="s">
        <v>6606</v>
      </c>
      <c r="AE521" s="14" t="s">
        <v>112</v>
      </c>
      <c r="AF521" s="13" t="s">
        <v>6606</v>
      </c>
      <c r="AG521" s="32" t="s">
        <v>6606</v>
      </c>
      <c r="AH521" s="13" t="s">
        <v>6607</v>
      </c>
      <c r="AL521" s="13" t="s">
        <v>6608</v>
      </c>
      <c r="AN521" s="13">
        <v>329</v>
      </c>
      <c r="AO521" s="13" t="s">
        <v>6609</v>
      </c>
      <c r="AQ521" s="13" t="s">
        <v>6606</v>
      </c>
      <c r="AR521" s="13" t="s">
        <v>6606</v>
      </c>
      <c r="AS521" s="13" t="s">
        <v>116</v>
      </c>
      <c r="AT521" s="13" t="s">
        <v>6610</v>
      </c>
      <c r="AU521" s="13" t="s">
        <v>6500</v>
      </c>
      <c r="AV521" s="13" t="s">
        <v>2204</v>
      </c>
      <c r="AW521" s="24" t="s">
        <v>1691</v>
      </c>
      <c r="AX521" s="24" t="s">
        <v>1692</v>
      </c>
      <c r="AY521" s="13" t="s">
        <v>6611</v>
      </c>
      <c r="AZ521" s="13" t="s">
        <v>6612</v>
      </c>
      <c r="BA521" s="13" t="s">
        <v>6612</v>
      </c>
      <c r="BB521" s="13" t="s">
        <v>6613</v>
      </c>
      <c r="BC521" s="13" t="s">
        <v>6614</v>
      </c>
      <c r="BD521" s="16">
        <f t="shared" si="18"/>
        <v>56</v>
      </c>
      <c r="BE521" s="13" t="s">
        <v>1697</v>
      </c>
      <c r="BF521" s="13" t="s">
        <v>951</v>
      </c>
      <c r="BG521" s="13" t="s">
        <v>6505</v>
      </c>
      <c r="BJ521" s="13" t="s">
        <v>6615</v>
      </c>
      <c r="BO521" s="13" t="s">
        <v>6507</v>
      </c>
      <c r="BS521" s="13" t="s">
        <v>127</v>
      </c>
      <c r="BT521" s="13" t="s">
        <v>6508</v>
      </c>
      <c r="BU521" s="13" t="s">
        <v>129</v>
      </c>
      <c r="BX521" s="13" t="s">
        <v>6616</v>
      </c>
      <c r="BY521" s="25"/>
      <c r="DA521" s="13" t="s">
        <v>10348</v>
      </c>
      <c r="DB521" s="13" t="s">
        <v>10348</v>
      </c>
    </row>
    <row r="522" spans="1:106" s="13" customFormat="1" ht="12.75" customHeight="1" x14ac:dyDescent="0.2">
      <c r="A522" s="13" t="s">
        <v>102</v>
      </c>
      <c r="B522" s="13" t="s">
        <v>103</v>
      </c>
      <c r="D522" s="13" t="s">
        <v>937</v>
      </c>
      <c r="E522" s="17" t="s">
        <v>228</v>
      </c>
      <c r="F522" s="13" t="s">
        <v>937</v>
      </c>
      <c r="G522" s="17" t="s">
        <v>229</v>
      </c>
      <c r="H522" s="13" t="s">
        <v>7712</v>
      </c>
      <c r="I522" s="17"/>
      <c r="J522" s="13" t="s">
        <v>106</v>
      </c>
      <c r="W522" s="13">
        <v>606</v>
      </c>
      <c r="X522" s="13">
        <v>606</v>
      </c>
      <c r="Y522" s="13" t="s">
        <v>107</v>
      </c>
      <c r="Z522" s="13" t="s">
        <v>108</v>
      </c>
      <c r="AA522" s="37" t="s">
        <v>107</v>
      </c>
      <c r="AB522" s="13" t="s">
        <v>6617</v>
      </c>
      <c r="AC522" s="13" t="s">
        <v>6617</v>
      </c>
      <c r="AD522" s="13" t="s">
        <v>6617</v>
      </c>
      <c r="AE522" s="22" t="s">
        <v>112</v>
      </c>
      <c r="AF522" s="13" t="s">
        <v>6617</v>
      </c>
      <c r="AG522" s="32" t="s">
        <v>6617</v>
      </c>
      <c r="AH522" s="13" t="s">
        <v>6618</v>
      </c>
      <c r="AL522" s="13" t="s">
        <v>6619</v>
      </c>
      <c r="AN522" s="13">
        <v>329</v>
      </c>
      <c r="AO522" s="13" t="s">
        <v>6620</v>
      </c>
      <c r="AQ522" s="13" t="s">
        <v>6617</v>
      </c>
      <c r="AR522" s="13" t="s">
        <v>6617</v>
      </c>
      <c r="AS522" s="13" t="s">
        <v>116</v>
      </c>
      <c r="AT522" s="13" t="s">
        <v>6621</v>
      </c>
      <c r="AU522" s="13" t="s">
        <v>6500</v>
      </c>
      <c r="AV522" s="13" t="s">
        <v>2204</v>
      </c>
      <c r="AW522" s="24" t="s">
        <v>1691</v>
      </c>
      <c r="AX522" s="24" t="s">
        <v>1692</v>
      </c>
      <c r="AY522" s="13" t="s">
        <v>6622</v>
      </c>
      <c r="AZ522" s="13" t="s">
        <v>6623</v>
      </c>
      <c r="BA522" s="13" t="s">
        <v>6623</v>
      </c>
      <c r="BB522" s="13" t="s">
        <v>6624</v>
      </c>
      <c r="BC522" s="13" t="s">
        <v>6625</v>
      </c>
      <c r="BD522" s="16">
        <f t="shared" si="18"/>
        <v>56</v>
      </c>
      <c r="BE522" s="13" t="s">
        <v>1697</v>
      </c>
      <c r="BF522" s="13" t="s">
        <v>951</v>
      </c>
      <c r="BG522" s="13" t="s">
        <v>6505</v>
      </c>
      <c r="BJ522" s="13" t="s">
        <v>5663</v>
      </c>
      <c r="BO522" s="13" t="s">
        <v>6507</v>
      </c>
      <c r="BS522" s="13" t="s">
        <v>127</v>
      </c>
      <c r="BT522" s="13" t="s">
        <v>6508</v>
      </c>
      <c r="BU522" s="13" t="s">
        <v>129</v>
      </c>
      <c r="BX522" s="13" t="s">
        <v>6626</v>
      </c>
      <c r="BY522" s="25"/>
      <c r="DA522" s="13" t="s">
        <v>10348</v>
      </c>
      <c r="DB522" s="13" t="s">
        <v>10348</v>
      </c>
    </row>
    <row r="523" spans="1:106" s="13" customFormat="1" ht="12.75" customHeight="1" x14ac:dyDescent="0.2">
      <c r="A523" s="13" t="s">
        <v>102</v>
      </c>
      <c r="B523" s="13" t="s">
        <v>103</v>
      </c>
      <c r="D523" s="13" t="s">
        <v>937</v>
      </c>
      <c r="E523" s="17" t="s">
        <v>228</v>
      </c>
      <c r="F523" s="13" t="s">
        <v>937</v>
      </c>
      <c r="G523" s="17" t="s">
        <v>229</v>
      </c>
      <c r="H523" s="13" t="s">
        <v>7712</v>
      </c>
      <c r="I523" s="17"/>
      <c r="J523" s="13" t="s">
        <v>106</v>
      </c>
      <c r="W523" s="13">
        <v>607</v>
      </c>
      <c r="X523" s="13">
        <v>607</v>
      </c>
      <c r="Y523" s="13" t="s">
        <v>107</v>
      </c>
      <c r="Z523" s="13" t="s">
        <v>108</v>
      </c>
      <c r="AA523" s="37" t="s">
        <v>107</v>
      </c>
      <c r="AB523" s="13" t="s">
        <v>6627</v>
      </c>
      <c r="AC523" s="13" t="s">
        <v>6627</v>
      </c>
      <c r="AD523" s="13" t="s">
        <v>6627</v>
      </c>
      <c r="AE523" s="22" t="s">
        <v>112</v>
      </c>
      <c r="AF523" s="13" t="s">
        <v>6627</v>
      </c>
      <c r="AG523" s="32" t="s">
        <v>6627</v>
      </c>
      <c r="AH523" s="13" t="s">
        <v>6628</v>
      </c>
      <c r="AL523" s="13" t="s">
        <v>6629</v>
      </c>
      <c r="AN523" s="13">
        <v>329</v>
      </c>
      <c r="AO523" s="13" t="s">
        <v>6630</v>
      </c>
      <c r="AQ523" s="13" t="s">
        <v>6627</v>
      </c>
      <c r="AR523" s="13" t="s">
        <v>6627</v>
      </c>
      <c r="AS523" s="13" t="s">
        <v>116</v>
      </c>
      <c r="AT523" s="13" t="s">
        <v>6631</v>
      </c>
      <c r="AU523" s="13" t="s">
        <v>6500</v>
      </c>
      <c r="AV523" s="13" t="s">
        <v>2204</v>
      </c>
      <c r="AW523" s="24" t="s">
        <v>1691</v>
      </c>
      <c r="AX523" s="24" t="s">
        <v>1692</v>
      </c>
      <c r="AY523" s="13" t="s">
        <v>6632</v>
      </c>
      <c r="AZ523" s="13" t="s">
        <v>6633</v>
      </c>
      <c r="BA523" s="13" t="s">
        <v>6633</v>
      </c>
      <c r="BB523" s="13" t="s">
        <v>6634</v>
      </c>
      <c r="BC523" s="13" t="s">
        <v>6635</v>
      </c>
      <c r="BD523" s="16">
        <f t="shared" si="18"/>
        <v>56</v>
      </c>
      <c r="BE523" s="13" t="s">
        <v>1697</v>
      </c>
      <c r="BF523" s="13" t="s">
        <v>951</v>
      </c>
      <c r="BG523" s="13" t="s">
        <v>6505</v>
      </c>
      <c r="BJ523" s="13" t="s">
        <v>6636</v>
      </c>
      <c r="BO523" s="13" t="s">
        <v>6507</v>
      </c>
      <c r="BS523" s="13" t="s">
        <v>127</v>
      </c>
      <c r="BT523" s="13" t="s">
        <v>6508</v>
      </c>
      <c r="BU523" s="13" t="s">
        <v>129</v>
      </c>
      <c r="BX523" s="13" t="s">
        <v>6637</v>
      </c>
      <c r="BY523" s="25"/>
      <c r="DA523" s="13" t="s">
        <v>10348</v>
      </c>
      <c r="DB523" s="13" t="s">
        <v>10348</v>
      </c>
    </row>
    <row r="524" spans="1:106" s="13" customFormat="1" ht="12.75" customHeight="1" x14ac:dyDescent="0.2">
      <c r="A524" s="13" t="s">
        <v>102</v>
      </c>
      <c r="B524" s="13" t="s">
        <v>103</v>
      </c>
      <c r="D524" s="13" t="s">
        <v>937</v>
      </c>
      <c r="E524" s="17" t="s">
        <v>228</v>
      </c>
      <c r="F524" s="13" t="s">
        <v>937</v>
      </c>
      <c r="G524" s="17" t="s">
        <v>229</v>
      </c>
      <c r="H524" s="13" t="s">
        <v>7712</v>
      </c>
      <c r="I524" s="17"/>
      <c r="J524" s="13" t="s">
        <v>106</v>
      </c>
      <c r="W524" s="13">
        <v>608</v>
      </c>
      <c r="X524" s="13">
        <v>608</v>
      </c>
      <c r="Y524" s="13" t="s">
        <v>107</v>
      </c>
      <c r="Z524" s="13" t="s">
        <v>108</v>
      </c>
      <c r="AA524" s="37" t="s">
        <v>107</v>
      </c>
      <c r="AB524" s="13" t="s">
        <v>6638</v>
      </c>
      <c r="AC524" s="13" t="s">
        <v>6638</v>
      </c>
      <c r="AD524" s="13" t="s">
        <v>6638</v>
      </c>
      <c r="AE524" s="22" t="s">
        <v>112</v>
      </c>
      <c r="AF524" s="13" t="s">
        <v>6638</v>
      </c>
      <c r="AG524" s="32" t="s">
        <v>6638</v>
      </c>
      <c r="AH524" s="13" t="s">
        <v>6639</v>
      </c>
      <c r="AL524" s="13" t="s">
        <v>6640</v>
      </c>
      <c r="AN524" s="13">
        <v>329</v>
      </c>
      <c r="AO524" s="13" t="s">
        <v>6641</v>
      </c>
      <c r="AQ524" s="13" t="s">
        <v>6638</v>
      </c>
      <c r="AR524" s="13" t="s">
        <v>6638</v>
      </c>
      <c r="AS524" s="13" t="s">
        <v>116</v>
      </c>
      <c r="AT524" s="13" t="s">
        <v>6642</v>
      </c>
      <c r="AU524" s="13" t="s">
        <v>6500</v>
      </c>
      <c r="AV524" s="13" t="s">
        <v>2204</v>
      </c>
      <c r="AW524" s="24" t="s">
        <v>1691</v>
      </c>
      <c r="AX524" s="24" t="s">
        <v>1692</v>
      </c>
      <c r="AY524" s="13" t="s">
        <v>6643</v>
      </c>
      <c r="AZ524" s="13" t="s">
        <v>6644</v>
      </c>
      <c r="BA524" s="13" t="s">
        <v>6644</v>
      </c>
      <c r="BB524" s="13" t="s">
        <v>6645</v>
      </c>
      <c r="BC524" s="13" t="s">
        <v>6646</v>
      </c>
      <c r="BD524" s="16">
        <f t="shared" si="18"/>
        <v>56</v>
      </c>
      <c r="BE524" s="13" t="s">
        <v>1697</v>
      </c>
      <c r="BF524" s="13" t="s">
        <v>951</v>
      </c>
      <c r="BG524" s="13" t="s">
        <v>6505</v>
      </c>
      <c r="BJ524" s="13" t="s">
        <v>6647</v>
      </c>
      <c r="BO524" s="13" t="s">
        <v>6507</v>
      </c>
      <c r="BS524" s="13" t="s">
        <v>127</v>
      </c>
      <c r="BT524" s="13" t="s">
        <v>6508</v>
      </c>
      <c r="BU524" s="13" t="s">
        <v>129</v>
      </c>
      <c r="BX524" s="13" t="s">
        <v>6648</v>
      </c>
      <c r="BY524" s="25"/>
      <c r="DA524" s="13" t="s">
        <v>10348</v>
      </c>
      <c r="DB524" s="13" t="s">
        <v>10348</v>
      </c>
    </row>
    <row r="525" spans="1:106" s="13" customFormat="1" ht="12.75" customHeight="1" x14ac:dyDescent="0.2">
      <c r="A525" s="13" t="s">
        <v>102</v>
      </c>
      <c r="B525" s="13" t="s">
        <v>103</v>
      </c>
      <c r="D525" s="13" t="s">
        <v>937</v>
      </c>
      <c r="E525" s="17" t="s">
        <v>228</v>
      </c>
      <c r="F525" s="13" t="s">
        <v>937</v>
      </c>
      <c r="G525" s="17" t="s">
        <v>229</v>
      </c>
      <c r="H525" s="13" t="s">
        <v>7712</v>
      </c>
      <c r="I525" s="17"/>
      <c r="J525" s="13" t="s">
        <v>106</v>
      </c>
      <c r="W525" s="13">
        <v>609</v>
      </c>
      <c r="X525" s="13">
        <v>609</v>
      </c>
      <c r="Y525" s="13" t="s">
        <v>107</v>
      </c>
      <c r="Z525" s="13" t="s">
        <v>108</v>
      </c>
      <c r="AA525" s="37" t="s">
        <v>107</v>
      </c>
      <c r="AB525" s="13" t="s">
        <v>6649</v>
      </c>
      <c r="AC525" s="13" t="s">
        <v>6649</v>
      </c>
      <c r="AD525" s="13" t="s">
        <v>6649</v>
      </c>
      <c r="AE525" s="22" t="s">
        <v>112</v>
      </c>
      <c r="AF525" s="13" t="s">
        <v>6649</v>
      </c>
      <c r="AG525" s="32" t="s">
        <v>6649</v>
      </c>
      <c r="AH525" s="13" t="s">
        <v>6650</v>
      </c>
      <c r="AL525" s="13" t="s">
        <v>6651</v>
      </c>
      <c r="AN525" s="13">
        <v>329</v>
      </c>
      <c r="AO525" s="13" t="s">
        <v>6652</v>
      </c>
      <c r="AQ525" s="13" t="s">
        <v>6649</v>
      </c>
      <c r="AR525" s="13" t="s">
        <v>6649</v>
      </c>
      <c r="AS525" s="13" t="s">
        <v>116</v>
      </c>
      <c r="AT525" s="13" t="s">
        <v>6653</v>
      </c>
      <c r="AU525" s="13" t="s">
        <v>6500</v>
      </c>
      <c r="AV525" s="13" t="s">
        <v>2204</v>
      </c>
      <c r="AW525" s="24" t="s">
        <v>1691</v>
      </c>
      <c r="AX525" s="24" t="s">
        <v>1692</v>
      </c>
      <c r="AY525" s="13" t="s">
        <v>6654</v>
      </c>
      <c r="AZ525" s="13" t="s">
        <v>6655</v>
      </c>
      <c r="BA525" s="13" t="s">
        <v>6655</v>
      </c>
      <c r="BB525" s="13" t="s">
        <v>6656</v>
      </c>
      <c r="BC525" s="13" t="s">
        <v>6657</v>
      </c>
      <c r="BD525" s="16">
        <f t="shared" si="18"/>
        <v>56</v>
      </c>
      <c r="BE525" s="13" t="s">
        <v>1697</v>
      </c>
      <c r="BF525" s="13" t="s">
        <v>951</v>
      </c>
      <c r="BG525" s="13" t="s">
        <v>6505</v>
      </c>
      <c r="BJ525" s="13" t="s">
        <v>2080</v>
      </c>
      <c r="BO525" s="13" t="s">
        <v>6507</v>
      </c>
      <c r="BS525" s="13" t="s">
        <v>127</v>
      </c>
      <c r="BT525" s="13" t="s">
        <v>6508</v>
      </c>
      <c r="BU525" s="13" t="s">
        <v>129</v>
      </c>
      <c r="BX525" s="13" t="s">
        <v>6658</v>
      </c>
      <c r="BY525" s="25"/>
      <c r="DA525" s="13" t="s">
        <v>10348</v>
      </c>
      <c r="DB525" s="13" t="s">
        <v>10348</v>
      </c>
    </row>
    <row r="526" spans="1:106" s="13" customFormat="1" ht="12.75" customHeight="1" x14ac:dyDescent="0.2">
      <c r="A526" s="13" t="s">
        <v>102</v>
      </c>
      <c r="B526" s="13" t="s">
        <v>103</v>
      </c>
      <c r="D526" s="13" t="s">
        <v>937</v>
      </c>
      <c r="E526" s="17" t="s">
        <v>228</v>
      </c>
      <c r="F526" s="13" t="s">
        <v>937</v>
      </c>
      <c r="G526" s="17" t="s">
        <v>229</v>
      </c>
      <c r="H526" s="13" t="s">
        <v>7712</v>
      </c>
      <c r="I526" s="17"/>
      <c r="J526" s="13" t="s">
        <v>106</v>
      </c>
      <c r="W526" s="13">
        <v>610</v>
      </c>
      <c r="X526" s="13">
        <v>610</v>
      </c>
      <c r="Y526" s="13" t="s">
        <v>107</v>
      </c>
      <c r="Z526" s="13" t="s">
        <v>108</v>
      </c>
      <c r="AA526" s="37" t="s">
        <v>107</v>
      </c>
      <c r="AB526" s="13" t="s">
        <v>6659</v>
      </c>
      <c r="AC526" s="13" t="s">
        <v>6659</v>
      </c>
      <c r="AD526" s="13" t="s">
        <v>6659</v>
      </c>
      <c r="AE526" s="22" t="s">
        <v>112</v>
      </c>
      <c r="AF526" s="13" t="s">
        <v>6659</v>
      </c>
      <c r="AG526" s="32" t="s">
        <v>6659</v>
      </c>
      <c r="AH526" s="13" t="s">
        <v>6660</v>
      </c>
      <c r="AL526" s="13" t="s">
        <v>6661</v>
      </c>
      <c r="AN526" s="13">
        <v>329</v>
      </c>
      <c r="AO526" s="13" t="s">
        <v>6662</v>
      </c>
      <c r="AQ526" s="13" t="s">
        <v>6659</v>
      </c>
      <c r="AR526" s="13" t="s">
        <v>6659</v>
      </c>
      <c r="AS526" s="13" t="s">
        <v>116</v>
      </c>
      <c r="AT526" s="13" t="s">
        <v>6663</v>
      </c>
      <c r="AU526" s="13" t="s">
        <v>6500</v>
      </c>
      <c r="AV526" s="13" t="s">
        <v>2204</v>
      </c>
      <c r="AW526" s="24" t="s">
        <v>1691</v>
      </c>
      <c r="AX526" s="24" t="s">
        <v>1692</v>
      </c>
      <c r="AY526" s="13" t="s">
        <v>6664</v>
      </c>
      <c r="AZ526" s="13" t="s">
        <v>6665</v>
      </c>
      <c r="BA526" s="13" t="s">
        <v>6665</v>
      </c>
      <c r="BB526" s="13" t="s">
        <v>6666</v>
      </c>
      <c r="BC526" s="13" t="s">
        <v>6667</v>
      </c>
      <c r="BD526" s="16">
        <f t="shared" si="18"/>
        <v>56</v>
      </c>
      <c r="BE526" s="13" t="s">
        <v>1697</v>
      </c>
      <c r="BF526" s="13" t="s">
        <v>951</v>
      </c>
      <c r="BG526" s="13" t="s">
        <v>6505</v>
      </c>
      <c r="BJ526" s="13" t="s">
        <v>6668</v>
      </c>
      <c r="BO526" s="13" t="s">
        <v>6507</v>
      </c>
      <c r="BS526" s="13" t="s">
        <v>127</v>
      </c>
      <c r="BT526" s="13" t="s">
        <v>6508</v>
      </c>
      <c r="BU526" s="13" t="s">
        <v>129</v>
      </c>
      <c r="BX526" s="13" t="s">
        <v>6669</v>
      </c>
      <c r="BY526" s="25"/>
      <c r="DA526" s="13" t="s">
        <v>10348</v>
      </c>
      <c r="DB526" s="13" t="s">
        <v>10348</v>
      </c>
    </row>
    <row r="527" spans="1:106" s="13" customFormat="1" ht="12.75" customHeight="1" x14ac:dyDescent="0.2">
      <c r="A527" s="13" t="s">
        <v>102</v>
      </c>
      <c r="B527" s="13" t="s">
        <v>103</v>
      </c>
      <c r="D527" s="13" t="s">
        <v>937</v>
      </c>
      <c r="E527" s="17" t="s">
        <v>228</v>
      </c>
      <c r="F527" s="13" t="s">
        <v>937</v>
      </c>
      <c r="G527" s="17" t="s">
        <v>229</v>
      </c>
      <c r="H527" s="13" t="s">
        <v>7712</v>
      </c>
      <c r="I527" s="17"/>
      <c r="J527" s="13" t="s">
        <v>106</v>
      </c>
      <c r="W527" s="13">
        <v>611</v>
      </c>
      <c r="X527" s="13">
        <v>611</v>
      </c>
      <c r="Y527" s="13" t="s">
        <v>107</v>
      </c>
      <c r="Z527" s="13" t="s">
        <v>108</v>
      </c>
      <c r="AA527" s="37" t="s">
        <v>107</v>
      </c>
      <c r="AB527" s="13" t="s">
        <v>6670</v>
      </c>
      <c r="AC527" s="13" t="s">
        <v>6670</v>
      </c>
      <c r="AD527" s="13" t="s">
        <v>6670</v>
      </c>
      <c r="AE527" s="22" t="s">
        <v>112</v>
      </c>
      <c r="AF527" s="13" t="s">
        <v>6670</v>
      </c>
      <c r="AG527" s="32" t="s">
        <v>6670</v>
      </c>
      <c r="AH527" s="13" t="s">
        <v>6671</v>
      </c>
      <c r="AL527" s="13" t="s">
        <v>6672</v>
      </c>
      <c r="AN527" s="13">
        <v>329</v>
      </c>
      <c r="AO527" s="13" t="s">
        <v>6673</v>
      </c>
      <c r="AQ527" s="13" t="s">
        <v>6670</v>
      </c>
      <c r="AR527" s="13" t="s">
        <v>6670</v>
      </c>
      <c r="AS527" s="13" t="s">
        <v>116</v>
      </c>
      <c r="AT527" s="13" t="s">
        <v>6674</v>
      </c>
      <c r="AU527" s="13" t="s">
        <v>6500</v>
      </c>
      <c r="AV527" s="13" t="s">
        <v>2204</v>
      </c>
      <c r="AW527" s="24" t="s">
        <v>1691</v>
      </c>
      <c r="AX527" s="24" t="s">
        <v>1692</v>
      </c>
      <c r="AY527" s="13" t="s">
        <v>6675</v>
      </c>
      <c r="AZ527" s="13" t="s">
        <v>6676</v>
      </c>
      <c r="BA527" s="13" t="s">
        <v>6676</v>
      </c>
      <c r="BB527" s="13" t="s">
        <v>6677</v>
      </c>
      <c r="BC527" s="13" t="s">
        <v>6678</v>
      </c>
      <c r="BD527" s="16">
        <f t="shared" si="18"/>
        <v>56</v>
      </c>
      <c r="BE527" s="13" t="s">
        <v>1697</v>
      </c>
      <c r="BF527" s="13" t="s">
        <v>951</v>
      </c>
      <c r="BG527" s="13" t="s">
        <v>6505</v>
      </c>
      <c r="BJ527" s="13" t="s">
        <v>6679</v>
      </c>
      <c r="BO527" s="13" t="s">
        <v>6507</v>
      </c>
      <c r="BS527" s="13" t="s">
        <v>127</v>
      </c>
      <c r="BT527" s="13" t="s">
        <v>6508</v>
      </c>
      <c r="BU527" s="13" t="s">
        <v>129</v>
      </c>
      <c r="BX527" s="13" t="s">
        <v>6680</v>
      </c>
      <c r="BY527" s="25"/>
      <c r="DA527" s="13" t="s">
        <v>10348</v>
      </c>
      <c r="DB527" s="13" t="s">
        <v>10348</v>
      </c>
    </row>
    <row r="528" spans="1:106" s="13" customFormat="1" ht="12.75" customHeight="1" x14ac:dyDescent="0.2">
      <c r="A528" s="13" t="s">
        <v>102</v>
      </c>
      <c r="B528" s="13" t="s">
        <v>103</v>
      </c>
      <c r="D528" s="13" t="s">
        <v>937</v>
      </c>
      <c r="E528" s="17" t="s">
        <v>228</v>
      </c>
      <c r="F528" s="13" t="s">
        <v>937</v>
      </c>
      <c r="G528" s="17" t="s">
        <v>229</v>
      </c>
      <c r="H528" s="13" t="s">
        <v>7712</v>
      </c>
      <c r="I528" s="17"/>
      <c r="J528" s="13" t="s">
        <v>106</v>
      </c>
      <c r="W528" s="13">
        <v>612</v>
      </c>
      <c r="X528" s="13">
        <v>612</v>
      </c>
      <c r="Y528" s="13" t="s">
        <v>107</v>
      </c>
      <c r="Z528" s="13" t="s">
        <v>108</v>
      </c>
      <c r="AA528" s="37" t="s">
        <v>107</v>
      </c>
      <c r="AB528" s="13" t="s">
        <v>6681</v>
      </c>
      <c r="AC528" s="13" t="s">
        <v>6681</v>
      </c>
      <c r="AD528" s="13" t="s">
        <v>6681</v>
      </c>
      <c r="AE528" s="22" t="s">
        <v>112</v>
      </c>
      <c r="AF528" s="13" t="s">
        <v>6681</v>
      </c>
      <c r="AG528" s="32" t="s">
        <v>6681</v>
      </c>
      <c r="AH528" s="13" t="s">
        <v>6682</v>
      </c>
      <c r="AL528" s="13" t="s">
        <v>6683</v>
      </c>
      <c r="AN528" s="13">
        <v>329</v>
      </c>
      <c r="AO528" s="13" t="s">
        <v>6684</v>
      </c>
      <c r="AQ528" s="13" t="s">
        <v>6681</v>
      </c>
      <c r="AR528" s="13" t="s">
        <v>6681</v>
      </c>
      <c r="AS528" s="13" t="s">
        <v>116</v>
      </c>
      <c r="AT528" s="13" t="s">
        <v>6685</v>
      </c>
      <c r="AU528" s="13" t="s">
        <v>6500</v>
      </c>
      <c r="AV528" s="13" t="s">
        <v>2204</v>
      </c>
      <c r="AW528" s="24" t="s">
        <v>1691</v>
      </c>
      <c r="AX528" s="24" t="s">
        <v>1692</v>
      </c>
      <c r="AY528" s="13" t="s">
        <v>6686</v>
      </c>
      <c r="AZ528" s="13" t="s">
        <v>6687</v>
      </c>
      <c r="BA528" s="13" t="s">
        <v>6687</v>
      </c>
      <c r="BB528" s="13" t="s">
        <v>6688</v>
      </c>
      <c r="BC528" s="13" t="s">
        <v>6689</v>
      </c>
      <c r="BD528" s="16">
        <f t="shared" si="18"/>
        <v>56</v>
      </c>
      <c r="BE528" s="13" t="s">
        <v>1697</v>
      </c>
      <c r="BF528" s="13" t="s">
        <v>951</v>
      </c>
      <c r="BG528" s="13" t="s">
        <v>6505</v>
      </c>
      <c r="BJ528" s="13" t="s">
        <v>5942</v>
      </c>
      <c r="BO528" s="13" t="s">
        <v>6507</v>
      </c>
      <c r="BS528" s="13" t="s">
        <v>127</v>
      </c>
      <c r="BT528" s="13" t="s">
        <v>6508</v>
      </c>
      <c r="BU528" s="13" t="s">
        <v>129</v>
      </c>
      <c r="BX528" s="13" t="s">
        <v>6690</v>
      </c>
      <c r="BY528" s="25"/>
      <c r="DA528" s="13" t="s">
        <v>10348</v>
      </c>
      <c r="DB528" s="13" t="s">
        <v>10348</v>
      </c>
    </row>
    <row r="529" spans="1:106" s="13" customFormat="1" ht="12.75" customHeight="1" x14ac:dyDescent="0.2">
      <c r="A529" s="13" t="s">
        <v>102</v>
      </c>
      <c r="B529" s="13" t="s">
        <v>103</v>
      </c>
      <c r="D529" s="13" t="s">
        <v>937</v>
      </c>
      <c r="E529" s="17" t="s">
        <v>228</v>
      </c>
      <c r="F529" s="13" t="s">
        <v>937</v>
      </c>
      <c r="G529" s="17" t="s">
        <v>229</v>
      </c>
      <c r="H529" s="13" t="s">
        <v>7712</v>
      </c>
      <c r="I529" s="17"/>
      <c r="J529" s="13" t="s">
        <v>106</v>
      </c>
      <c r="W529" s="13">
        <v>621</v>
      </c>
      <c r="X529" s="13">
        <v>621</v>
      </c>
      <c r="Y529" s="13" t="s">
        <v>107</v>
      </c>
      <c r="Z529" s="13" t="s">
        <v>108</v>
      </c>
      <c r="AA529" s="37" t="s">
        <v>107</v>
      </c>
      <c r="AB529" s="13" t="s">
        <v>6775</v>
      </c>
      <c r="AC529" s="13" t="s">
        <v>6775</v>
      </c>
      <c r="AD529" s="13" t="s">
        <v>6775</v>
      </c>
      <c r="AE529" s="22" t="s">
        <v>112</v>
      </c>
      <c r="AF529" s="13" t="s">
        <v>6775</v>
      </c>
      <c r="AG529" s="32" t="s">
        <v>6775</v>
      </c>
      <c r="AH529" s="13" t="s">
        <v>6776</v>
      </c>
      <c r="AL529" s="13" t="s">
        <v>6777</v>
      </c>
      <c r="AN529" s="13">
        <v>329</v>
      </c>
      <c r="AO529" s="13" t="s">
        <v>6778</v>
      </c>
      <c r="AQ529" s="13" t="s">
        <v>6775</v>
      </c>
      <c r="AR529" s="13" t="s">
        <v>6775</v>
      </c>
      <c r="AS529" s="13" t="s">
        <v>116</v>
      </c>
      <c r="AT529" s="13" t="s">
        <v>6779</v>
      </c>
      <c r="AU529" s="13" t="s">
        <v>6780</v>
      </c>
      <c r="AV529" s="13" t="s">
        <v>2204</v>
      </c>
      <c r="AW529" s="24" t="s">
        <v>1691</v>
      </c>
      <c r="AX529" s="24" t="s">
        <v>1692</v>
      </c>
      <c r="AY529" s="13" t="s">
        <v>6781</v>
      </c>
      <c r="AZ529" s="13" t="s">
        <v>6782</v>
      </c>
      <c r="BA529" s="13" t="s">
        <v>6782</v>
      </c>
      <c r="BB529" s="13" t="s">
        <v>6783</v>
      </c>
      <c r="BC529" s="13" t="s">
        <v>6784</v>
      </c>
      <c r="BD529" s="16">
        <f t="shared" si="18"/>
        <v>60</v>
      </c>
      <c r="BE529" s="13" t="s">
        <v>1697</v>
      </c>
      <c r="BF529" s="13" t="s">
        <v>951</v>
      </c>
      <c r="BG529" s="13" t="s">
        <v>6505</v>
      </c>
      <c r="BJ529" s="13" t="s">
        <v>6506</v>
      </c>
      <c r="BO529" s="13" t="s">
        <v>6507</v>
      </c>
      <c r="BS529" s="13" t="s">
        <v>127</v>
      </c>
      <c r="BT529" s="13" t="s">
        <v>6785</v>
      </c>
      <c r="BU529" s="13" t="s">
        <v>129</v>
      </c>
      <c r="BX529" s="13" t="s">
        <v>6786</v>
      </c>
      <c r="DA529" s="13" t="s">
        <v>10348</v>
      </c>
      <c r="DB529" s="13" t="s">
        <v>10348</v>
      </c>
    </row>
    <row r="530" spans="1:106" s="13" customFormat="1" ht="12.75" customHeight="1" x14ac:dyDescent="0.2">
      <c r="A530" s="13" t="s">
        <v>102</v>
      </c>
      <c r="B530" s="13" t="s">
        <v>103</v>
      </c>
      <c r="D530" s="13" t="s">
        <v>937</v>
      </c>
      <c r="E530" s="17" t="s">
        <v>228</v>
      </c>
      <c r="F530" s="13" t="s">
        <v>937</v>
      </c>
      <c r="G530" s="17" t="s">
        <v>229</v>
      </c>
      <c r="H530" s="13" t="s">
        <v>7712</v>
      </c>
      <c r="I530" s="17"/>
      <c r="J530" s="13" t="s">
        <v>106</v>
      </c>
      <c r="W530" s="13">
        <v>622</v>
      </c>
      <c r="X530" s="13">
        <v>622</v>
      </c>
      <c r="Y530" s="13" t="s">
        <v>107</v>
      </c>
      <c r="Z530" s="13" t="s">
        <v>108</v>
      </c>
      <c r="AA530" s="37" t="s">
        <v>107</v>
      </c>
      <c r="AB530" s="13" t="s">
        <v>6787</v>
      </c>
      <c r="AC530" s="13" t="s">
        <v>6787</v>
      </c>
      <c r="AD530" s="13" t="s">
        <v>6787</v>
      </c>
      <c r="AE530" s="22" t="s">
        <v>112</v>
      </c>
      <c r="AF530" s="13" t="s">
        <v>6787</v>
      </c>
      <c r="AG530" s="32" t="s">
        <v>6787</v>
      </c>
      <c r="AH530" s="13" t="s">
        <v>6788</v>
      </c>
      <c r="AL530" s="13" t="s">
        <v>6789</v>
      </c>
      <c r="AN530" s="13">
        <v>329</v>
      </c>
      <c r="AO530" s="13" t="s">
        <v>6790</v>
      </c>
      <c r="AQ530" s="13" t="s">
        <v>6787</v>
      </c>
      <c r="AR530" s="13" t="s">
        <v>6787</v>
      </c>
      <c r="AS530" s="13" t="s">
        <v>116</v>
      </c>
      <c r="AT530" s="13" t="s">
        <v>6791</v>
      </c>
      <c r="AU530" s="13" t="s">
        <v>6780</v>
      </c>
      <c r="AV530" s="13" t="s">
        <v>2204</v>
      </c>
      <c r="AW530" s="24" t="s">
        <v>1691</v>
      </c>
      <c r="AX530" s="24" t="s">
        <v>1692</v>
      </c>
      <c r="AY530" s="13" t="s">
        <v>6792</v>
      </c>
      <c r="AZ530" s="13" t="s">
        <v>6793</v>
      </c>
      <c r="BA530" s="13" t="s">
        <v>6793</v>
      </c>
      <c r="BB530" s="13" t="s">
        <v>6794</v>
      </c>
      <c r="BC530" s="13" t="s">
        <v>6795</v>
      </c>
      <c r="BD530" s="16">
        <f t="shared" si="18"/>
        <v>60</v>
      </c>
      <c r="BE530" s="13" t="s">
        <v>1697</v>
      </c>
      <c r="BF530" s="13" t="s">
        <v>951</v>
      </c>
      <c r="BG530" s="13" t="s">
        <v>6505</v>
      </c>
      <c r="BJ530" s="13" t="s">
        <v>6796</v>
      </c>
      <c r="BO530" s="13" t="s">
        <v>6507</v>
      </c>
      <c r="BS530" s="13" t="s">
        <v>127</v>
      </c>
      <c r="BT530" s="13" t="s">
        <v>6785</v>
      </c>
      <c r="BU530" s="13" t="s">
        <v>129</v>
      </c>
      <c r="BX530" s="13" t="s">
        <v>6797</v>
      </c>
      <c r="BY530" s="25"/>
      <c r="DA530" s="13" t="s">
        <v>10348</v>
      </c>
      <c r="DB530" s="13" t="s">
        <v>10348</v>
      </c>
    </row>
    <row r="531" spans="1:106" s="13" customFormat="1" ht="12.75" customHeight="1" x14ac:dyDescent="0.2">
      <c r="A531" s="13" t="s">
        <v>102</v>
      </c>
      <c r="B531" s="13" t="s">
        <v>103</v>
      </c>
      <c r="D531" s="13" t="s">
        <v>937</v>
      </c>
      <c r="E531" s="17" t="s">
        <v>228</v>
      </c>
      <c r="F531" s="13" t="s">
        <v>937</v>
      </c>
      <c r="G531" s="17" t="s">
        <v>229</v>
      </c>
      <c r="H531" s="13" t="s">
        <v>7712</v>
      </c>
      <c r="I531" s="17"/>
      <c r="J531" s="13" t="s">
        <v>106</v>
      </c>
      <c r="W531" s="13">
        <v>623</v>
      </c>
      <c r="X531" s="13">
        <v>623</v>
      </c>
      <c r="Y531" s="13" t="s">
        <v>107</v>
      </c>
      <c r="Z531" s="13" t="s">
        <v>108</v>
      </c>
      <c r="AA531" s="37" t="s">
        <v>107</v>
      </c>
      <c r="AB531" s="13" t="s">
        <v>6798</v>
      </c>
      <c r="AC531" s="13" t="s">
        <v>6798</v>
      </c>
      <c r="AD531" s="13" t="s">
        <v>6798</v>
      </c>
      <c r="AE531" s="22" t="s">
        <v>112</v>
      </c>
      <c r="AF531" s="13" t="s">
        <v>6798</v>
      </c>
      <c r="AG531" s="32" t="s">
        <v>6798</v>
      </c>
      <c r="AH531" s="13" t="s">
        <v>6799</v>
      </c>
      <c r="AL531" s="13" t="s">
        <v>6800</v>
      </c>
      <c r="AN531" s="13">
        <v>329</v>
      </c>
      <c r="AO531" s="13" t="s">
        <v>6801</v>
      </c>
      <c r="AQ531" s="13" t="s">
        <v>6798</v>
      </c>
      <c r="AR531" s="13" t="s">
        <v>6798</v>
      </c>
      <c r="AS531" s="13" t="s">
        <v>116</v>
      </c>
      <c r="AT531" s="13" t="s">
        <v>6802</v>
      </c>
      <c r="AU531" s="13" t="s">
        <v>6780</v>
      </c>
      <c r="AV531" s="13" t="s">
        <v>2204</v>
      </c>
      <c r="AW531" s="24" t="s">
        <v>1691</v>
      </c>
      <c r="AX531" s="24" t="s">
        <v>1692</v>
      </c>
      <c r="AY531" s="13" t="s">
        <v>6803</v>
      </c>
      <c r="AZ531" s="13" t="s">
        <v>6804</v>
      </c>
      <c r="BA531" s="13" t="s">
        <v>6804</v>
      </c>
      <c r="BB531" s="13" t="s">
        <v>6805</v>
      </c>
      <c r="BC531" s="13" t="s">
        <v>6806</v>
      </c>
      <c r="BD531" s="16">
        <f t="shared" si="18"/>
        <v>60</v>
      </c>
      <c r="BE531" s="13" t="s">
        <v>1697</v>
      </c>
      <c r="BF531" s="13" t="s">
        <v>951</v>
      </c>
      <c r="BG531" s="13" t="s">
        <v>6505</v>
      </c>
      <c r="BJ531" s="13" t="s">
        <v>6530</v>
      </c>
      <c r="BO531" s="13" t="s">
        <v>6507</v>
      </c>
      <c r="BS531" s="13" t="s">
        <v>127</v>
      </c>
      <c r="BT531" s="13" t="s">
        <v>6785</v>
      </c>
      <c r="BU531" s="13" t="s">
        <v>129</v>
      </c>
      <c r="BX531" s="13" t="s">
        <v>6807</v>
      </c>
      <c r="BY531" s="25"/>
      <c r="DA531" s="13" t="s">
        <v>10348</v>
      </c>
      <c r="DB531" s="13" t="s">
        <v>10348</v>
      </c>
    </row>
    <row r="532" spans="1:106" s="13" customFormat="1" ht="12.75" customHeight="1" x14ac:dyDescent="0.2">
      <c r="A532" s="13" t="s">
        <v>102</v>
      </c>
      <c r="B532" s="13" t="s">
        <v>103</v>
      </c>
      <c r="D532" s="13" t="s">
        <v>937</v>
      </c>
      <c r="E532" s="17" t="s">
        <v>228</v>
      </c>
      <c r="F532" s="13" t="s">
        <v>937</v>
      </c>
      <c r="G532" s="17" t="s">
        <v>229</v>
      </c>
      <c r="H532" s="13" t="s">
        <v>7712</v>
      </c>
      <c r="I532" s="17"/>
      <c r="J532" s="13" t="s">
        <v>106</v>
      </c>
      <c r="W532" s="13">
        <v>624</v>
      </c>
      <c r="X532" s="13">
        <v>624</v>
      </c>
      <c r="Y532" s="13" t="s">
        <v>107</v>
      </c>
      <c r="Z532" s="13" t="s">
        <v>108</v>
      </c>
      <c r="AA532" s="37" t="s">
        <v>107</v>
      </c>
      <c r="AB532" s="13" t="s">
        <v>6808</v>
      </c>
      <c r="AC532" s="13" t="s">
        <v>6808</v>
      </c>
      <c r="AD532" s="13" t="s">
        <v>6808</v>
      </c>
      <c r="AE532" s="22" t="s">
        <v>112</v>
      </c>
      <c r="AF532" s="13" t="s">
        <v>6808</v>
      </c>
      <c r="AG532" s="32" t="s">
        <v>6808</v>
      </c>
      <c r="AH532" s="13" t="s">
        <v>6809</v>
      </c>
      <c r="AL532" s="13" t="s">
        <v>6810</v>
      </c>
      <c r="AN532" s="13">
        <v>329</v>
      </c>
      <c r="AO532" s="13" t="s">
        <v>6811</v>
      </c>
      <c r="AQ532" s="13" t="s">
        <v>6808</v>
      </c>
      <c r="AR532" s="13" t="s">
        <v>6808</v>
      </c>
      <c r="AS532" s="13" t="s">
        <v>116</v>
      </c>
      <c r="AT532" s="13" t="s">
        <v>6812</v>
      </c>
      <c r="AU532" s="13" t="s">
        <v>6780</v>
      </c>
      <c r="AV532" s="13" t="s">
        <v>2204</v>
      </c>
      <c r="AW532" s="24" t="s">
        <v>1691</v>
      </c>
      <c r="AX532" s="24" t="s">
        <v>1692</v>
      </c>
      <c r="AY532" s="13" t="s">
        <v>6813</v>
      </c>
      <c r="AZ532" s="13" t="s">
        <v>6814</v>
      </c>
      <c r="BA532" s="13" t="s">
        <v>6814</v>
      </c>
      <c r="BB532" s="13" t="s">
        <v>6815</v>
      </c>
      <c r="BC532" s="13" t="s">
        <v>6816</v>
      </c>
      <c r="BD532" s="16">
        <f t="shared" si="18"/>
        <v>60</v>
      </c>
      <c r="BE532" s="13" t="s">
        <v>1697</v>
      </c>
      <c r="BF532" s="13" t="s">
        <v>951</v>
      </c>
      <c r="BG532" s="13" t="s">
        <v>6505</v>
      </c>
      <c r="BJ532" s="13" t="s">
        <v>5884</v>
      </c>
      <c r="BO532" s="13" t="s">
        <v>6507</v>
      </c>
      <c r="BS532" s="13" t="s">
        <v>127</v>
      </c>
      <c r="BT532" s="13" t="s">
        <v>6785</v>
      </c>
      <c r="BU532" s="13" t="s">
        <v>129</v>
      </c>
      <c r="BX532" s="13" t="s">
        <v>6817</v>
      </c>
      <c r="BY532" s="25"/>
      <c r="DA532" s="13" t="s">
        <v>10348</v>
      </c>
      <c r="DB532" s="13" t="s">
        <v>10348</v>
      </c>
    </row>
    <row r="533" spans="1:106" s="13" customFormat="1" ht="12.75" customHeight="1" x14ac:dyDescent="0.2">
      <c r="A533" s="13" t="s">
        <v>102</v>
      </c>
      <c r="B533" s="13" t="s">
        <v>103</v>
      </c>
      <c r="D533" s="13" t="s">
        <v>937</v>
      </c>
      <c r="E533" s="17" t="s">
        <v>228</v>
      </c>
      <c r="F533" s="13" t="s">
        <v>937</v>
      </c>
      <c r="G533" s="17" t="s">
        <v>229</v>
      </c>
      <c r="H533" s="13" t="s">
        <v>7712</v>
      </c>
      <c r="I533" s="17"/>
      <c r="J533" s="13" t="s">
        <v>106</v>
      </c>
      <c r="W533" s="13">
        <v>625</v>
      </c>
      <c r="X533" s="13">
        <v>625</v>
      </c>
      <c r="Y533" s="13" t="s">
        <v>107</v>
      </c>
      <c r="Z533" s="13" t="s">
        <v>108</v>
      </c>
      <c r="AA533" s="37" t="s">
        <v>107</v>
      </c>
      <c r="AB533" s="13" t="s">
        <v>6818</v>
      </c>
      <c r="AC533" s="13" t="s">
        <v>6818</v>
      </c>
      <c r="AD533" s="13" t="s">
        <v>6818</v>
      </c>
      <c r="AE533" s="22" t="s">
        <v>112</v>
      </c>
      <c r="AF533" s="13" t="s">
        <v>6818</v>
      </c>
      <c r="AG533" s="32" t="s">
        <v>6818</v>
      </c>
      <c r="AH533" s="13" t="s">
        <v>6819</v>
      </c>
      <c r="AL533" s="13" t="s">
        <v>6820</v>
      </c>
      <c r="AN533" s="13">
        <v>329</v>
      </c>
      <c r="AO533" s="13" t="s">
        <v>6821</v>
      </c>
      <c r="AQ533" s="13" t="s">
        <v>6818</v>
      </c>
      <c r="AR533" s="13" t="s">
        <v>6818</v>
      </c>
      <c r="AS533" s="13" t="s">
        <v>116</v>
      </c>
      <c r="AT533" s="13" t="s">
        <v>6822</v>
      </c>
      <c r="AU533" s="13" t="s">
        <v>6780</v>
      </c>
      <c r="AV533" s="13" t="s">
        <v>2204</v>
      </c>
      <c r="AW533" s="24" t="s">
        <v>1691</v>
      </c>
      <c r="AX533" s="24" t="s">
        <v>1692</v>
      </c>
      <c r="AY533" s="13" t="s">
        <v>6823</v>
      </c>
      <c r="AZ533" s="13" t="s">
        <v>6824</v>
      </c>
      <c r="BA533" s="13" t="s">
        <v>6824</v>
      </c>
      <c r="BB533" s="13" t="s">
        <v>6825</v>
      </c>
      <c r="BC533" s="13" t="s">
        <v>6826</v>
      </c>
      <c r="BD533" s="16">
        <f t="shared" ref="BD533:BD564" si="19">LEN(SUBSTITUTE(BC533, ", "," "))</f>
        <v>60</v>
      </c>
      <c r="BE533" s="13" t="s">
        <v>1697</v>
      </c>
      <c r="BF533" s="13" t="s">
        <v>951</v>
      </c>
      <c r="BG533" s="13" t="s">
        <v>6505</v>
      </c>
      <c r="BJ533" s="13" t="s">
        <v>2241</v>
      </c>
      <c r="BO533" s="13" t="s">
        <v>6507</v>
      </c>
      <c r="BS533" s="13" t="s">
        <v>127</v>
      </c>
      <c r="BT533" s="13" t="s">
        <v>6785</v>
      </c>
      <c r="BU533" s="13" t="s">
        <v>129</v>
      </c>
      <c r="BX533" s="13" t="s">
        <v>6827</v>
      </c>
      <c r="BY533" s="25"/>
      <c r="DA533" s="13" t="s">
        <v>10348</v>
      </c>
      <c r="DB533" s="13" t="s">
        <v>10348</v>
      </c>
    </row>
    <row r="534" spans="1:106" s="13" customFormat="1" ht="12.75" customHeight="1" x14ac:dyDescent="0.2">
      <c r="A534" s="13" t="s">
        <v>102</v>
      </c>
      <c r="B534" s="13" t="s">
        <v>103</v>
      </c>
      <c r="D534" s="13" t="s">
        <v>937</v>
      </c>
      <c r="E534" s="17" t="s">
        <v>228</v>
      </c>
      <c r="F534" s="13" t="s">
        <v>937</v>
      </c>
      <c r="G534" s="17" t="s">
        <v>229</v>
      </c>
      <c r="H534" s="13" t="s">
        <v>7712</v>
      </c>
      <c r="I534" s="17"/>
      <c r="J534" s="13" t="s">
        <v>106</v>
      </c>
      <c r="W534" s="13">
        <v>626</v>
      </c>
      <c r="X534" s="13">
        <v>626</v>
      </c>
      <c r="Y534" s="13" t="s">
        <v>107</v>
      </c>
      <c r="Z534" s="13" t="s">
        <v>108</v>
      </c>
      <c r="AA534" s="37" t="s">
        <v>107</v>
      </c>
      <c r="AB534" s="13" t="s">
        <v>6828</v>
      </c>
      <c r="AC534" s="13" t="s">
        <v>6828</v>
      </c>
      <c r="AD534" s="13" t="s">
        <v>6828</v>
      </c>
      <c r="AE534" s="22" t="s">
        <v>112</v>
      </c>
      <c r="AF534" s="13" t="s">
        <v>6828</v>
      </c>
      <c r="AG534" s="32" t="s">
        <v>6828</v>
      </c>
      <c r="AH534" s="13" t="s">
        <v>6829</v>
      </c>
      <c r="AL534" s="13" t="s">
        <v>6830</v>
      </c>
      <c r="AN534" s="13">
        <v>329</v>
      </c>
      <c r="AO534" s="13" t="s">
        <v>6831</v>
      </c>
      <c r="AQ534" s="13" t="s">
        <v>6828</v>
      </c>
      <c r="AR534" s="13" t="s">
        <v>6828</v>
      </c>
      <c r="AS534" s="13" t="s">
        <v>116</v>
      </c>
      <c r="AT534" s="13" t="s">
        <v>6832</v>
      </c>
      <c r="AU534" s="13" t="s">
        <v>6780</v>
      </c>
      <c r="AV534" s="13" t="s">
        <v>2204</v>
      </c>
      <c r="AW534" s="24" t="s">
        <v>1691</v>
      </c>
      <c r="AX534" s="24" t="s">
        <v>1692</v>
      </c>
      <c r="AY534" s="13" t="s">
        <v>6833</v>
      </c>
      <c r="AZ534" s="13" t="s">
        <v>6834</v>
      </c>
      <c r="BA534" s="13" t="s">
        <v>6834</v>
      </c>
      <c r="BB534" s="13" t="s">
        <v>6835</v>
      </c>
      <c r="BC534" s="13" t="s">
        <v>6836</v>
      </c>
      <c r="BD534" s="16">
        <f t="shared" si="19"/>
        <v>60</v>
      </c>
      <c r="BE534" s="13" t="s">
        <v>1697</v>
      </c>
      <c r="BF534" s="13" t="s">
        <v>951</v>
      </c>
      <c r="BG534" s="13" t="s">
        <v>6505</v>
      </c>
      <c r="BJ534" s="13" t="s">
        <v>6572</v>
      </c>
      <c r="BO534" s="13" t="s">
        <v>6507</v>
      </c>
      <c r="BS534" s="13" t="s">
        <v>127</v>
      </c>
      <c r="BT534" s="13" t="s">
        <v>6785</v>
      </c>
      <c r="BU534" s="13" t="s">
        <v>129</v>
      </c>
      <c r="BX534" s="13" t="s">
        <v>6837</v>
      </c>
      <c r="BY534" s="25"/>
      <c r="DA534" s="13" t="s">
        <v>10348</v>
      </c>
      <c r="DB534" s="13" t="s">
        <v>10348</v>
      </c>
    </row>
    <row r="535" spans="1:106" s="13" customFormat="1" ht="12.75" customHeight="1" x14ac:dyDescent="0.2">
      <c r="A535" s="13" t="s">
        <v>102</v>
      </c>
      <c r="B535" s="13" t="s">
        <v>103</v>
      </c>
      <c r="D535" s="13" t="s">
        <v>937</v>
      </c>
      <c r="E535" s="17" t="s">
        <v>228</v>
      </c>
      <c r="F535" s="13" t="s">
        <v>937</v>
      </c>
      <c r="G535" s="17" t="s">
        <v>229</v>
      </c>
      <c r="H535" s="13" t="s">
        <v>7712</v>
      </c>
      <c r="I535" s="17"/>
      <c r="J535" s="13" t="s">
        <v>106</v>
      </c>
      <c r="W535" s="13">
        <v>627</v>
      </c>
      <c r="X535" s="13">
        <v>627</v>
      </c>
      <c r="Y535" s="13" t="s">
        <v>107</v>
      </c>
      <c r="Z535" s="13" t="s">
        <v>108</v>
      </c>
      <c r="AA535" s="37" t="s">
        <v>107</v>
      </c>
      <c r="AB535" s="13" t="s">
        <v>6838</v>
      </c>
      <c r="AC535" s="13" t="s">
        <v>6838</v>
      </c>
      <c r="AD535" s="13" t="s">
        <v>6838</v>
      </c>
      <c r="AE535" s="22" t="s">
        <v>112</v>
      </c>
      <c r="AF535" s="13" t="s">
        <v>6838</v>
      </c>
      <c r="AG535" s="32" t="s">
        <v>6838</v>
      </c>
      <c r="AH535" s="13" t="s">
        <v>6839</v>
      </c>
      <c r="AL535" s="13" t="s">
        <v>6840</v>
      </c>
      <c r="AN535" s="13">
        <v>329</v>
      </c>
      <c r="AO535" s="13" t="s">
        <v>6841</v>
      </c>
      <c r="AQ535" s="13" t="s">
        <v>6838</v>
      </c>
      <c r="AR535" s="13" t="s">
        <v>6838</v>
      </c>
      <c r="AS535" s="13" t="s">
        <v>116</v>
      </c>
      <c r="AT535" s="13" t="s">
        <v>6842</v>
      </c>
      <c r="AU535" s="13" t="s">
        <v>6780</v>
      </c>
      <c r="AV535" s="13" t="s">
        <v>2204</v>
      </c>
      <c r="AW535" s="23" t="s">
        <v>1691</v>
      </c>
      <c r="AX535" s="23" t="s">
        <v>1692</v>
      </c>
      <c r="AY535" s="13" t="s">
        <v>6843</v>
      </c>
      <c r="AZ535" s="13" t="s">
        <v>6844</v>
      </c>
      <c r="BA535" s="13" t="s">
        <v>6844</v>
      </c>
      <c r="BB535" s="13" t="s">
        <v>6845</v>
      </c>
      <c r="BC535" s="13" t="s">
        <v>6846</v>
      </c>
      <c r="BD535" s="16">
        <f t="shared" si="19"/>
        <v>60</v>
      </c>
      <c r="BE535" s="13" t="s">
        <v>1697</v>
      </c>
      <c r="BF535" s="13" t="s">
        <v>951</v>
      </c>
      <c r="BG535" s="13" t="s">
        <v>6505</v>
      </c>
      <c r="BJ535" s="13" t="s">
        <v>6583</v>
      </c>
      <c r="BO535" s="13" t="s">
        <v>6507</v>
      </c>
      <c r="BS535" s="13" t="s">
        <v>127</v>
      </c>
      <c r="BT535" s="13" t="s">
        <v>6785</v>
      </c>
      <c r="BU535" s="13" t="s">
        <v>129</v>
      </c>
      <c r="BX535" s="13" t="s">
        <v>6847</v>
      </c>
      <c r="BY535" s="25"/>
      <c r="DA535" s="13" t="s">
        <v>10348</v>
      </c>
      <c r="DB535" s="13" t="s">
        <v>10348</v>
      </c>
    </row>
    <row r="536" spans="1:106" s="13" customFormat="1" ht="12.75" customHeight="1" x14ac:dyDescent="0.2">
      <c r="A536" s="13" t="s">
        <v>102</v>
      </c>
      <c r="B536" s="13" t="s">
        <v>103</v>
      </c>
      <c r="D536" s="13" t="s">
        <v>937</v>
      </c>
      <c r="E536" s="17" t="s">
        <v>228</v>
      </c>
      <c r="F536" s="13" t="s">
        <v>937</v>
      </c>
      <c r="G536" s="17" t="s">
        <v>229</v>
      </c>
      <c r="H536" s="13" t="s">
        <v>7712</v>
      </c>
      <c r="I536" s="17"/>
      <c r="J536" s="13" t="s">
        <v>106</v>
      </c>
      <c r="W536" s="13">
        <v>628</v>
      </c>
      <c r="X536" s="13">
        <v>628</v>
      </c>
      <c r="Y536" s="13" t="s">
        <v>107</v>
      </c>
      <c r="Z536" s="13" t="s">
        <v>108</v>
      </c>
      <c r="AA536" s="37" t="s">
        <v>107</v>
      </c>
      <c r="AB536" s="13" t="s">
        <v>6848</v>
      </c>
      <c r="AC536" s="13" t="s">
        <v>6848</v>
      </c>
      <c r="AD536" s="13" t="s">
        <v>6848</v>
      </c>
      <c r="AE536" s="22" t="s">
        <v>112</v>
      </c>
      <c r="AF536" s="13" t="s">
        <v>6848</v>
      </c>
      <c r="AG536" s="32" t="s">
        <v>6848</v>
      </c>
      <c r="AH536" s="13" t="s">
        <v>6849</v>
      </c>
      <c r="AL536" s="13" t="s">
        <v>6850</v>
      </c>
      <c r="AN536" s="13">
        <v>329</v>
      </c>
      <c r="AO536" s="13" t="s">
        <v>6851</v>
      </c>
      <c r="AQ536" s="13" t="s">
        <v>6848</v>
      </c>
      <c r="AR536" s="13" t="s">
        <v>6848</v>
      </c>
      <c r="AS536" s="13" t="s">
        <v>116</v>
      </c>
      <c r="AT536" s="13" t="s">
        <v>6852</v>
      </c>
      <c r="AU536" s="13" t="s">
        <v>6780</v>
      </c>
      <c r="AV536" s="13" t="s">
        <v>2204</v>
      </c>
      <c r="AW536" s="23" t="s">
        <v>1691</v>
      </c>
      <c r="AX536" s="23" t="s">
        <v>1692</v>
      </c>
      <c r="AY536" s="13" t="s">
        <v>6853</v>
      </c>
      <c r="AZ536" s="13" t="s">
        <v>6854</v>
      </c>
      <c r="BA536" s="13" t="s">
        <v>6854</v>
      </c>
      <c r="BB536" s="13" t="s">
        <v>6855</v>
      </c>
      <c r="BC536" s="13" t="s">
        <v>6856</v>
      </c>
      <c r="BD536" s="16">
        <f t="shared" si="19"/>
        <v>60</v>
      </c>
      <c r="BE536" s="13" t="s">
        <v>1697</v>
      </c>
      <c r="BF536" s="13" t="s">
        <v>951</v>
      </c>
      <c r="BG536" s="13" t="s">
        <v>6505</v>
      </c>
      <c r="BJ536" s="13" t="s">
        <v>6857</v>
      </c>
      <c r="BO536" s="13" t="s">
        <v>6507</v>
      </c>
      <c r="BS536" s="13" t="s">
        <v>127</v>
      </c>
      <c r="BT536" s="13" t="s">
        <v>6785</v>
      </c>
      <c r="BU536" s="13" t="s">
        <v>129</v>
      </c>
      <c r="BX536" s="13" t="s">
        <v>6858</v>
      </c>
      <c r="BY536" s="25"/>
      <c r="DA536" s="13" t="s">
        <v>10348</v>
      </c>
      <c r="DB536" s="13" t="s">
        <v>10348</v>
      </c>
    </row>
    <row r="537" spans="1:106" s="13" customFormat="1" ht="12.75" customHeight="1" x14ac:dyDescent="0.2">
      <c r="A537" s="13" t="s">
        <v>102</v>
      </c>
      <c r="B537" s="13" t="s">
        <v>103</v>
      </c>
      <c r="D537" s="13" t="s">
        <v>937</v>
      </c>
      <c r="E537" s="17" t="s">
        <v>228</v>
      </c>
      <c r="F537" s="13" t="s">
        <v>937</v>
      </c>
      <c r="G537" s="17" t="s">
        <v>229</v>
      </c>
      <c r="H537" s="13" t="s">
        <v>7712</v>
      </c>
      <c r="I537" s="17"/>
      <c r="J537" s="13" t="s">
        <v>106</v>
      </c>
      <c r="W537" s="13">
        <v>629</v>
      </c>
      <c r="X537" s="13">
        <v>629</v>
      </c>
      <c r="Y537" s="13" t="s">
        <v>107</v>
      </c>
      <c r="Z537" s="13" t="s">
        <v>108</v>
      </c>
      <c r="AA537" s="37" t="s">
        <v>107</v>
      </c>
      <c r="AB537" s="13" t="s">
        <v>6859</v>
      </c>
      <c r="AC537" s="13" t="s">
        <v>6859</v>
      </c>
      <c r="AD537" s="13" t="s">
        <v>6859</v>
      </c>
      <c r="AE537" s="22" t="s">
        <v>112</v>
      </c>
      <c r="AF537" s="13" t="s">
        <v>6859</v>
      </c>
      <c r="AG537" s="32" t="s">
        <v>6859</v>
      </c>
      <c r="AH537" s="13" t="s">
        <v>6860</v>
      </c>
      <c r="AL537" s="13" t="s">
        <v>6861</v>
      </c>
      <c r="AN537" s="13">
        <v>329</v>
      </c>
      <c r="AO537" s="13" t="s">
        <v>6862</v>
      </c>
      <c r="AQ537" s="13" t="s">
        <v>6859</v>
      </c>
      <c r="AR537" s="13" t="s">
        <v>6859</v>
      </c>
      <c r="AS537" s="13" t="s">
        <v>116</v>
      </c>
      <c r="AT537" s="13" t="s">
        <v>6863</v>
      </c>
      <c r="AU537" s="13" t="s">
        <v>6780</v>
      </c>
      <c r="AV537" s="13" t="s">
        <v>2204</v>
      </c>
      <c r="AW537" s="23" t="s">
        <v>1691</v>
      </c>
      <c r="AX537" s="23" t="s">
        <v>1692</v>
      </c>
      <c r="AY537" s="13" t="s">
        <v>6864</v>
      </c>
      <c r="AZ537" s="13" t="s">
        <v>6865</v>
      </c>
      <c r="BA537" s="13" t="s">
        <v>6865</v>
      </c>
      <c r="BB537" s="13" t="s">
        <v>6866</v>
      </c>
      <c r="BC537" s="13" t="s">
        <v>6867</v>
      </c>
      <c r="BD537" s="16">
        <f t="shared" si="19"/>
        <v>60</v>
      </c>
      <c r="BE537" s="13" t="s">
        <v>1697</v>
      </c>
      <c r="BF537" s="13" t="s">
        <v>951</v>
      </c>
      <c r="BG537" s="13" t="s">
        <v>6505</v>
      </c>
      <c r="BJ537" s="13" t="s">
        <v>2211</v>
      </c>
      <c r="BO537" s="13" t="s">
        <v>6507</v>
      </c>
      <c r="BS537" s="13" t="s">
        <v>127</v>
      </c>
      <c r="BT537" s="13" t="s">
        <v>6785</v>
      </c>
      <c r="BU537" s="13" t="s">
        <v>129</v>
      </c>
      <c r="BX537" s="13" t="s">
        <v>6868</v>
      </c>
      <c r="BY537" s="25"/>
      <c r="DA537" s="13" t="s">
        <v>10348</v>
      </c>
      <c r="DB537" s="13" t="s">
        <v>10348</v>
      </c>
    </row>
    <row r="538" spans="1:106" s="13" customFormat="1" ht="12.75" customHeight="1" x14ac:dyDescent="0.2">
      <c r="A538" s="13" t="s">
        <v>102</v>
      </c>
      <c r="B538" s="13" t="s">
        <v>103</v>
      </c>
      <c r="D538" s="13" t="s">
        <v>937</v>
      </c>
      <c r="E538" s="17" t="s">
        <v>228</v>
      </c>
      <c r="F538" s="13" t="s">
        <v>937</v>
      </c>
      <c r="G538" s="17" t="s">
        <v>229</v>
      </c>
      <c r="H538" s="13" t="s">
        <v>7712</v>
      </c>
      <c r="I538" s="17"/>
      <c r="J538" s="13" t="s">
        <v>106</v>
      </c>
      <c r="W538" s="13">
        <v>630</v>
      </c>
      <c r="X538" s="13">
        <v>630</v>
      </c>
      <c r="Y538" s="13" t="s">
        <v>107</v>
      </c>
      <c r="Z538" s="13" t="s">
        <v>108</v>
      </c>
      <c r="AA538" s="37" t="s">
        <v>107</v>
      </c>
      <c r="AB538" s="13" t="s">
        <v>6869</v>
      </c>
      <c r="AC538" s="13" t="s">
        <v>6869</v>
      </c>
      <c r="AD538" s="13" t="s">
        <v>6869</v>
      </c>
      <c r="AE538" s="22" t="s">
        <v>112</v>
      </c>
      <c r="AF538" s="13" t="s">
        <v>6869</v>
      </c>
      <c r="AG538" s="32" t="s">
        <v>6869</v>
      </c>
      <c r="AH538" s="13" t="s">
        <v>6870</v>
      </c>
      <c r="AL538" s="13" t="s">
        <v>6871</v>
      </c>
      <c r="AN538" s="13">
        <v>329</v>
      </c>
      <c r="AO538" s="13" t="s">
        <v>6872</v>
      </c>
      <c r="AQ538" s="13" t="s">
        <v>6869</v>
      </c>
      <c r="AR538" s="13" t="s">
        <v>6869</v>
      </c>
      <c r="AS538" s="13" t="s">
        <v>116</v>
      </c>
      <c r="AT538" s="13" t="s">
        <v>6873</v>
      </c>
      <c r="AU538" s="13" t="s">
        <v>6780</v>
      </c>
      <c r="AV538" s="13" t="s">
        <v>2204</v>
      </c>
      <c r="AW538" s="23" t="s">
        <v>1691</v>
      </c>
      <c r="AX538" s="23" t="s">
        <v>1692</v>
      </c>
      <c r="AY538" s="13" t="s">
        <v>6874</v>
      </c>
      <c r="AZ538" s="13" t="s">
        <v>6875</v>
      </c>
      <c r="BA538" s="13" t="s">
        <v>6875</v>
      </c>
      <c r="BB538" s="13" t="s">
        <v>6876</v>
      </c>
      <c r="BC538" s="13" t="s">
        <v>6877</v>
      </c>
      <c r="BD538" s="16">
        <f t="shared" si="19"/>
        <v>60</v>
      </c>
      <c r="BE538" s="13" t="s">
        <v>1697</v>
      </c>
      <c r="BF538" s="13" t="s">
        <v>951</v>
      </c>
      <c r="BG538" s="13" t="s">
        <v>6505</v>
      </c>
      <c r="BJ538" s="13" t="s">
        <v>6615</v>
      </c>
      <c r="BO538" s="13" t="s">
        <v>6507</v>
      </c>
      <c r="BS538" s="13" t="s">
        <v>127</v>
      </c>
      <c r="BT538" s="13" t="s">
        <v>6785</v>
      </c>
      <c r="BU538" s="13" t="s">
        <v>129</v>
      </c>
      <c r="BX538" s="13" t="s">
        <v>6878</v>
      </c>
      <c r="BY538" s="25"/>
      <c r="DA538" s="13" t="s">
        <v>10348</v>
      </c>
      <c r="DB538" s="13" t="s">
        <v>10348</v>
      </c>
    </row>
    <row r="539" spans="1:106" s="13" customFormat="1" ht="12.75" customHeight="1" x14ac:dyDescent="0.2">
      <c r="A539" s="13" t="s">
        <v>102</v>
      </c>
      <c r="B539" s="13" t="s">
        <v>103</v>
      </c>
      <c r="D539" s="13" t="s">
        <v>937</v>
      </c>
      <c r="E539" s="17" t="s">
        <v>228</v>
      </c>
      <c r="F539" s="13" t="s">
        <v>937</v>
      </c>
      <c r="G539" s="17" t="s">
        <v>229</v>
      </c>
      <c r="H539" s="13" t="s">
        <v>7712</v>
      </c>
      <c r="I539" s="17"/>
      <c r="J539" s="13" t="s">
        <v>106</v>
      </c>
      <c r="W539" s="13">
        <v>631</v>
      </c>
      <c r="X539" s="13">
        <v>631</v>
      </c>
      <c r="Y539" s="13" t="s">
        <v>107</v>
      </c>
      <c r="Z539" s="13" t="s">
        <v>108</v>
      </c>
      <c r="AA539" s="37" t="s">
        <v>107</v>
      </c>
      <c r="AB539" s="13" t="s">
        <v>6879</v>
      </c>
      <c r="AC539" s="13" t="s">
        <v>6879</v>
      </c>
      <c r="AD539" s="13" t="s">
        <v>6879</v>
      </c>
      <c r="AE539" s="22" t="s">
        <v>112</v>
      </c>
      <c r="AF539" s="13" t="s">
        <v>6879</v>
      </c>
      <c r="AG539" s="32" t="s">
        <v>6879</v>
      </c>
      <c r="AH539" s="13" t="s">
        <v>6880</v>
      </c>
      <c r="AL539" s="13" t="s">
        <v>6881</v>
      </c>
      <c r="AN539" s="13">
        <v>329</v>
      </c>
      <c r="AO539" s="13" t="s">
        <v>6882</v>
      </c>
      <c r="AQ539" s="13" t="s">
        <v>6879</v>
      </c>
      <c r="AR539" s="13" t="s">
        <v>6879</v>
      </c>
      <c r="AS539" s="13" t="s">
        <v>116</v>
      </c>
      <c r="AT539" s="13" t="s">
        <v>6883</v>
      </c>
      <c r="AU539" s="13" t="s">
        <v>6780</v>
      </c>
      <c r="AV539" s="13" t="s">
        <v>2204</v>
      </c>
      <c r="AW539" s="23" t="s">
        <v>1691</v>
      </c>
      <c r="AX539" s="23" t="s">
        <v>1692</v>
      </c>
      <c r="AY539" s="13" t="s">
        <v>6884</v>
      </c>
      <c r="AZ539" s="13" t="s">
        <v>6885</v>
      </c>
      <c r="BA539" s="13" t="s">
        <v>6885</v>
      </c>
      <c r="BB539" s="13" t="s">
        <v>6886</v>
      </c>
      <c r="BC539" s="13" t="s">
        <v>6887</v>
      </c>
      <c r="BD539" s="16">
        <f t="shared" si="19"/>
        <v>60</v>
      </c>
      <c r="BE539" s="13" t="s">
        <v>1697</v>
      </c>
      <c r="BF539" s="13" t="s">
        <v>951</v>
      </c>
      <c r="BG539" s="13" t="s">
        <v>6505</v>
      </c>
      <c r="BJ539" s="13" t="s">
        <v>5663</v>
      </c>
      <c r="BO539" s="13" t="s">
        <v>6507</v>
      </c>
      <c r="BS539" s="13" t="s">
        <v>127</v>
      </c>
      <c r="BT539" s="13" t="s">
        <v>6785</v>
      </c>
      <c r="BU539" s="13" t="s">
        <v>129</v>
      </c>
      <c r="BX539" s="13" t="s">
        <v>6888</v>
      </c>
      <c r="BY539" s="25"/>
      <c r="DA539" s="13" t="s">
        <v>10348</v>
      </c>
      <c r="DB539" s="13" t="s">
        <v>10348</v>
      </c>
    </row>
    <row r="540" spans="1:106" s="13" customFormat="1" ht="12.75" customHeight="1" x14ac:dyDescent="0.2">
      <c r="A540" s="13" t="s">
        <v>102</v>
      </c>
      <c r="B540" s="13" t="s">
        <v>103</v>
      </c>
      <c r="D540" s="13" t="s">
        <v>937</v>
      </c>
      <c r="E540" s="17" t="s">
        <v>228</v>
      </c>
      <c r="F540" s="13" t="s">
        <v>937</v>
      </c>
      <c r="G540" s="17" t="s">
        <v>229</v>
      </c>
      <c r="H540" s="13" t="s">
        <v>7712</v>
      </c>
      <c r="I540" s="17"/>
      <c r="J540" s="13" t="s">
        <v>106</v>
      </c>
      <c r="W540" s="13">
        <v>632</v>
      </c>
      <c r="X540" s="13">
        <v>632</v>
      </c>
      <c r="Y540" s="13" t="s">
        <v>107</v>
      </c>
      <c r="Z540" s="13" t="s">
        <v>108</v>
      </c>
      <c r="AA540" s="37" t="s">
        <v>107</v>
      </c>
      <c r="AB540" s="13" t="s">
        <v>6889</v>
      </c>
      <c r="AC540" s="13" t="s">
        <v>6889</v>
      </c>
      <c r="AD540" s="13" t="s">
        <v>6889</v>
      </c>
      <c r="AE540" s="22" t="s">
        <v>112</v>
      </c>
      <c r="AF540" s="13" t="s">
        <v>6889</v>
      </c>
      <c r="AG540" s="32" t="s">
        <v>6889</v>
      </c>
      <c r="AH540" s="13" t="s">
        <v>6890</v>
      </c>
      <c r="AL540" s="13" t="s">
        <v>6891</v>
      </c>
      <c r="AN540" s="13">
        <v>329</v>
      </c>
      <c r="AO540" s="13" t="s">
        <v>6892</v>
      </c>
      <c r="AQ540" s="13" t="s">
        <v>6889</v>
      </c>
      <c r="AR540" s="13" t="s">
        <v>6889</v>
      </c>
      <c r="AS540" s="13" t="s">
        <v>116</v>
      </c>
      <c r="AT540" s="13" t="s">
        <v>6893</v>
      </c>
      <c r="AU540" s="13" t="s">
        <v>6780</v>
      </c>
      <c r="AV540" s="13" t="s">
        <v>2204</v>
      </c>
      <c r="AW540" s="23" t="s">
        <v>1691</v>
      </c>
      <c r="AX540" s="23" t="s">
        <v>1692</v>
      </c>
      <c r="AY540" s="13" t="s">
        <v>6894</v>
      </c>
      <c r="AZ540" s="13" t="s">
        <v>6895</v>
      </c>
      <c r="BA540" s="13" t="s">
        <v>6895</v>
      </c>
      <c r="BB540" s="13" t="s">
        <v>6896</v>
      </c>
      <c r="BC540" s="13" t="s">
        <v>6897</v>
      </c>
      <c r="BD540" s="16">
        <f t="shared" si="19"/>
        <v>60</v>
      </c>
      <c r="BE540" s="13" t="s">
        <v>1697</v>
      </c>
      <c r="BF540" s="13" t="s">
        <v>951</v>
      </c>
      <c r="BG540" s="13" t="s">
        <v>6505</v>
      </c>
      <c r="BJ540" s="13" t="s">
        <v>6636</v>
      </c>
      <c r="BO540" s="13" t="s">
        <v>6507</v>
      </c>
      <c r="BS540" s="13" t="s">
        <v>127</v>
      </c>
      <c r="BT540" s="13" t="s">
        <v>6785</v>
      </c>
      <c r="BU540" s="13" t="s">
        <v>129</v>
      </c>
      <c r="BX540" s="13" t="s">
        <v>6898</v>
      </c>
      <c r="BY540" s="25"/>
      <c r="DA540" s="13" t="s">
        <v>10348</v>
      </c>
      <c r="DB540" s="13" t="s">
        <v>10348</v>
      </c>
    </row>
    <row r="541" spans="1:106" s="13" customFormat="1" ht="12.75" customHeight="1" x14ac:dyDescent="0.2">
      <c r="A541" s="13" t="s">
        <v>102</v>
      </c>
      <c r="B541" s="13" t="s">
        <v>103</v>
      </c>
      <c r="D541" s="13" t="s">
        <v>937</v>
      </c>
      <c r="E541" s="17" t="s">
        <v>228</v>
      </c>
      <c r="F541" s="13" t="s">
        <v>937</v>
      </c>
      <c r="G541" s="17" t="s">
        <v>229</v>
      </c>
      <c r="H541" s="13" t="s">
        <v>7712</v>
      </c>
      <c r="I541" s="17"/>
      <c r="J541" s="13" t="s">
        <v>106</v>
      </c>
      <c r="W541" s="13">
        <v>633</v>
      </c>
      <c r="X541" s="13">
        <v>633</v>
      </c>
      <c r="Y541" s="13" t="s">
        <v>107</v>
      </c>
      <c r="Z541" s="13" t="s">
        <v>108</v>
      </c>
      <c r="AA541" s="37" t="s">
        <v>107</v>
      </c>
      <c r="AB541" s="13" t="s">
        <v>6899</v>
      </c>
      <c r="AC541" s="13" t="s">
        <v>6899</v>
      </c>
      <c r="AD541" s="13" t="s">
        <v>6899</v>
      </c>
      <c r="AE541" s="22" t="s">
        <v>112</v>
      </c>
      <c r="AF541" s="13" t="s">
        <v>6899</v>
      </c>
      <c r="AG541" s="32" t="s">
        <v>6899</v>
      </c>
      <c r="AH541" s="13" t="s">
        <v>6900</v>
      </c>
      <c r="AL541" s="13" t="s">
        <v>6901</v>
      </c>
      <c r="AN541" s="13">
        <v>329</v>
      </c>
      <c r="AO541" s="13" t="s">
        <v>6902</v>
      </c>
      <c r="AQ541" s="13" t="s">
        <v>6899</v>
      </c>
      <c r="AR541" s="13" t="s">
        <v>6899</v>
      </c>
      <c r="AS541" s="13" t="s">
        <v>116</v>
      </c>
      <c r="AT541" s="13" t="s">
        <v>6903</v>
      </c>
      <c r="AU541" s="13" t="s">
        <v>6780</v>
      </c>
      <c r="AV541" s="13" t="s">
        <v>2204</v>
      </c>
      <c r="AW541" s="23" t="s">
        <v>1691</v>
      </c>
      <c r="AX541" s="23" t="s">
        <v>1692</v>
      </c>
      <c r="AY541" s="13" t="s">
        <v>6904</v>
      </c>
      <c r="AZ541" s="13" t="s">
        <v>6905</v>
      </c>
      <c r="BA541" s="13" t="s">
        <v>6905</v>
      </c>
      <c r="BB541" s="13" t="s">
        <v>6906</v>
      </c>
      <c r="BC541" s="13" t="s">
        <v>6907</v>
      </c>
      <c r="BD541" s="16">
        <f t="shared" si="19"/>
        <v>60</v>
      </c>
      <c r="BE541" s="13" t="s">
        <v>1697</v>
      </c>
      <c r="BF541" s="13" t="s">
        <v>951</v>
      </c>
      <c r="BG541" s="13" t="s">
        <v>6505</v>
      </c>
      <c r="BJ541" s="13" t="s">
        <v>2080</v>
      </c>
      <c r="BO541" s="13" t="s">
        <v>6507</v>
      </c>
      <c r="BS541" s="13" t="s">
        <v>127</v>
      </c>
      <c r="BT541" s="13" t="s">
        <v>6785</v>
      </c>
      <c r="BU541" s="13" t="s">
        <v>129</v>
      </c>
      <c r="BX541" s="13" t="s">
        <v>6908</v>
      </c>
      <c r="BY541" s="25"/>
      <c r="DA541" s="13" t="s">
        <v>10348</v>
      </c>
      <c r="DB541" s="13" t="s">
        <v>10348</v>
      </c>
    </row>
    <row r="542" spans="1:106" s="13" customFormat="1" ht="12.75" customHeight="1" x14ac:dyDescent="0.2">
      <c r="A542" s="13" t="s">
        <v>102</v>
      </c>
      <c r="B542" s="13" t="s">
        <v>103</v>
      </c>
      <c r="D542" s="13" t="s">
        <v>937</v>
      </c>
      <c r="E542" s="17" t="s">
        <v>228</v>
      </c>
      <c r="F542" s="13" t="s">
        <v>937</v>
      </c>
      <c r="G542" s="17" t="s">
        <v>229</v>
      </c>
      <c r="H542" s="13" t="s">
        <v>7712</v>
      </c>
      <c r="I542" s="17"/>
      <c r="J542" s="13" t="s">
        <v>106</v>
      </c>
      <c r="W542" s="13">
        <v>634</v>
      </c>
      <c r="X542" s="13">
        <v>634</v>
      </c>
      <c r="Y542" s="13" t="s">
        <v>107</v>
      </c>
      <c r="Z542" s="13" t="s">
        <v>108</v>
      </c>
      <c r="AA542" s="37" t="s">
        <v>107</v>
      </c>
      <c r="AB542" s="13" t="s">
        <v>6909</v>
      </c>
      <c r="AC542" s="13" t="s">
        <v>6909</v>
      </c>
      <c r="AD542" s="13" t="s">
        <v>6909</v>
      </c>
      <c r="AE542" s="22" t="s">
        <v>112</v>
      </c>
      <c r="AF542" s="13" t="s">
        <v>6909</v>
      </c>
      <c r="AG542" s="32" t="s">
        <v>6909</v>
      </c>
      <c r="AH542" s="13" t="s">
        <v>6910</v>
      </c>
      <c r="AL542" s="13" t="s">
        <v>6911</v>
      </c>
      <c r="AN542" s="13">
        <v>329</v>
      </c>
      <c r="AO542" s="13" t="s">
        <v>6912</v>
      </c>
      <c r="AQ542" s="13" t="s">
        <v>6909</v>
      </c>
      <c r="AR542" s="13" t="s">
        <v>6909</v>
      </c>
      <c r="AS542" s="13" t="s">
        <v>116</v>
      </c>
      <c r="AT542" s="13" t="s">
        <v>6913</v>
      </c>
      <c r="AU542" s="13" t="s">
        <v>6780</v>
      </c>
      <c r="AV542" s="13" t="s">
        <v>2204</v>
      </c>
      <c r="AW542" s="23" t="s">
        <v>1691</v>
      </c>
      <c r="AX542" s="23" t="s">
        <v>1692</v>
      </c>
      <c r="AY542" s="13" t="s">
        <v>6914</v>
      </c>
      <c r="AZ542" s="13" t="s">
        <v>6915</v>
      </c>
      <c r="BA542" s="13" t="s">
        <v>6915</v>
      </c>
      <c r="BB542" s="13" t="s">
        <v>6916</v>
      </c>
      <c r="BC542" s="13" t="s">
        <v>6917</v>
      </c>
      <c r="BD542" s="16">
        <f t="shared" si="19"/>
        <v>60</v>
      </c>
      <c r="BE542" s="13" t="s">
        <v>1697</v>
      </c>
      <c r="BF542" s="13" t="s">
        <v>951</v>
      </c>
      <c r="BG542" s="13" t="s">
        <v>6505</v>
      </c>
      <c r="BJ542" s="13" t="s">
        <v>6679</v>
      </c>
      <c r="BO542" s="13" t="s">
        <v>6507</v>
      </c>
      <c r="BS542" s="13" t="s">
        <v>127</v>
      </c>
      <c r="BT542" s="13" t="s">
        <v>6785</v>
      </c>
      <c r="BU542" s="13" t="s">
        <v>129</v>
      </c>
      <c r="BX542" s="13" t="s">
        <v>6918</v>
      </c>
      <c r="BY542" s="25"/>
      <c r="DA542" s="13" t="s">
        <v>10348</v>
      </c>
      <c r="DB542" s="13" t="s">
        <v>10348</v>
      </c>
    </row>
    <row r="543" spans="1:106" s="13" customFormat="1" ht="12.75" customHeight="1" x14ac:dyDescent="0.2">
      <c r="A543" s="13" t="s">
        <v>102</v>
      </c>
      <c r="B543" s="13" t="s">
        <v>103</v>
      </c>
      <c r="D543" s="13" t="s">
        <v>937</v>
      </c>
      <c r="E543" s="17" t="s">
        <v>228</v>
      </c>
      <c r="F543" s="13" t="s">
        <v>937</v>
      </c>
      <c r="G543" s="17" t="s">
        <v>229</v>
      </c>
      <c r="H543" s="13" t="s">
        <v>7712</v>
      </c>
      <c r="I543" s="17"/>
      <c r="J543" s="13" t="s">
        <v>106</v>
      </c>
      <c r="W543" s="13">
        <v>635</v>
      </c>
      <c r="X543" s="13">
        <v>635</v>
      </c>
      <c r="Y543" s="13" t="s">
        <v>107</v>
      </c>
      <c r="Z543" s="13" t="s">
        <v>108</v>
      </c>
      <c r="AA543" s="37" t="s">
        <v>107</v>
      </c>
      <c r="AB543" s="13" t="s">
        <v>6919</v>
      </c>
      <c r="AC543" s="13" t="s">
        <v>6919</v>
      </c>
      <c r="AD543" s="13" t="s">
        <v>6919</v>
      </c>
      <c r="AE543" s="22" t="s">
        <v>112</v>
      </c>
      <c r="AF543" s="13" t="s">
        <v>6919</v>
      </c>
      <c r="AG543" s="32" t="s">
        <v>6919</v>
      </c>
      <c r="AH543" s="13" t="s">
        <v>6920</v>
      </c>
      <c r="AL543" s="13" t="s">
        <v>6921</v>
      </c>
      <c r="AN543" s="13">
        <v>329</v>
      </c>
      <c r="AO543" s="13" t="s">
        <v>6922</v>
      </c>
      <c r="AQ543" s="13" t="s">
        <v>6919</v>
      </c>
      <c r="AR543" s="13" t="s">
        <v>6919</v>
      </c>
      <c r="AS543" s="13" t="s">
        <v>116</v>
      </c>
      <c r="AT543" s="13" t="s">
        <v>6923</v>
      </c>
      <c r="AU543" s="13" t="s">
        <v>6780</v>
      </c>
      <c r="AV543" s="13" t="s">
        <v>2204</v>
      </c>
      <c r="AW543" s="23" t="s">
        <v>1691</v>
      </c>
      <c r="AX543" s="23" t="s">
        <v>1692</v>
      </c>
      <c r="AY543" s="13" t="s">
        <v>6924</v>
      </c>
      <c r="AZ543" s="13" t="s">
        <v>6925</v>
      </c>
      <c r="BA543" s="13" t="s">
        <v>6925</v>
      </c>
      <c r="BB543" s="13" t="s">
        <v>6926</v>
      </c>
      <c r="BC543" s="13" t="s">
        <v>6927</v>
      </c>
      <c r="BD543" s="16">
        <f t="shared" si="19"/>
        <v>60</v>
      </c>
      <c r="BE543" s="13" t="s">
        <v>1697</v>
      </c>
      <c r="BF543" s="13" t="s">
        <v>951</v>
      </c>
      <c r="BG543" s="13" t="s">
        <v>6505</v>
      </c>
      <c r="BJ543" s="13" t="s">
        <v>5942</v>
      </c>
      <c r="BO543" s="13" t="s">
        <v>6507</v>
      </c>
      <c r="BS543" s="13" t="s">
        <v>127</v>
      </c>
      <c r="BT543" s="13" t="s">
        <v>6785</v>
      </c>
      <c r="BU543" s="13" t="s">
        <v>129</v>
      </c>
      <c r="BX543" s="13" t="s">
        <v>6928</v>
      </c>
      <c r="BY543" s="25"/>
      <c r="DA543" s="13" t="s">
        <v>10348</v>
      </c>
      <c r="DB543" s="13" t="s">
        <v>10348</v>
      </c>
    </row>
    <row r="544" spans="1:106" s="13" customFormat="1" ht="12.75" customHeight="1" x14ac:dyDescent="0.2">
      <c r="A544" s="13" t="s">
        <v>102</v>
      </c>
      <c r="B544" s="13" t="s">
        <v>103</v>
      </c>
      <c r="D544" s="13" t="s">
        <v>104</v>
      </c>
      <c r="E544" s="13" t="s">
        <v>105</v>
      </c>
      <c r="F544" s="13" t="s">
        <v>104</v>
      </c>
      <c r="G544" s="13" t="s">
        <v>105</v>
      </c>
      <c r="H544" s="13" t="s">
        <v>7712</v>
      </c>
      <c r="J544" s="13" t="s">
        <v>106</v>
      </c>
      <c r="W544" s="13">
        <v>3</v>
      </c>
      <c r="X544" s="13">
        <v>3</v>
      </c>
      <c r="Y544" s="13" t="s">
        <v>107</v>
      </c>
      <c r="Z544" s="13" t="s">
        <v>108</v>
      </c>
      <c r="AA544" s="36" t="s">
        <v>107</v>
      </c>
      <c r="AB544" s="13" t="s">
        <v>146</v>
      </c>
      <c r="AC544" s="13" t="s">
        <v>147</v>
      </c>
      <c r="AD544" s="13" t="s">
        <v>146</v>
      </c>
      <c r="AE544" s="22" t="s">
        <v>112</v>
      </c>
      <c r="AF544" s="13" t="s">
        <v>146</v>
      </c>
      <c r="AG544" s="13" t="s">
        <v>146</v>
      </c>
      <c r="AH544" s="13" t="s">
        <v>148</v>
      </c>
      <c r="AL544" s="13" t="s">
        <v>149</v>
      </c>
      <c r="AN544" s="13">
        <v>329</v>
      </c>
      <c r="AO544" s="13" t="s">
        <v>150</v>
      </c>
      <c r="AQ544" s="13" t="s">
        <v>146</v>
      </c>
      <c r="AR544" s="13" t="s">
        <v>146</v>
      </c>
      <c r="AS544" s="13" t="s">
        <v>116</v>
      </c>
      <c r="AT544" s="13" t="s">
        <v>151</v>
      </c>
      <c r="AU544" s="13" t="s">
        <v>152</v>
      </c>
      <c r="AV544" s="14" t="s">
        <v>153</v>
      </c>
      <c r="AW544" s="26"/>
      <c r="AX544" s="26"/>
      <c r="AY544" s="21" t="s">
        <v>154</v>
      </c>
      <c r="AZ544" s="17" t="s">
        <v>155</v>
      </c>
      <c r="BA544" s="17" t="s">
        <v>155</v>
      </c>
      <c r="BB544" s="17" t="s">
        <v>156</v>
      </c>
      <c r="BC544" s="17" t="s">
        <v>156</v>
      </c>
      <c r="BD544" s="27">
        <f>LEN(SUBSTITUTE(BC544,", ",","))</f>
        <v>53</v>
      </c>
      <c r="BE544" s="17" t="s">
        <v>157</v>
      </c>
      <c r="BF544" s="17"/>
      <c r="BG544" s="17" t="s">
        <v>158</v>
      </c>
      <c r="BH544" s="17"/>
      <c r="BI544" s="17"/>
      <c r="BJ544" s="17" t="s">
        <v>159</v>
      </c>
      <c r="BK544" s="17"/>
      <c r="BL544" s="17"/>
      <c r="BM544" s="17"/>
      <c r="BN544" s="17"/>
      <c r="BO544" s="17" t="s">
        <v>160</v>
      </c>
      <c r="BP544" s="17"/>
      <c r="BQ544" s="17"/>
      <c r="BR544" s="17"/>
      <c r="BS544" s="17" t="s">
        <v>127</v>
      </c>
      <c r="BT544" s="17"/>
      <c r="BU544" s="17" t="s">
        <v>129</v>
      </c>
      <c r="BV544" s="17"/>
      <c r="BW544" s="17"/>
      <c r="BX544" s="13" t="s">
        <v>161</v>
      </c>
      <c r="BY544" s="13" t="s">
        <v>162</v>
      </c>
      <c r="DA544" s="13" t="s">
        <v>10348</v>
      </c>
      <c r="DB544" s="13" t="s">
        <v>10348</v>
      </c>
    </row>
    <row r="545" spans="1:106" s="13" customFormat="1" ht="12.75" customHeight="1" x14ac:dyDescent="0.2">
      <c r="A545" s="13" t="s">
        <v>102</v>
      </c>
      <c r="B545" s="13" t="s">
        <v>103</v>
      </c>
      <c r="D545" s="13" t="s">
        <v>104</v>
      </c>
      <c r="E545" s="13" t="s">
        <v>105</v>
      </c>
      <c r="F545" s="13" t="s">
        <v>104</v>
      </c>
      <c r="G545" s="13" t="s">
        <v>105</v>
      </c>
      <c r="H545" s="13" t="s">
        <v>7712</v>
      </c>
      <c r="J545" s="13" t="s">
        <v>106</v>
      </c>
      <c r="W545" s="13">
        <v>4</v>
      </c>
      <c r="X545" s="13">
        <v>4</v>
      </c>
      <c r="Y545" s="13" t="s">
        <v>107</v>
      </c>
      <c r="Z545" s="13" t="s">
        <v>108</v>
      </c>
      <c r="AA545" s="36" t="s">
        <v>107</v>
      </c>
      <c r="AB545" s="13" t="s">
        <v>163</v>
      </c>
      <c r="AC545" s="13" t="s">
        <v>164</v>
      </c>
      <c r="AD545" s="13" t="s">
        <v>163</v>
      </c>
      <c r="AE545" s="22" t="s">
        <v>112</v>
      </c>
      <c r="AF545" s="13" t="s">
        <v>163</v>
      </c>
      <c r="AG545" s="13" t="s">
        <v>163</v>
      </c>
      <c r="AH545" s="13" t="s">
        <v>165</v>
      </c>
      <c r="AL545" s="13" t="s">
        <v>166</v>
      </c>
      <c r="AN545" s="13">
        <v>329</v>
      </c>
      <c r="AO545" s="13" t="s">
        <v>167</v>
      </c>
      <c r="AQ545" s="13" t="s">
        <v>163</v>
      </c>
      <c r="AR545" s="13" t="s">
        <v>163</v>
      </c>
      <c r="AS545" s="13" t="s">
        <v>116</v>
      </c>
      <c r="AT545" s="13" t="s">
        <v>168</v>
      </c>
      <c r="AU545" s="13" t="s">
        <v>168</v>
      </c>
      <c r="AV545" s="28" t="s">
        <v>169</v>
      </c>
      <c r="AW545" s="26" t="s">
        <v>170</v>
      </c>
      <c r="AX545" s="41" t="s">
        <v>171</v>
      </c>
      <c r="AY545" s="21" t="s">
        <v>172</v>
      </c>
      <c r="AZ545" s="17" t="s">
        <v>173</v>
      </c>
      <c r="BA545" s="17" t="s">
        <v>173</v>
      </c>
      <c r="BB545" s="17" t="s">
        <v>174</v>
      </c>
      <c r="BC545" s="17" t="s">
        <v>175</v>
      </c>
      <c r="BD545" s="27">
        <f>LEN(SUBSTITUTE(BC545,", ",","))</f>
        <v>58</v>
      </c>
      <c r="BE545" s="17" t="s">
        <v>176</v>
      </c>
      <c r="BF545" s="17"/>
      <c r="BG545" s="17"/>
      <c r="BH545" s="17" t="s">
        <v>177</v>
      </c>
      <c r="BI545" s="17"/>
      <c r="BJ545" s="17" t="s">
        <v>178</v>
      </c>
      <c r="BK545" s="17"/>
      <c r="BL545" s="17"/>
      <c r="BM545" s="17"/>
      <c r="BN545" s="17"/>
      <c r="BO545" s="17" t="s">
        <v>179</v>
      </c>
      <c r="BP545" s="17"/>
      <c r="BQ545" s="17"/>
      <c r="BR545" s="17"/>
      <c r="BS545" s="17" t="s">
        <v>127</v>
      </c>
      <c r="BT545" s="17"/>
      <c r="BU545" s="17" t="s">
        <v>129</v>
      </c>
      <c r="BV545" s="17"/>
      <c r="BW545" s="17"/>
      <c r="BX545" s="13" t="s">
        <v>180</v>
      </c>
      <c r="BY545" s="13" t="s">
        <v>181</v>
      </c>
      <c r="DA545" s="13" t="s">
        <v>10348</v>
      </c>
      <c r="DB545" s="13" t="s">
        <v>10348</v>
      </c>
    </row>
    <row r="546" spans="1:106" s="13" customFormat="1" ht="12.75" customHeight="1" x14ac:dyDescent="0.2">
      <c r="A546" s="13" t="s">
        <v>102</v>
      </c>
      <c r="B546" s="13" t="s">
        <v>103</v>
      </c>
      <c r="D546" s="13" t="s">
        <v>104</v>
      </c>
      <c r="E546" s="13" t="s">
        <v>105</v>
      </c>
      <c r="F546" s="13" t="s">
        <v>104</v>
      </c>
      <c r="G546" s="13" t="s">
        <v>105</v>
      </c>
      <c r="H546" s="13" t="s">
        <v>7712</v>
      </c>
      <c r="J546" s="13" t="s">
        <v>106</v>
      </c>
      <c r="W546" s="13">
        <v>5</v>
      </c>
      <c r="X546" s="13">
        <v>5</v>
      </c>
      <c r="Y546" s="13" t="s">
        <v>107</v>
      </c>
      <c r="Z546" s="13" t="s">
        <v>108</v>
      </c>
      <c r="AA546" s="36" t="s">
        <v>107</v>
      </c>
      <c r="AB546" s="13" t="s">
        <v>182</v>
      </c>
      <c r="AC546" s="13" t="s">
        <v>183</v>
      </c>
      <c r="AD546" s="13" t="s">
        <v>182</v>
      </c>
      <c r="AE546" s="22" t="s">
        <v>112</v>
      </c>
      <c r="AF546" s="13" t="s">
        <v>182</v>
      </c>
      <c r="AG546" s="13" t="s">
        <v>182</v>
      </c>
      <c r="AH546" s="13" t="s">
        <v>184</v>
      </c>
      <c r="AL546" s="13" t="s">
        <v>185</v>
      </c>
      <c r="AN546" s="13">
        <v>329</v>
      </c>
      <c r="AO546" s="13" t="s">
        <v>186</v>
      </c>
      <c r="AQ546" s="13" t="s">
        <v>182</v>
      </c>
      <c r="AR546" s="13" t="s">
        <v>182</v>
      </c>
      <c r="AS546" s="13" t="s">
        <v>116</v>
      </c>
      <c r="AT546" s="13" t="s">
        <v>187</v>
      </c>
      <c r="AU546" s="13" t="s">
        <v>188</v>
      </c>
      <c r="AV546" s="28" t="s">
        <v>169</v>
      </c>
      <c r="AW546" s="26" t="s">
        <v>170</v>
      </c>
      <c r="AX546" s="41" t="s">
        <v>171</v>
      </c>
      <c r="AY546" s="21" t="s">
        <v>189</v>
      </c>
      <c r="AZ546" s="17" t="s">
        <v>190</v>
      </c>
      <c r="BA546" s="17" t="s">
        <v>190</v>
      </c>
      <c r="BB546" s="17" t="s">
        <v>191</v>
      </c>
      <c r="BC546" s="17" t="s">
        <v>192</v>
      </c>
      <c r="BD546" s="27">
        <f>LEN(SUBSTITUTE(BC546,", ",","))</f>
        <v>59</v>
      </c>
      <c r="BE546" s="17" t="s">
        <v>176</v>
      </c>
      <c r="BF546" s="17"/>
      <c r="BG546" s="17" t="s">
        <v>193</v>
      </c>
      <c r="BH546" s="17"/>
      <c r="BI546" s="17"/>
      <c r="BJ546" s="17" t="s">
        <v>194</v>
      </c>
      <c r="BK546" s="17"/>
      <c r="BL546" s="17"/>
      <c r="BM546" s="17"/>
      <c r="BN546" s="17"/>
      <c r="BO546" s="17" t="s">
        <v>195</v>
      </c>
      <c r="BP546" s="17"/>
      <c r="BQ546" s="17"/>
      <c r="BR546" s="17"/>
      <c r="BS546" s="17" t="s">
        <v>127</v>
      </c>
      <c r="BT546" s="17"/>
      <c r="BU546" s="17" t="s">
        <v>129</v>
      </c>
      <c r="BV546" s="17"/>
      <c r="BW546" s="17"/>
      <c r="BX546" s="13" t="s">
        <v>196</v>
      </c>
      <c r="BY546" s="13" t="s">
        <v>197</v>
      </c>
      <c r="DA546" s="13" t="s">
        <v>10348</v>
      </c>
      <c r="DB546" s="13" t="s">
        <v>10348</v>
      </c>
    </row>
    <row r="547" spans="1:106" s="13" customFormat="1" ht="12.75" customHeight="1" x14ac:dyDescent="0.2">
      <c r="A547" s="13" t="s">
        <v>102</v>
      </c>
      <c r="B547" s="13" t="s">
        <v>103</v>
      </c>
      <c r="D547" s="13" t="s">
        <v>104</v>
      </c>
      <c r="E547" s="13" t="s">
        <v>105</v>
      </c>
      <c r="F547" s="13" t="s">
        <v>104</v>
      </c>
      <c r="G547" s="13" t="s">
        <v>105</v>
      </c>
      <c r="H547" s="13" t="s">
        <v>7712</v>
      </c>
      <c r="J547" s="13" t="s">
        <v>106</v>
      </c>
      <c r="W547" s="13">
        <v>6</v>
      </c>
      <c r="X547" s="13">
        <v>6</v>
      </c>
      <c r="Y547" s="13" t="s">
        <v>107</v>
      </c>
      <c r="Z547" s="13" t="s">
        <v>108</v>
      </c>
      <c r="AA547" s="36" t="s">
        <v>107</v>
      </c>
      <c r="AB547" s="13" t="s">
        <v>198</v>
      </c>
      <c r="AC547" s="13" t="s">
        <v>199</v>
      </c>
      <c r="AD547" s="13" t="s">
        <v>198</v>
      </c>
      <c r="AE547" s="22" t="s">
        <v>112</v>
      </c>
      <c r="AF547" s="13" t="s">
        <v>198</v>
      </c>
      <c r="AG547" s="13" t="s">
        <v>198</v>
      </c>
      <c r="AH547" s="13" t="s">
        <v>200</v>
      </c>
      <c r="AL547" s="13" t="s">
        <v>201</v>
      </c>
      <c r="AN547" s="13">
        <v>329</v>
      </c>
      <c r="AO547" s="13" t="s">
        <v>202</v>
      </c>
      <c r="AQ547" s="13" t="s">
        <v>198</v>
      </c>
      <c r="AR547" s="13" t="s">
        <v>198</v>
      </c>
      <c r="AS547" s="13" t="s">
        <v>116</v>
      </c>
      <c r="AT547" s="13" t="s">
        <v>203</v>
      </c>
      <c r="AU547" s="13" t="s">
        <v>204</v>
      </c>
      <c r="AV547" s="28" t="s">
        <v>169</v>
      </c>
      <c r="AW547" s="26" t="s">
        <v>170</v>
      </c>
      <c r="AX547" s="41" t="s">
        <v>171</v>
      </c>
      <c r="AY547" s="21" t="s">
        <v>205</v>
      </c>
      <c r="AZ547" s="17" t="s">
        <v>206</v>
      </c>
      <c r="BA547" s="17" t="s">
        <v>206</v>
      </c>
      <c r="BB547" s="17" t="s">
        <v>207</v>
      </c>
      <c r="BC547" s="17" t="s">
        <v>208</v>
      </c>
      <c r="BD547" s="27">
        <f>LEN(SUBSTITUTE(BC547,", ",","))</f>
        <v>59</v>
      </c>
      <c r="BE547" s="17" t="s">
        <v>176</v>
      </c>
      <c r="BF547" s="17"/>
      <c r="BG547" s="17" t="s">
        <v>209</v>
      </c>
      <c r="BH547" s="17"/>
      <c r="BI547" s="17"/>
      <c r="BJ547" s="17" t="s">
        <v>210</v>
      </c>
      <c r="BK547" s="17"/>
      <c r="BL547" s="17"/>
      <c r="BM547" s="17"/>
      <c r="BN547" s="17"/>
      <c r="BO547" s="17" t="s">
        <v>211</v>
      </c>
      <c r="BP547" s="17"/>
      <c r="BQ547" s="17"/>
      <c r="BR547" s="17"/>
      <c r="BS547" s="17" t="s">
        <v>127</v>
      </c>
      <c r="BT547" s="17"/>
      <c r="BU547" s="17" t="s">
        <v>129</v>
      </c>
      <c r="BV547" s="17"/>
      <c r="BW547" s="17"/>
      <c r="BX547" s="13" t="s">
        <v>212</v>
      </c>
      <c r="BY547" s="13" t="s">
        <v>213</v>
      </c>
      <c r="DA547" s="13" t="s">
        <v>10348</v>
      </c>
      <c r="DB547" s="13" t="s">
        <v>10348</v>
      </c>
    </row>
    <row r="548" spans="1:106" s="13" customFormat="1" ht="12.75" customHeight="1" x14ac:dyDescent="0.2">
      <c r="A548" s="13" t="s">
        <v>102</v>
      </c>
      <c r="B548" s="13" t="s">
        <v>103</v>
      </c>
      <c r="D548" s="13" t="s">
        <v>104</v>
      </c>
      <c r="E548" s="13" t="s">
        <v>105</v>
      </c>
      <c r="F548" s="13" t="s">
        <v>104</v>
      </c>
      <c r="G548" s="13" t="s">
        <v>105</v>
      </c>
      <c r="H548" s="13" t="s">
        <v>7712</v>
      </c>
      <c r="J548" s="13" t="s">
        <v>106</v>
      </c>
      <c r="W548" s="13">
        <v>7</v>
      </c>
      <c r="X548" s="13">
        <v>7</v>
      </c>
      <c r="Y548" s="13" t="s">
        <v>107</v>
      </c>
      <c r="Z548" s="13" t="s">
        <v>108</v>
      </c>
      <c r="AA548" s="36" t="s">
        <v>107</v>
      </c>
      <c r="AB548" s="13" t="s">
        <v>214</v>
      </c>
      <c r="AC548" s="13" t="s">
        <v>215</v>
      </c>
      <c r="AD548" s="13" t="s">
        <v>214</v>
      </c>
      <c r="AE548" s="22" t="s">
        <v>112</v>
      </c>
      <c r="AF548" s="13" t="s">
        <v>214</v>
      </c>
      <c r="AG548" s="13" t="s">
        <v>214</v>
      </c>
      <c r="AH548" s="13" t="s">
        <v>216</v>
      </c>
      <c r="AL548" s="13" t="s">
        <v>217</v>
      </c>
      <c r="AN548" s="13">
        <v>329</v>
      </c>
      <c r="AO548" s="13" t="s">
        <v>218</v>
      </c>
      <c r="AQ548" s="13" t="s">
        <v>214</v>
      </c>
      <c r="AR548" s="13" t="s">
        <v>214</v>
      </c>
      <c r="AS548" s="13" t="s">
        <v>116</v>
      </c>
      <c r="AT548" s="13" t="s">
        <v>219</v>
      </c>
      <c r="AU548" s="13" t="s">
        <v>220</v>
      </c>
      <c r="AV548" s="28" t="s">
        <v>169</v>
      </c>
      <c r="AW548" s="26" t="s">
        <v>170</v>
      </c>
      <c r="AX548" s="41" t="s">
        <v>171</v>
      </c>
      <c r="AY548" s="21" t="s">
        <v>221</v>
      </c>
      <c r="AZ548" s="17" t="s">
        <v>222</v>
      </c>
      <c r="BA548" s="17" t="s">
        <v>222</v>
      </c>
      <c r="BB548" s="17" t="s">
        <v>223</v>
      </c>
      <c r="BC548" s="17" t="s">
        <v>223</v>
      </c>
      <c r="BD548" s="27">
        <f>LEN(SUBSTITUTE(BC548,", ",","))</f>
        <v>55</v>
      </c>
      <c r="BE548" s="17" t="s">
        <v>176</v>
      </c>
      <c r="BF548" s="17"/>
      <c r="BG548" s="17" t="s">
        <v>224</v>
      </c>
      <c r="BH548" s="17"/>
      <c r="BI548" s="17"/>
      <c r="BJ548" s="17" t="s">
        <v>210</v>
      </c>
      <c r="BK548" s="17"/>
      <c r="BL548" s="17"/>
      <c r="BM548" s="17"/>
      <c r="BN548" s="17"/>
      <c r="BO548" s="17" t="s">
        <v>225</v>
      </c>
      <c r="BP548" s="17"/>
      <c r="BQ548" s="17"/>
      <c r="BR548" s="17"/>
      <c r="BS548" s="17" t="s">
        <v>127</v>
      </c>
      <c r="BT548" s="17"/>
      <c r="BU548" s="17" t="s">
        <v>129</v>
      </c>
      <c r="BV548" s="17"/>
      <c r="BW548" s="17"/>
      <c r="BX548" s="13" t="s">
        <v>226</v>
      </c>
      <c r="DA548" s="13" t="s">
        <v>10348</v>
      </c>
      <c r="DB548" s="13" t="s">
        <v>10348</v>
      </c>
    </row>
    <row r="549" spans="1:106" s="13" customFormat="1" ht="12.75" customHeight="1" x14ac:dyDescent="0.2">
      <c r="A549" s="13" t="s">
        <v>102</v>
      </c>
      <c r="B549" s="13" t="s">
        <v>103</v>
      </c>
      <c r="D549" s="13" t="s">
        <v>227</v>
      </c>
      <c r="E549" s="13" t="s">
        <v>228</v>
      </c>
      <c r="F549" s="13" t="s">
        <v>227</v>
      </c>
      <c r="G549" s="13" t="s">
        <v>229</v>
      </c>
      <c r="H549" s="13" t="s">
        <v>7712</v>
      </c>
      <c r="J549" s="13" t="s">
        <v>106</v>
      </c>
      <c r="W549" s="13">
        <v>8</v>
      </c>
      <c r="X549" s="13">
        <v>8</v>
      </c>
      <c r="Y549" s="13" t="s">
        <v>107</v>
      </c>
      <c r="Z549" s="13" t="s">
        <v>108</v>
      </c>
      <c r="AA549" s="37" t="s">
        <v>107</v>
      </c>
      <c r="AB549" s="13" t="s">
        <v>230</v>
      </c>
      <c r="AC549" s="13" t="s">
        <v>231</v>
      </c>
      <c r="AD549" s="13" t="s">
        <v>230</v>
      </c>
      <c r="AE549" s="22" t="s">
        <v>112</v>
      </c>
      <c r="AF549" s="13" t="s">
        <v>230</v>
      </c>
      <c r="AG549" s="13" t="s">
        <v>230</v>
      </c>
      <c r="AH549" s="14" t="s">
        <v>232</v>
      </c>
      <c r="AL549" s="13" t="s">
        <v>233</v>
      </c>
      <c r="AN549" s="13">
        <v>329</v>
      </c>
      <c r="AO549" s="13" t="s">
        <v>234</v>
      </c>
      <c r="AQ549" s="13" t="s">
        <v>230</v>
      </c>
      <c r="AR549" s="13" t="s">
        <v>230</v>
      </c>
      <c r="AS549" s="13" t="s">
        <v>116</v>
      </c>
      <c r="AT549" s="13" t="s">
        <v>235</v>
      </c>
      <c r="AU549" s="13" t="s">
        <v>236</v>
      </c>
      <c r="AV549" s="27" t="s">
        <v>237</v>
      </c>
      <c r="AW549" s="26"/>
      <c r="AX549" s="26"/>
      <c r="AY549" s="13" t="s">
        <v>238</v>
      </c>
      <c r="AZ549" s="13" t="s">
        <v>239</v>
      </c>
      <c r="BA549" s="13" t="s">
        <v>239</v>
      </c>
      <c r="BB549" s="13" t="s">
        <v>240</v>
      </c>
      <c r="BC549" s="13" t="s">
        <v>241</v>
      </c>
      <c r="BD549" s="30">
        <f t="shared" ref="BD549:BD594" si="20">LEN(SUBSTITUTE(BC549, ", ",","))</f>
        <v>59</v>
      </c>
      <c r="BE549" s="13" t="s">
        <v>242</v>
      </c>
      <c r="BF549" s="13" t="s">
        <v>243</v>
      </c>
      <c r="BG549" s="13" t="s">
        <v>244</v>
      </c>
      <c r="BJ549" s="13" t="s">
        <v>194</v>
      </c>
      <c r="BO549" s="13" t="s">
        <v>245</v>
      </c>
      <c r="BP549" s="13" t="s">
        <v>246</v>
      </c>
      <c r="BS549" s="13" t="s">
        <v>127</v>
      </c>
      <c r="BU549" s="13" t="s">
        <v>129</v>
      </c>
      <c r="BW549" s="13" t="s">
        <v>247</v>
      </c>
      <c r="BX549" s="13" t="s">
        <v>248</v>
      </c>
      <c r="DA549" s="13" t="s">
        <v>10348</v>
      </c>
      <c r="DB549" s="13" t="s">
        <v>10348</v>
      </c>
    </row>
    <row r="550" spans="1:106" s="13" customFormat="1" ht="12.75" customHeight="1" x14ac:dyDescent="0.2">
      <c r="A550" s="13" t="s">
        <v>102</v>
      </c>
      <c r="B550" s="13" t="s">
        <v>103</v>
      </c>
      <c r="D550" s="13" t="s">
        <v>227</v>
      </c>
      <c r="E550" s="13" t="s">
        <v>228</v>
      </c>
      <c r="F550" s="13" t="s">
        <v>227</v>
      </c>
      <c r="G550" s="13" t="s">
        <v>229</v>
      </c>
      <c r="H550" s="13" t="s">
        <v>7712</v>
      </c>
      <c r="J550" s="13" t="s">
        <v>106</v>
      </c>
      <c r="W550" s="13">
        <v>9</v>
      </c>
      <c r="X550" s="13">
        <v>9</v>
      </c>
      <c r="Y550" s="13" t="s">
        <v>107</v>
      </c>
      <c r="Z550" s="13" t="s">
        <v>108</v>
      </c>
      <c r="AA550" s="37" t="s">
        <v>107</v>
      </c>
      <c r="AB550" s="13" t="s">
        <v>249</v>
      </c>
      <c r="AC550" s="13" t="s">
        <v>250</v>
      </c>
      <c r="AD550" s="13" t="s">
        <v>249</v>
      </c>
      <c r="AE550" s="22" t="s">
        <v>112</v>
      </c>
      <c r="AF550" s="13" t="s">
        <v>249</v>
      </c>
      <c r="AG550" s="13" t="s">
        <v>249</v>
      </c>
      <c r="AH550" s="14" t="s">
        <v>251</v>
      </c>
      <c r="AL550" s="13" t="s">
        <v>252</v>
      </c>
      <c r="AN550" s="13">
        <v>329</v>
      </c>
      <c r="AO550" s="13" t="s">
        <v>253</v>
      </c>
      <c r="AQ550" s="13" t="s">
        <v>249</v>
      </c>
      <c r="AR550" s="13" t="s">
        <v>249</v>
      </c>
      <c r="AS550" s="13" t="s">
        <v>116</v>
      </c>
      <c r="AT550" s="13" t="s">
        <v>254</v>
      </c>
      <c r="AU550" s="13" t="s">
        <v>236</v>
      </c>
      <c r="AV550" s="27" t="s">
        <v>237</v>
      </c>
      <c r="AW550" s="26"/>
      <c r="AX550" s="26"/>
      <c r="AY550" s="13" t="s">
        <v>255</v>
      </c>
      <c r="AZ550" s="13" t="s">
        <v>256</v>
      </c>
      <c r="BA550" s="13" t="s">
        <v>256</v>
      </c>
      <c r="BB550" s="13" t="s">
        <v>257</v>
      </c>
      <c r="BC550" s="13" t="s">
        <v>258</v>
      </c>
      <c r="BD550" s="30">
        <f t="shared" si="20"/>
        <v>55</v>
      </c>
      <c r="BE550" s="13" t="s">
        <v>242</v>
      </c>
      <c r="BF550" s="13" t="s">
        <v>243</v>
      </c>
      <c r="BG550" s="13" t="s">
        <v>259</v>
      </c>
      <c r="BJ550" s="13" t="s">
        <v>194</v>
      </c>
      <c r="BO550" s="13" t="s">
        <v>245</v>
      </c>
      <c r="BP550" s="13" t="s">
        <v>260</v>
      </c>
      <c r="BS550" s="13" t="s">
        <v>127</v>
      </c>
      <c r="BU550" s="13" t="s">
        <v>129</v>
      </c>
      <c r="BX550" s="13" t="s">
        <v>261</v>
      </c>
      <c r="DA550" s="13" t="s">
        <v>10348</v>
      </c>
      <c r="DB550" s="13" t="s">
        <v>10348</v>
      </c>
    </row>
    <row r="551" spans="1:106" s="13" customFormat="1" ht="12.75" customHeight="1" x14ac:dyDescent="0.2">
      <c r="A551" s="13" t="s">
        <v>102</v>
      </c>
      <c r="B551" s="13" t="s">
        <v>103</v>
      </c>
      <c r="D551" s="13" t="s">
        <v>227</v>
      </c>
      <c r="E551" s="13" t="s">
        <v>228</v>
      </c>
      <c r="F551" s="13" t="s">
        <v>227</v>
      </c>
      <c r="G551" s="13" t="s">
        <v>229</v>
      </c>
      <c r="H551" s="13" t="s">
        <v>7712</v>
      </c>
      <c r="J551" s="13" t="s">
        <v>106</v>
      </c>
      <c r="W551" s="13">
        <v>10</v>
      </c>
      <c r="X551" s="13">
        <v>10</v>
      </c>
      <c r="Y551" s="13" t="s">
        <v>107</v>
      </c>
      <c r="Z551" s="13" t="s">
        <v>108</v>
      </c>
      <c r="AA551" s="37" t="s">
        <v>107</v>
      </c>
      <c r="AB551" s="13" t="s">
        <v>262</v>
      </c>
      <c r="AC551" s="13" t="s">
        <v>263</v>
      </c>
      <c r="AD551" s="13" t="s">
        <v>262</v>
      </c>
      <c r="AE551" s="22" t="s">
        <v>112</v>
      </c>
      <c r="AF551" s="13" t="s">
        <v>262</v>
      </c>
      <c r="AG551" s="13" t="s">
        <v>262</v>
      </c>
      <c r="AH551" s="14" t="s">
        <v>264</v>
      </c>
      <c r="AL551" s="13" t="s">
        <v>265</v>
      </c>
      <c r="AN551" s="13">
        <v>329</v>
      </c>
      <c r="AO551" s="13" t="s">
        <v>266</v>
      </c>
      <c r="AQ551" s="13" t="s">
        <v>262</v>
      </c>
      <c r="AR551" s="13" t="s">
        <v>262</v>
      </c>
      <c r="AS551" s="13" t="s">
        <v>116</v>
      </c>
      <c r="AT551" s="13" t="s">
        <v>267</v>
      </c>
      <c r="AU551" s="13" t="s">
        <v>236</v>
      </c>
      <c r="AV551" s="27" t="s">
        <v>237</v>
      </c>
      <c r="AW551" s="26"/>
      <c r="AX551" s="26"/>
      <c r="AY551" s="13" t="s">
        <v>268</v>
      </c>
      <c r="AZ551" s="13" t="s">
        <v>269</v>
      </c>
      <c r="BA551" s="13" t="s">
        <v>269</v>
      </c>
      <c r="BB551" s="13" t="s">
        <v>270</v>
      </c>
      <c r="BC551" s="13" t="s">
        <v>271</v>
      </c>
      <c r="BD551" s="30">
        <f t="shared" si="20"/>
        <v>60</v>
      </c>
      <c r="BE551" s="13" t="s">
        <v>242</v>
      </c>
      <c r="BF551" s="13" t="s">
        <v>243</v>
      </c>
      <c r="BG551" s="13" t="s">
        <v>244</v>
      </c>
      <c r="BJ551" s="13" t="s">
        <v>272</v>
      </c>
      <c r="BO551" s="13" t="s">
        <v>245</v>
      </c>
      <c r="BP551" s="13" t="s">
        <v>246</v>
      </c>
      <c r="BS551" s="13" t="s">
        <v>127</v>
      </c>
      <c r="BU551" s="13" t="s">
        <v>129</v>
      </c>
      <c r="BW551" s="13" t="s">
        <v>273</v>
      </c>
      <c r="BX551" s="13" t="s">
        <v>274</v>
      </c>
      <c r="DA551" s="13" t="s">
        <v>10348</v>
      </c>
      <c r="DB551" s="13" t="s">
        <v>10348</v>
      </c>
    </row>
    <row r="552" spans="1:106" s="13" customFormat="1" ht="12.75" customHeight="1" x14ac:dyDescent="0.2">
      <c r="A552" s="13" t="s">
        <v>102</v>
      </c>
      <c r="B552" s="13" t="s">
        <v>103</v>
      </c>
      <c r="D552" s="13" t="s">
        <v>227</v>
      </c>
      <c r="E552" s="13" t="s">
        <v>228</v>
      </c>
      <c r="F552" s="13" t="s">
        <v>227</v>
      </c>
      <c r="G552" s="13" t="s">
        <v>229</v>
      </c>
      <c r="H552" s="13" t="s">
        <v>7712</v>
      </c>
      <c r="J552" s="13" t="s">
        <v>106</v>
      </c>
      <c r="W552" s="13">
        <v>11</v>
      </c>
      <c r="X552" s="13">
        <v>11</v>
      </c>
      <c r="Y552" s="13" t="s">
        <v>107</v>
      </c>
      <c r="Z552" s="13" t="s">
        <v>108</v>
      </c>
      <c r="AA552" s="37" t="s">
        <v>107</v>
      </c>
      <c r="AB552" s="13" t="s">
        <v>275</v>
      </c>
      <c r="AC552" s="13" t="s">
        <v>276</v>
      </c>
      <c r="AD552" s="13" t="s">
        <v>275</v>
      </c>
      <c r="AE552" s="22" t="s">
        <v>112</v>
      </c>
      <c r="AF552" s="13" t="s">
        <v>275</v>
      </c>
      <c r="AG552" s="13" t="s">
        <v>275</v>
      </c>
      <c r="AH552" s="14" t="s">
        <v>277</v>
      </c>
      <c r="AL552" s="13" t="s">
        <v>278</v>
      </c>
      <c r="AN552" s="13">
        <v>329</v>
      </c>
      <c r="AO552" s="13" t="s">
        <v>279</v>
      </c>
      <c r="AQ552" s="13" t="s">
        <v>275</v>
      </c>
      <c r="AR552" s="13" t="s">
        <v>275</v>
      </c>
      <c r="AS552" s="13" t="s">
        <v>116</v>
      </c>
      <c r="AT552" s="13" t="s">
        <v>280</v>
      </c>
      <c r="AU552" s="13" t="s">
        <v>236</v>
      </c>
      <c r="AV552" s="27" t="s">
        <v>237</v>
      </c>
      <c r="AW552" s="26"/>
      <c r="AX552" s="26"/>
      <c r="AY552" s="13" t="s">
        <v>281</v>
      </c>
      <c r="AZ552" s="13" t="s">
        <v>282</v>
      </c>
      <c r="BA552" s="13" t="s">
        <v>282</v>
      </c>
      <c r="BB552" s="13" t="s">
        <v>283</v>
      </c>
      <c r="BC552" s="13" t="s">
        <v>284</v>
      </c>
      <c r="BD552" s="30">
        <f t="shared" si="20"/>
        <v>56</v>
      </c>
      <c r="BE552" s="13" t="s">
        <v>242</v>
      </c>
      <c r="BF552" s="13" t="s">
        <v>243</v>
      </c>
      <c r="BG552" s="13" t="s">
        <v>259</v>
      </c>
      <c r="BJ552" s="13" t="s">
        <v>272</v>
      </c>
      <c r="BO552" s="13" t="s">
        <v>245</v>
      </c>
      <c r="BP552" s="13" t="s">
        <v>260</v>
      </c>
      <c r="BS552" s="13" t="s">
        <v>127</v>
      </c>
      <c r="BU552" s="13" t="s">
        <v>129</v>
      </c>
      <c r="BW552" s="13" t="s">
        <v>273</v>
      </c>
      <c r="BX552" s="13" t="s">
        <v>285</v>
      </c>
      <c r="DA552" s="13" t="s">
        <v>10348</v>
      </c>
      <c r="DB552" s="13" t="s">
        <v>10348</v>
      </c>
    </row>
    <row r="553" spans="1:106" s="13" customFormat="1" ht="12.75" customHeight="1" x14ac:dyDescent="0.2">
      <c r="A553" s="13" t="s">
        <v>102</v>
      </c>
      <c r="B553" s="13" t="s">
        <v>103</v>
      </c>
      <c r="D553" s="13" t="s">
        <v>227</v>
      </c>
      <c r="E553" s="13" t="s">
        <v>228</v>
      </c>
      <c r="F553" s="13" t="s">
        <v>227</v>
      </c>
      <c r="G553" s="13" t="s">
        <v>229</v>
      </c>
      <c r="H553" s="13" t="s">
        <v>7712</v>
      </c>
      <c r="J553" s="13" t="s">
        <v>106</v>
      </c>
      <c r="W553" s="13">
        <v>12</v>
      </c>
      <c r="X553" s="13">
        <v>12</v>
      </c>
      <c r="Y553" s="13" t="s">
        <v>107</v>
      </c>
      <c r="Z553" s="13" t="s">
        <v>108</v>
      </c>
      <c r="AA553" s="37" t="s">
        <v>107</v>
      </c>
      <c r="AB553" s="13" t="s">
        <v>286</v>
      </c>
      <c r="AC553" s="13" t="s">
        <v>287</v>
      </c>
      <c r="AD553" s="13" t="s">
        <v>286</v>
      </c>
      <c r="AE553" s="22" t="s">
        <v>112</v>
      </c>
      <c r="AF553" s="13" t="s">
        <v>286</v>
      </c>
      <c r="AG553" s="13" t="s">
        <v>286</v>
      </c>
      <c r="AH553" s="14" t="s">
        <v>288</v>
      </c>
      <c r="AL553" s="13" t="s">
        <v>289</v>
      </c>
      <c r="AN553" s="13">
        <v>329</v>
      </c>
      <c r="AO553" s="13" t="s">
        <v>290</v>
      </c>
      <c r="AQ553" s="13" t="s">
        <v>286</v>
      </c>
      <c r="AR553" s="13" t="s">
        <v>286</v>
      </c>
      <c r="AS553" s="13" t="s">
        <v>116</v>
      </c>
      <c r="AT553" s="13" t="s">
        <v>291</v>
      </c>
      <c r="AU553" s="13" t="s">
        <v>292</v>
      </c>
      <c r="AV553" s="27" t="s">
        <v>237</v>
      </c>
      <c r="AW553" s="26"/>
      <c r="AX553" s="26"/>
      <c r="AY553" s="13" t="s">
        <v>293</v>
      </c>
      <c r="AZ553" s="13" t="s">
        <v>294</v>
      </c>
      <c r="BA553" s="13" t="s">
        <v>294</v>
      </c>
      <c r="BB553" s="13" t="s">
        <v>295</v>
      </c>
      <c r="BC553" s="13" t="s">
        <v>296</v>
      </c>
      <c r="BD553" s="30">
        <f t="shared" si="20"/>
        <v>59</v>
      </c>
      <c r="BE553" s="13" t="s">
        <v>242</v>
      </c>
      <c r="BF553" s="13" t="s">
        <v>243</v>
      </c>
      <c r="BG553" s="13" t="s">
        <v>244</v>
      </c>
      <c r="BJ553" s="13" t="s">
        <v>297</v>
      </c>
      <c r="BO553" s="13" t="s">
        <v>245</v>
      </c>
      <c r="BP553" s="13" t="s">
        <v>246</v>
      </c>
      <c r="BS553" s="13" t="s">
        <v>127</v>
      </c>
      <c r="BU553" s="13" t="s">
        <v>129</v>
      </c>
      <c r="BX553" s="13" t="s">
        <v>298</v>
      </c>
      <c r="DA553" s="13" t="s">
        <v>10348</v>
      </c>
      <c r="DB553" s="13" t="s">
        <v>10348</v>
      </c>
    </row>
    <row r="554" spans="1:106" s="13" customFormat="1" ht="12.75" customHeight="1" x14ac:dyDescent="0.2">
      <c r="A554" s="13" t="s">
        <v>102</v>
      </c>
      <c r="B554" s="13" t="s">
        <v>103</v>
      </c>
      <c r="D554" s="13" t="s">
        <v>227</v>
      </c>
      <c r="E554" s="13" t="s">
        <v>228</v>
      </c>
      <c r="F554" s="13" t="s">
        <v>227</v>
      </c>
      <c r="G554" s="13" t="s">
        <v>229</v>
      </c>
      <c r="H554" s="13" t="s">
        <v>7712</v>
      </c>
      <c r="J554" s="13" t="s">
        <v>106</v>
      </c>
      <c r="W554" s="13">
        <v>13</v>
      </c>
      <c r="X554" s="13">
        <v>13</v>
      </c>
      <c r="Y554" s="13" t="s">
        <v>107</v>
      </c>
      <c r="Z554" s="13" t="s">
        <v>108</v>
      </c>
      <c r="AA554" s="37" t="s">
        <v>107</v>
      </c>
      <c r="AB554" s="13" t="s">
        <v>299</v>
      </c>
      <c r="AC554" s="13" t="s">
        <v>300</v>
      </c>
      <c r="AD554" s="13" t="s">
        <v>299</v>
      </c>
      <c r="AE554" s="22" t="s">
        <v>112</v>
      </c>
      <c r="AF554" s="13" t="s">
        <v>299</v>
      </c>
      <c r="AG554" s="13" t="s">
        <v>299</v>
      </c>
      <c r="AH554" s="14" t="s">
        <v>301</v>
      </c>
      <c r="AL554" s="13" t="s">
        <v>302</v>
      </c>
      <c r="AN554" s="13">
        <v>329</v>
      </c>
      <c r="AO554" s="13" t="s">
        <v>303</v>
      </c>
      <c r="AQ554" s="13" t="s">
        <v>299</v>
      </c>
      <c r="AR554" s="13" t="s">
        <v>299</v>
      </c>
      <c r="AS554" s="13" t="s">
        <v>116</v>
      </c>
      <c r="AT554" s="13" t="s">
        <v>304</v>
      </c>
      <c r="AU554" s="13" t="s">
        <v>292</v>
      </c>
      <c r="AV554" s="27" t="s">
        <v>237</v>
      </c>
      <c r="AW554" s="26"/>
      <c r="AX554" s="26"/>
      <c r="AY554" s="13" t="s">
        <v>305</v>
      </c>
      <c r="AZ554" s="13" t="s">
        <v>306</v>
      </c>
      <c r="BA554" s="13" t="s">
        <v>306</v>
      </c>
      <c r="BB554" s="13" t="s">
        <v>307</v>
      </c>
      <c r="BC554" s="13" t="s">
        <v>308</v>
      </c>
      <c r="BD554" s="30">
        <f t="shared" si="20"/>
        <v>59</v>
      </c>
      <c r="BE554" s="13" t="s">
        <v>242</v>
      </c>
      <c r="BF554" s="13" t="s">
        <v>243</v>
      </c>
      <c r="BG554" s="13" t="s">
        <v>244</v>
      </c>
      <c r="BJ554" s="13" t="s">
        <v>309</v>
      </c>
      <c r="BO554" s="13" t="s">
        <v>245</v>
      </c>
      <c r="BP554" s="13" t="s">
        <v>246</v>
      </c>
      <c r="BS554" s="13" t="s">
        <v>127</v>
      </c>
      <c r="BU554" s="13" t="s">
        <v>129</v>
      </c>
      <c r="BX554" s="13" t="s">
        <v>298</v>
      </c>
      <c r="DA554" s="13" t="s">
        <v>10348</v>
      </c>
      <c r="DB554" s="13" t="s">
        <v>10348</v>
      </c>
    </row>
    <row r="555" spans="1:106" s="13" customFormat="1" ht="12.75" customHeight="1" x14ac:dyDescent="0.2">
      <c r="A555" s="13" t="s">
        <v>102</v>
      </c>
      <c r="B555" s="13" t="s">
        <v>103</v>
      </c>
      <c r="D555" s="13" t="s">
        <v>227</v>
      </c>
      <c r="E555" s="13" t="s">
        <v>228</v>
      </c>
      <c r="F555" s="13" t="s">
        <v>227</v>
      </c>
      <c r="G555" s="13" t="s">
        <v>229</v>
      </c>
      <c r="H555" s="13" t="s">
        <v>7712</v>
      </c>
      <c r="J555" s="13" t="s">
        <v>106</v>
      </c>
      <c r="W555" s="13">
        <v>14</v>
      </c>
      <c r="X555" s="13">
        <v>14</v>
      </c>
      <c r="Y555" s="13" t="s">
        <v>107</v>
      </c>
      <c r="Z555" s="13" t="s">
        <v>108</v>
      </c>
      <c r="AA555" s="37" t="s">
        <v>107</v>
      </c>
      <c r="AB555" s="13" t="s">
        <v>310</v>
      </c>
      <c r="AC555" s="13" t="s">
        <v>311</v>
      </c>
      <c r="AD555" s="13" t="s">
        <v>310</v>
      </c>
      <c r="AE555" s="22" t="s">
        <v>112</v>
      </c>
      <c r="AF555" s="13" t="s">
        <v>310</v>
      </c>
      <c r="AG555" s="13" t="s">
        <v>310</v>
      </c>
      <c r="AH555" s="14" t="s">
        <v>312</v>
      </c>
      <c r="AL555" s="13" t="s">
        <v>313</v>
      </c>
      <c r="AN555" s="13">
        <v>329</v>
      </c>
      <c r="AO555" s="13" t="s">
        <v>314</v>
      </c>
      <c r="AQ555" s="13" t="s">
        <v>310</v>
      </c>
      <c r="AR555" s="13" t="s">
        <v>310</v>
      </c>
      <c r="AS555" s="13" t="s">
        <v>116</v>
      </c>
      <c r="AT555" s="13" t="s">
        <v>315</v>
      </c>
      <c r="AU555" s="13" t="s">
        <v>236</v>
      </c>
      <c r="AV555" s="27" t="s">
        <v>237</v>
      </c>
      <c r="AW555" s="26"/>
      <c r="AX555" s="26"/>
      <c r="AY555" s="13" t="s">
        <v>316</v>
      </c>
      <c r="AZ555" s="13" t="s">
        <v>317</v>
      </c>
      <c r="BA555" s="13" t="s">
        <v>317</v>
      </c>
      <c r="BB555" s="13" t="s">
        <v>318</v>
      </c>
      <c r="BC555" s="13" t="s">
        <v>319</v>
      </c>
      <c r="BD555" s="30">
        <f t="shared" si="20"/>
        <v>55</v>
      </c>
      <c r="BE555" s="13" t="s">
        <v>242</v>
      </c>
      <c r="BF555" s="13" t="s">
        <v>243</v>
      </c>
      <c r="BG555" s="13" t="s">
        <v>259</v>
      </c>
      <c r="BJ555" s="13" t="s">
        <v>309</v>
      </c>
      <c r="BO555" s="13" t="s">
        <v>245</v>
      </c>
      <c r="BP555" s="13" t="s">
        <v>260</v>
      </c>
      <c r="BS555" s="13" t="s">
        <v>127</v>
      </c>
      <c r="BU555" s="13" t="s">
        <v>129</v>
      </c>
      <c r="BX555" s="13" t="s">
        <v>320</v>
      </c>
      <c r="DA555" s="13" t="s">
        <v>10348</v>
      </c>
      <c r="DB555" s="13" t="s">
        <v>10348</v>
      </c>
    </row>
    <row r="556" spans="1:106" s="13" customFormat="1" ht="12.75" customHeight="1" x14ac:dyDescent="0.2">
      <c r="A556" s="13" t="s">
        <v>102</v>
      </c>
      <c r="B556" s="13" t="s">
        <v>103</v>
      </c>
      <c r="D556" s="13" t="s">
        <v>227</v>
      </c>
      <c r="E556" s="13" t="s">
        <v>228</v>
      </c>
      <c r="F556" s="13" t="s">
        <v>227</v>
      </c>
      <c r="G556" s="13" t="s">
        <v>229</v>
      </c>
      <c r="H556" s="13" t="s">
        <v>7712</v>
      </c>
      <c r="J556" s="13" t="s">
        <v>106</v>
      </c>
      <c r="W556" s="13">
        <v>15</v>
      </c>
      <c r="X556" s="13">
        <v>15</v>
      </c>
      <c r="Y556" s="13" t="s">
        <v>107</v>
      </c>
      <c r="Z556" s="13" t="s">
        <v>108</v>
      </c>
      <c r="AA556" s="37" t="s">
        <v>107</v>
      </c>
      <c r="AB556" s="13" t="s">
        <v>321</v>
      </c>
      <c r="AC556" s="13" t="s">
        <v>322</v>
      </c>
      <c r="AD556" s="13" t="s">
        <v>321</v>
      </c>
      <c r="AE556" s="22" t="s">
        <v>112</v>
      </c>
      <c r="AF556" s="13" t="s">
        <v>321</v>
      </c>
      <c r="AG556" s="13" t="s">
        <v>321</v>
      </c>
      <c r="AH556" s="14" t="s">
        <v>323</v>
      </c>
      <c r="AL556" s="13" t="s">
        <v>324</v>
      </c>
      <c r="AN556" s="13">
        <v>329</v>
      </c>
      <c r="AO556" s="13" t="s">
        <v>325</v>
      </c>
      <c r="AQ556" s="13" t="s">
        <v>321</v>
      </c>
      <c r="AR556" s="13" t="s">
        <v>321</v>
      </c>
      <c r="AS556" s="13" t="s">
        <v>116</v>
      </c>
      <c r="AT556" s="13" t="s">
        <v>326</v>
      </c>
      <c r="AU556" s="13" t="s">
        <v>236</v>
      </c>
      <c r="AV556" s="27" t="s">
        <v>237</v>
      </c>
      <c r="AW556" s="26"/>
      <c r="AX556" s="26"/>
      <c r="AY556" s="13" t="s">
        <v>327</v>
      </c>
      <c r="AZ556" s="13" t="s">
        <v>328</v>
      </c>
      <c r="BA556" s="13" t="s">
        <v>328</v>
      </c>
      <c r="BB556" s="13" t="s">
        <v>329</v>
      </c>
      <c r="BC556" s="13" t="s">
        <v>330</v>
      </c>
      <c r="BD556" s="30">
        <f t="shared" si="20"/>
        <v>59</v>
      </c>
      <c r="BE556" s="13" t="s">
        <v>242</v>
      </c>
      <c r="BF556" s="13" t="s">
        <v>243</v>
      </c>
      <c r="BG556" s="13" t="s">
        <v>244</v>
      </c>
      <c r="BJ556" s="13" t="s">
        <v>331</v>
      </c>
      <c r="BO556" s="13" t="s">
        <v>245</v>
      </c>
      <c r="BP556" s="13" t="s">
        <v>246</v>
      </c>
      <c r="BS556" s="13" t="s">
        <v>127</v>
      </c>
      <c r="BU556" s="13" t="s">
        <v>129</v>
      </c>
      <c r="BX556" s="13" t="s">
        <v>332</v>
      </c>
      <c r="DA556" s="13" t="s">
        <v>10348</v>
      </c>
      <c r="DB556" s="13" t="s">
        <v>10348</v>
      </c>
    </row>
    <row r="557" spans="1:106" s="13" customFormat="1" ht="12.75" customHeight="1" x14ac:dyDescent="0.2">
      <c r="A557" s="13" t="s">
        <v>102</v>
      </c>
      <c r="B557" s="13" t="s">
        <v>103</v>
      </c>
      <c r="D557" s="13" t="s">
        <v>227</v>
      </c>
      <c r="E557" s="13" t="s">
        <v>228</v>
      </c>
      <c r="F557" s="13" t="s">
        <v>227</v>
      </c>
      <c r="G557" s="13" t="s">
        <v>229</v>
      </c>
      <c r="H557" s="13" t="s">
        <v>7712</v>
      </c>
      <c r="J557" s="13" t="s">
        <v>106</v>
      </c>
      <c r="W557" s="13">
        <v>16</v>
      </c>
      <c r="X557" s="13">
        <v>16</v>
      </c>
      <c r="Y557" s="13" t="s">
        <v>107</v>
      </c>
      <c r="Z557" s="13" t="s">
        <v>108</v>
      </c>
      <c r="AA557" s="37" t="s">
        <v>107</v>
      </c>
      <c r="AB557" s="13" t="s">
        <v>333</v>
      </c>
      <c r="AC557" s="13" t="s">
        <v>334</v>
      </c>
      <c r="AD557" s="13" t="s">
        <v>333</v>
      </c>
      <c r="AE557" s="22" t="s">
        <v>112</v>
      </c>
      <c r="AF557" s="13" t="s">
        <v>333</v>
      </c>
      <c r="AG557" s="13" t="s">
        <v>333</v>
      </c>
      <c r="AH557" s="14" t="s">
        <v>335</v>
      </c>
      <c r="AL557" s="13" t="s">
        <v>336</v>
      </c>
      <c r="AN557" s="13">
        <v>329</v>
      </c>
      <c r="AO557" s="13" t="s">
        <v>337</v>
      </c>
      <c r="AQ557" s="13" t="s">
        <v>333</v>
      </c>
      <c r="AR557" s="13" t="s">
        <v>333</v>
      </c>
      <c r="AS557" s="13" t="s">
        <v>116</v>
      </c>
      <c r="AT557" s="13" t="s">
        <v>338</v>
      </c>
      <c r="AU557" s="13" t="s">
        <v>339</v>
      </c>
      <c r="AV557" s="27" t="s">
        <v>237</v>
      </c>
      <c r="AW557" s="26"/>
      <c r="AX557" s="26"/>
      <c r="AY557" s="13" t="s">
        <v>340</v>
      </c>
      <c r="AZ557" s="13" t="s">
        <v>341</v>
      </c>
      <c r="BA557" s="13" t="s">
        <v>341</v>
      </c>
      <c r="BB557" s="13" t="s">
        <v>342</v>
      </c>
      <c r="BC557" s="13" t="s">
        <v>343</v>
      </c>
      <c r="BD557" s="30">
        <f t="shared" si="20"/>
        <v>59</v>
      </c>
      <c r="BE557" s="13" t="s">
        <v>242</v>
      </c>
      <c r="BF557" s="13" t="s">
        <v>243</v>
      </c>
      <c r="BG557" s="13" t="s">
        <v>244</v>
      </c>
      <c r="BJ557" s="13" t="s">
        <v>344</v>
      </c>
      <c r="BO557" s="13" t="s">
        <v>245</v>
      </c>
      <c r="BP557" s="13" t="s">
        <v>246</v>
      </c>
      <c r="BS557" s="13" t="s">
        <v>127</v>
      </c>
      <c r="BU557" s="13" t="s">
        <v>129</v>
      </c>
      <c r="BX557" s="13" t="s">
        <v>345</v>
      </c>
      <c r="DA557" s="13" t="s">
        <v>10348</v>
      </c>
      <c r="DB557" s="13" t="s">
        <v>10348</v>
      </c>
    </row>
    <row r="558" spans="1:106" s="13" customFormat="1" ht="12.75" customHeight="1" x14ac:dyDescent="0.2">
      <c r="A558" s="13" t="s">
        <v>102</v>
      </c>
      <c r="B558" s="13" t="s">
        <v>103</v>
      </c>
      <c r="D558" s="13" t="s">
        <v>227</v>
      </c>
      <c r="E558" s="13" t="s">
        <v>228</v>
      </c>
      <c r="F558" s="13" t="s">
        <v>227</v>
      </c>
      <c r="G558" s="13" t="s">
        <v>229</v>
      </c>
      <c r="H558" s="13" t="s">
        <v>7712</v>
      </c>
      <c r="J558" s="13" t="s">
        <v>106</v>
      </c>
      <c r="W558" s="13">
        <v>17</v>
      </c>
      <c r="X558" s="13">
        <v>17</v>
      </c>
      <c r="Y558" s="13" t="s">
        <v>107</v>
      </c>
      <c r="Z558" s="13" t="s">
        <v>108</v>
      </c>
      <c r="AA558" s="37" t="s">
        <v>107</v>
      </c>
      <c r="AB558" s="13" t="s">
        <v>346</v>
      </c>
      <c r="AC558" s="13" t="s">
        <v>347</v>
      </c>
      <c r="AD558" s="13" t="s">
        <v>346</v>
      </c>
      <c r="AE558" s="22" t="s">
        <v>112</v>
      </c>
      <c r="AF558" s="13" t="s">
        <v>346</v>
      </c>
      <c r="AG558" s="13" t="s">
        <v>346</v>
      </c>
      <c r="AH558" s="14" t="s">
        <v>348</v>
      </c>
      <c r="AL558" s="13" t="s">
        <v>349</v>
      </c>
      <c r="AN558" s="13">
        <v>329</v>
      </c>
      <c r="AO558" s="13" t="s">
        <v>350</v>
      </c>
      <c r="AQ558" s="13" t="s">
        <v>346</v>
      </c>
      <c r="AR558" s="13" t="s">
        <v>346</v>
      </c>
      <c r="AS558" s="13" t="s">
        <v>116</v>
      </c>
      <c r="AT558" s="13" t="s">
        <v>351</v>
      </c>
      <c r="AU558" s="13" t="s">
        <v>352</v>
      </c>
      <c r="AV558" s="27" t="s">
        <v>237</v>
      </c>
      <c r="AW558" s="26"/>
      <c r="AX558" s="26"/>
      <c r="AY558" s="13" t="s">
        <v>353</v>
      </c>
      <c r="AZ558" s="13" t="s">
        <v>354</v>
      </c>
      <c r="BA558" s="13" t="s">
        <v>354</v>
      </c>
      <c r="BB558" s="13" t="s">
        <v>355</v>
      </c>
      <c r="BC558" s="13" t="s">
        <v>356</v>
      </c>
      <c r="BD558" s="30">
        <f t="shared" si="20"/>
        <v>55</v>
      </c>
      <c r="BE558" s="13" t="s">
        <v>242</v>
      </c>
      <c r="BF558" s="13" t="s">
        <v>243</v>
      </c>
      <c r="BG558" s="13" t="s">
        <v>259</v>
      </c>
      <c r="BJ558" s="13" t="s">
        <v>344</v>
      </c>
      <c r="BO558" s="13" t="s">
        <v>245</v>
      </c>
      <c r="BP558" s="13" t="s">
        <v>260</v>
      </c>
      <c r="BS558" s="13" t="s">
        <v>127</v>
      </c>
      <c r="BU558" s="13" t="s">
        <v>129</v>
      </c>
      <c r="BX558" s="13" t="s">
        <v>357</v>
      </c>
      <c r="DA558" s="13" t="s">
        <v>10348</v>
      </c>
      <c r="DB558" s="13" t="s">
        <v>10348</v>
      </c>
    </row>
    <row r="559" spans="1:106" s="13" customFormat="1" ht="12.75" customHeight="1" x14ac:dyDescent="0.2">
      <c r="A559" s="13" t="s">
        <v>102</v>
      </c>
      <c r="B559" s="13" t="s">
        <v>103</v>
      </c>
      <c r="D559" s="13" t="s">
        <v>227</v>
      </c>
      <c r="E559" s="13" t="s">
        <v>228</v>
      </c>
      <c r="F559" s="13" t="s">
        <v>227</v>
      </c>
      <c r="G559" s="13" t="s">
        <v>229</v>
      </c>
      <c r="H559" s="13" t="s">
        <v>7712</v>
      </c>
      <c r="J559" s="13" t="s">
        <v>106</v>
      </c>
      <c r="W559" s="13">
        <v>18</v>
      </c>
      <c r="X559" s="13">
        <v>18</v>
      </c>
      <c r="Y559" s="13" t="s">
        <v>107</v>
      </c>
      <c r="Z559" s="13" t="s">
        <v>108</v>
      </c>
      <c r="AA559" s="37" t="s">
        <v>107</v>
      </c>
      <c r="AB559" s="13" t="s">
        <v>358</v>
      </c>
      <c r="AC559" s="13" t="s">
        <v>359</v>
      </c>
      <c r="AD559" s="13" t="s">
        <v>358</v>
      </c>
      <c r="AE559" s="22" t="s">
        <v>112</v>
      </c>
      <c r="AF559" s="13" t="s">
        <v>358</v>
      </c>
      <c r="AG559" s="13" t="s">
        <v>358</v>
      </c>
      <c r="AH559" s="14" t="s">
        <v>360</v>
      </c>
      <c r="AL559" s="13" t="s">
        <v>361</v>
      </c>
      <c r="AN559" s="13">
        <v>329</v>
      </c>
      <c r="AO559" s="13" t="s">
        <v>362</v>
      </c>
      <c r="AQ559" s="13" t="s">
        <v>358</v>
      </c>
      <c r="AR559" s="13" t="s">
        <v>358</v>
      </c>
      <c r="AS559" s="13" t="s">
        <v>116</v>
      </c>
      <c r="AT559" s="13" t="s">
        <v>363</v>
      </c>
      <c r="AU559" s="13" t="s">
        <v>339</v>
      </c>
      <c r="AV559" s="27" t="s">
        <v>237</v>
      </c>
      <c r="AW559" s="26"/>
      <c r="AX559" s="26"/>
      <c r="AY559" s="13" t="s">
        <v>364</v>
      </c>
      <c r="AZ559" s="13" t="s">
        <v>365</v>
      </c>
      <c r="BA559" s="13" t="s">
        <v>365</v>
      </c>
      <c r="BB559" s="13" t="s">
        <v>366</v>
      </c>
      <c r="BC559" s="13" t="s">
        <v>367</v>
      </c>
      <c r="BD559" s="30">
        <f t="shared" si="20"/>
        <v>59</v>
      </c>
      <c r="BE559" s="13" t="s">
        <v>242</v>
      </c>
      <c r="BF559" s="13" t="s">
        <v>243</v>
      </c>
      <c r="BG559" s="13" t="s">
        <v>244</v>
      </c>
      <c r="BJ559" s="13" t="s">
        <v>368</v>
      </c>
      <c r="BO559" s="13" t="s">
        <v>245</v>
      </c>
      <c r="BP559" s="13" t="s">
        <v>246</v>
      </c>
      <c r="BS559" s="13" t="s">
        <v>127</v>
      </c>
      <c r="BU559" s="13" t="s">
        <v>129</v>
      </c>
      <c r="BX559" s="13" t="s">
        <v>369</v>
      </c>
      <c r="DA559" s="13" t="s">
        <v>10348</v>
      </c>
      <c r="DB559" s="13" t="s">
        <v>10348</v>
      </c>
    </row>
    <row r="560" spans="1:106" s="13" customFormat="1" ht="12.75" customHeight="1" x14ac:dyDescent="0.2">
      <c r="A560" s="13" t="s">
        <v>102</v>
      </c>
      <c r="B560" s="13" t="s">
        <v>103</v>
      </c>
      <c r="D560" s="13" t="s">
        <v>227</v>
      </c>
      <c r="E560" s="13" t="s">
        <v>228</v>
      </c>
      <c r="F560" s="13" t="s">
        <v>227</v>
      </c>
      <c r="G560" s="13" t="s">
        <v>229</v>
      </c>
      <c r="H560" s="13" t="s">
        <v>7712</v>
      </c>
      <c r="J560" s="13" t="s">
        <v>106</v>
      </c>
      <c r="W560" s="13">
        <v>19</v>
      </c>
      <c r="X560" s="13">
        <v>19</v>
      </c>
      <c r="Y560" s="13" t="s">
        <v>107</v>
      </c>
      <c r="Z560" s="13" t="s">
        <v>108</v>
      </c>
      <c r="AA560" s="37" t="s">
        <v>107</v>
      </c>
      <c r="AB560" s="13" t="s">
        <v>370</v>
      </c>
      <c r="AC560" s="13" t="s">
        <v>371</v>
      </c>
      <c r="AD560" s="13" t="s">
        <v>370</v>
      </c>
      <c r="AE560" s="22" t="s">
        <v>112</v>
      </c>
      <c r="AF560" s="13" t="s">
        <v>370</v>
      </c>
      <c r="AG560" s="13" t="s">
        <v>370</v>
      </c>
      <c r="AH560" s="14" t="s">
        <v>372</v>
      </c>
      <c r="AL560" s="13" t="s">
        <v>373</v>
      </c>
      <c r="AN560" s="13">
        <v>329</v>
      </c>
      <c r="AO560" s="13" t="s">
        <v>374</v>
      </c>
      <c r="AQ560" s="13" t="s">
        <v>370</v>
      </c>
      <c r="AR560" s="13" t="s">
        <v>370</v>
      </c>
      <c r="AS560" s="13" t="s">
        <v>116</v>
      </c>
      <c r="AT560" s="13" t="s">
        <v>375</v>
      </c>
      <c r="AU560" s="13" t="s">
        <v>236</v>
      </c>
      <c r="AV560" s="27" t="s">
        <v>237</v>
      </c>
      <c r="AW560" s="26"/>
      <c r="AX560" s="26"/>
      <c r="AY560" s="13" t="s">
        <v>376</v>
      </c>
      <c r="AZ560" s="13" t="s">
        <v>377</v>
      </c>
      <c r="BA560" s="13" t="s">
        <v>377</v>
      </c>
      <c r="BB560" s="13" t="s">
        <v>378</v>
      </c>
      <c r="BC560" s="13" t="s">
        <v>379</v>
      </c>
      <c r="BD560" s="30">
        <f t="shared" si="20"/>
        <v>59</v>
      </c>
      <c r="BE560" s="13" t="s">
        <v>242</v>
      </c>
      <c r="BF560" s="13" t="s">
        <v>243</v>
      </c>
      <c r="BG560" s="13" t="s">
        <v>244</v>
      </c>
      <c r="BJ560" s="13" t="s">
        <v>194</v>
      </c>
      <c r="BO560" s="13" t="s">
        <v>380</v>
      </c>
      <c r="BP560" s="13" t="s">
        <v>246</v>
      </c>
      <c r="BS560" s="13" t="s">
        <v>127</v>
      </c>
      <c r="BU560" s="13" t="s">
        <v>129</v>
      </c>
      <c r="BX560" s="13" t="s">
        <v>381</v>
      </c>
      <c r="DA560" s="13" t="s">
        <v>10348</v>
      </c>
      <c r="DB560" s="13" t="s">
        <v>10348</v>
      </c>
    </row>
    <row r="561" spans="1:106" s="13" customFormat="1" ht="12.75" customHeight="1" x14ac:dyDescent="0.2">
      <c r="A561" s="13" t="s">
        <v>102</v>
      </c>
      <c r="B561" s="13" t="s">
        <v>103</v>
      </c>
      <c r="D561" s="13" t="s">
        <v>227</v>
      </c>
      <c r="E561" s="13" t="s">
        <v>228</v>
      </c>
      <c r="F561" s="13" t="s">
        <v>227</v>
      </c>
      <c r="G561" s="13" t="s">
        <v>229</v>
      </c>
      <c r="H561" s="13" t="s">
        <v>7712</v>
      </c>
      <c r="J561" s="13" t="s">
        <v>106</v>
      </c>
      <c r="W561" s="13">
        <v>20</v>
      </c>
      <c r="X561" s="13">
        <v>20</v>
      </c>
      <c r="Y561" s="13" t="s">
        <v>107</v>
      </c>
      <c r="Z561" s="13" t="s">
        <v>108</v>
      </c>
      <c r="AA561" s="37" t="s">
        <v>107</v>
      </c>
      <c r="AB561" s="13" t="s">
        <v>382</v>
      </c>
      <c r="AC561" s="13" t="s">
        <v>383</v>
      </c>
      <c r="AD561" s="13" t="s">
        <v>382</v>
      </c>
      <c r="AE561" s="22" t="s">
        <v>112</v>
      </c>
      <c r="AF561" s="13" t="s">
        <v>382</v>
      </c>
      <c r="AG561" s="13" t="s">
        <v>382</v>
      </c>
      <c r="AH561" s="14" t="s">
        <v>384</v>
      </c>
      <c r="AL561" s="13" t="s">
        <v>385</v>
      </c>
      <c r="AN561" s="13">
        <v>329</v>
      </c>
      <c r="AO561" s="13" t="s">
        <v>386</v>
      </c>
      <c r="AQ561" s="13" t="s">
        <v>382</v>
      </c>
      <c r="AR561" s="13" t="s">
        <v>382</v>
      </c>
      <c r="AS561" s="13" t="s">
        <v>116</v>
      </c>
      <c r="AT561" s="13" t="s">
        <v>387</v>
      </c>
      <c r="AU561" s="13" t="s">
        <v>236</v>
      </c>
      <c r="AV561" s="27" t="s">
        <v>237</v>
      </c>
      <c r="AW561" s="26"/>
      <c r="AX561" s="26"/>
      <c r="AY561" s="13" t="s">
        <v>388</v>
      </c>
      <c r="AZ561" s="13" t="s">
        <v>389</v>
      </c>
      <c r="BA561" s="13" t="s">
        <v>389</v>
      </c>
      <c r="BB561" s="13" t="s">
        <v>390</v>
      </c>
      <c r="BC561" s="13" t="s">
        <v>391</v>
      </c>
      <c r="BD561" s="30">
        <f t="shared" si="20"/>
        <v>58</v>
      </c>
      <c r="BE561" s="13" t="s">
        <v>242</v>
      </c>
      <c r="BF561" s="13" t="s">
        <v>243</v>
      </c>
      <c r="BG561" s="13" t="s">
        <v>259</v>
      </c>
      <c r="BJ561" s="13" t="s">
        <v>194</v>
      </c>
      <c r="BO561" s="13" t="s">
        <v>380</v>
      </c>
      <c r="BP561" s="13" t="s">
        <v>260</v>
      </c>
      <c r="BS561" s="13" t="s">
        <v>127</v>
      </c>
      <c r="BU561" s="13" t="s">
        <v>129</v>
      </c>
      <c r="BX561" s="13" t="s">
        <v>392</v>
      </c>
      <c r="DA561" s="13" t="s">
        <v>10348</v>
      </c>
      <c r="DB561" s="13" t="s">
        <v>10348</v>
      </c>
    </row>
    <row r="562" spans="1:106" s="13" customFormat="1" ht="12.75" customHeight="1" x14ac:dyDescent="0.2">
      <c r="A562" s="13" t="s">
        <v>102</v>
      </c>
      <c r="B562" s="13" t="s">
        <v>103</v>
      </c>
      <c r="D562" s="13" t="s">
        <v>227</v>
      </c>
      <c r="E562" s="13" t="s">
        <v>228</v>
      </c>
      <c r="F562" s="13" t="s">
        <v>227</v>
      </c>
      <c r="G562" s="13" t="s">
        <v>229</v>
      </c>
      <c r="H562" s="13" t="s">
        <v>7712</v>
      </c>
      <c r="J562" s="13" t="s">
        <v>106</v>
      </c>
      <c r="W562" s="13">
        <v>21</v>
      </c>
      <c r="X562" s="13">
        <v>21</v>
      </c>
      <c r="Y562" s="13" t="s">
        <v>107</v>
      </c>
      <c r="Z562" s="13" t="s">
        <v>108</v>
      </c>
      <c r="AA562" s="37" t="s">
        <v>107</v>
      </c>
      <c r="AB562" s="13" t="s">
        <v>393</v>
      </c>
      <c r="AC562" s="13" t="s">
        <v>394</v>
      </c>
      <c r="AD562" s="13" t="s">
        <v>393</v>
      </c>
      <c r="AE562" s="22" t="s">
        <v>112</v>
      </c>
      <c r="AF562" s="13" t="s">
        <v>393</v>
      </c>
      <c r="AG562" s="13" t="s">
        <v>393</v>
      </c>
      <c r="AH562" s="14" t="s">
        <v>395</v>
      </c>
      <c r="AL562" s="13" t="s">
        <v>396</v>
      </c>
      <c r="AN562" s="13">
        <v>329</v>
      </c>
      <c r="AO562" s="13" t="s">
        <v>397</v>
      </c>
      <c r="AQ562" s="13" t="s">
        <v>393</v>
      </c>
      <c r="AR562" s="13" t="s">
        <v>393</v>
      </c>
      <c r="AS562" s="13" t="s">
        <v>116</v>
      </c>
      <c r="AT562" s="13" t="s">
        <v>398</v>
      </c>
      <c r="AU562" s="13" t="s">
        <v>236</v>
      </c>
      <c r="AV562" s="27" t="s">
        <v>237</v>
      </c>
      <c r="AW562" s="26"/>
      <c r="AX562" s="26"/>
      <c r="AY562" s="13" t="s">
        <v>399</v>
      </c>
      <c r="AZ562" s="13" t="s">
        <v>400</v>
      </c>
      <c r="BA562" s="13" t="s">
        <v>400</v>
      </c>
      <c r="BB562" s="13" t="s">
        <v>401</v>
      </c>
      <c r="BC562" s="13" t="s">
        <v>402</v>
      </c>
      <c r="BD562" s="30">
        <f t="shared" si="20"/>
        <v>59</v>
      </c>
      <c r="BE562" s="13" t="s">
        <v>242</v>
      </c>
      <c r="BF562" s="13" t="s">
        <v>243</v>
      </c>
      <c r="BG562" s="13" t="s">
        <v>259</v>
      </c>
      <c r="BJ562" s="13" t="s">
        <v>272</v>
      </c>
      <c r="BO562" s="13" t="s">
        <v>380</v>
      </c>
      <c r="BP562" s="13" t="s">
        <v>260</v>
      </c>
      <c r="BS562" s="13" t="s">
        <v>127</v>
      </c>
      <c r="BU562" s="13" t="s">
        <v>129</v>
      </c>
      <c r="BW562" s="13" t="s">
        <v>273</v>
      </c>
      <c r="BX562" s="13" t="s">
        <v>403</v>
      </c>
      <c r="DA562" s="13" t="s">
        <v>10348</v>
      </c>
      <c r="DB562" s="13" t="s">
        <v>10348</v>
      </c>
    </row>
    <row r="563" spans="1:106" s="13" customFormat="1" ht="12.75" customHeight="1" x14ac:dyDescent="0.2">
      <c r="A563" s="13" t="s">
        <v>102</v>
      </c>
      <c r="B563" s="13" t="s">
        <v>103</v>
      </c>
      <c r="D563" s="13" t="s">
        <v>227</v>
      </c>
      <c r="E563" s="13" t="s">
        <v>228</v>
      </c>
      <c r="F563" s="13" t="s">
        <v>227</v>
      </c>
      <c r="G563" s="13" t="s">
        <v>229</v>
      </c>
      <c r="H563" s="13" t="s">
        <v>7712</v>
      </c>
      <c r="J563" s="13" t="s">
        <v>106</v>
      </c>
      <c r="W563" s="13">
        <v>22</v>
      </c>
      <c r="X563" s="13">
        <v>22</v>
      </c>
      <c r="Y563" s="13" t="s">
        <v>107</v>
      </c>
      <c r="Z563" s="13" t="s">
        <v>108</v>
      </c>
      <c r="AA563" s="37" t="s">
        <v>107</v>
      </c>
      <c r="AB563" s="13" t="s">
        <v>404</v>
      </c>
      <c r="AC563" s="13" t="s">
        <v>405</v>
      </c>
      <c r="AD563" s="13" t="s">
        <v>404</v>
      </c>
      <c r="AE563" s="22" t="s">
        <v>112</v>
      </c>
      <c r="AF563" s="13" t="s">
        <v>404</v>
      </c>
      <c r="AG563" s="13" t="s">
        <v>404</v>
      </c>
      <c r="AH563" s="14" t="s">
        <v>406</v>
      </c>
      <c r="AL563" s="13" t="s">
        <v>407</v>
      </c>
      <c r="AN563" s="13">
        <v>329</v>
      </c>
      <c r="AO563" s="13" t="s">
        <v>408</v>
      </c>
      <c r="AQ563" s="13" t="s">
        <v>404</v>
      </c>
      <c r="AR563" s="13" t="s">
        <v>404</v>
      </c>
      <c r="AS563" s="13" t="s">
        <v>116</v>
      </c>
      <c r="AT563" s="13" t="s">
        <v>409</v>
      </c>
      <c r="AU563" s="13" t="s">
        <v>236</v>
      </c>
      <c r="AV563" s="27" t="s">
        <v>237</v>
      </c>
      <c r="AW563" s="26"/>
      <c r="AX563" s="26"/>
      <c r="AY563" s="13" t="s">
        <v>410</v>
      </c>
      <c r="AZ563" s="13" t="s">
        <v>411</v>
      </c>
      <c r="BA563" s="13" t="s">
        <v>411</v>
      </c>
      <c r="BB563" s="13" t="s">
        <v>412</v>
      </c>
      <c r="BC563" s="13" t="s">
        <v>413</v>
      </c>
      <c r="BD563" s="30">
        <f t="shared" si="20"/>
        <v>59</v>
      </c>
      <c r="BE563" s="13" t="s">
        <v>242</v>
      </c>
      <c r="BF563" s="13" t="s">
        <v>243</v>
      </c>
      <c r="BG563" s="13" t="s">
        <v>244</v>
      </c>
      <c r="BJ563" s="13" t="s">
        <v>297</v>
      </c>
      <c r="BO563" s="13" t="s">
        <v>380</v>
      </c>
      <c r="BP563" s="13" t="s">
        <v>246</v>
      </c>
      <c r="BS563" s="13" t="s">
        <v>127</v>
      </c>
      <c r="BU563" s="13" t="s">
        <v>129</v>
      </c>
      <c r="BX563" s="13" t="s">
        <v>414</v>
      </c>
      <c r="DA563" s="13" t="s">
        <v>10348</v>
      </c>
      <c r="DB563" s="13" t="s">
        <v>10348</v>
      </c>
    </row>
    <row r="564" spans="1:106" s="13" customFormat="1" ht="12.75" customHeight="1" x14ac:dyDescent="0.2">
      <c r="A564" s="13" t="s">
        <v>102</v>
      </c>
      <c r="B564" s="13" t="s">
        <v>103</v>
      </c>
      <c r="D564" s="13" t="s">
        <v>227</v>
      </c>
      <c r="E564" s="13" t="s">
        <v>228</v>
      </c>
      <c r="F564" s="13" t="s">
        <v>227</v>
      </c>
      <c r="G564" s="13" t="s">
        <v>229</v>
      </c>
      <c r="H564" s="13" t="s">
        <v>7712</v>
      </c>
      <c r="J564" s="13" t="s">
        <v>106</v>
      </c>
      <c r="W564" s="13">
        <v>23</v>
      </c>
      <c r="X564" s="13">
        <v>23</v>
      </c>
      <c r="Y564" s="13" t="s">
        <v>107</v>
      </c>
      <c r="Z564" s="13" t="s">
        <v>108</v>
      </c>
      <c r="AA564" s="37" t="s">
        <v>107</v>
      </c>
      <c r="AB564" s="13" t="s">
        <v>415</v>
      </c>
      <c r="AC564" s="13" t="s">
        <v>416</v>
      </c>
      <c r="AD564" s="13" t="s">
        <v>415</v>
      </c>
      <c r="AE564" s="22" t="s">
        <v>112</v>
      </c>
      <c r="AF564" s="13" t="s">
        <v>415</v>
      </c>
      <c r="AG564" s="13" t="s">
        <v>415</v>
      </c>
      <c r="AH564" s="14" t="s">
        <v>417</v>
      </c>
      <c r="AL564" s="13" t="s">
        <v>418</v>
      </c>
      <c r="AN564" s="13">
        <v>329</v>
      </c>
      <c r="AO564" s="13" t="s">
        <v>419</v>
      </c>
      <c r="AQ564" s="13" t="s">
        <v>415</v>
      </c>
      <c r="AR564" s="13" t="s">
        <v>415</v>
      </c>
      <c r="AS564" s="13" t="s">
        <v>116</v>
      </c>
      <c r="AT564" s="13" t="s">
        <v>420</v>
      </c>
      <c r="AU564" s="13" t="s">
        <v>236</v>
      </c>
      <c r="AV564" s="27" t="s">
        <v>237</v>
      </c>
      <c r="AW564" s="26"/>
      <c r="AX564" s="26"/>
      <c r="AY564" s="13" t="s">
        <v>421</v>
      </c>
      <c r="AZ564" s="13" t="s">
        <v>422</v>
      </c>
      <c r="BA564" s="13" t="s">
        <v>422</v>
      </c>
      <c r="BB564" s="13" t="s">
        <v>423</v>
      </c>
      <c r="BC564" s="13" t="s">
        <v>424</v>
      </c>
      <c r="BD564" s="30">
        <f t="shared" si="20"/>
        <v>59</v>
      </c>
      <c r="BE564" s="13" t="s">
        <v>242</v>
      </c>
      <c r="BF564" s="13" t="s">
        <v>243</v>
      </c>
      <c r="BG564" s="13" t="s">
        <v>244</v>
      </c>
      <c r="BJ564" s="13" t="s">
        <v>309</v>
      </c>
      <c r="BO564" s="13" t="s">
        <v>380</v>
      </c>
      <c r="BP564" s="13" t="s">
        <v>246</v>
      </c>
      <c r="BS564" s="13" t="s">
        <v>127</v>
      </c>
      <c r="BU564" s="13" t="s">
        <v>129</v>
      </c>
      <c r="BX564" s="13" t="s">
        <v>425</v>
      </c>
      <c r="DA564" s="13" t="s">
        <v>10348</v>
      </c>
      <c r="DB564" s="13" t="s">
        <v>10348</v>
      </c>
    </row>
    <row r="565" spans="1:106" s="13" customFormat="1" ht="12.75" customHeight="1" x14ac:dyDescent="0.2">
      <c r="A565" s="13" t="s">
        <v>102</v>
      </c>
      <c r="B565" s="13" t="s">
        <v>103</v>
      </c>
      <c r="D565" s="13" t="s">
        <v>227</v>
      </c>
      <c r="E565" s="13" t="s">
        <v>228</v>
      </c>
      <c r="F565" s="13" t="s">
        <v>227</v>
      </c>
      <c r="G565" s="13" t="s">
        <v>229</v>
      </c>
      <c r="H565" s="13" t="s">
        <v>7712</v>
      </c>
      <c r="J565" s="13" t="s">
        <v>106</v>
      </c>
      <c r="W565" s="13">
        <v>24</v>
      </c>
      <c r="X565" s="13">
        <v>24</v>
      </c>
      <c r="Y565" s="13" t="s">
        <v>107</v>
      </c>
      <c r="Z565" s="13" t="s">
        <v>108</v>
      </c>
      <c r="AA565" s="37" t="s">
        <v>107</v>
      </c>
      <c r="AB565" s="13" t="s">
        <v>426</v>
      </c>
      <c r="AC565" s="13" t="s">
        <v>427</v>
      </c>
      <c r="AD565" s="13" t="s">
        <v>426</v>
      </c>
      <c r="AE565" s="22" t="s">
        <v>112</v>
      </c>
      <c r="AF565" s="13" t="s">
        <v>426</v>
      </c>
      <c r="AG565" s="13" t="s">
        <v>426</v>
      </c>
      <c r="AH565" s="14" t="s">
        <v>428</v>
      </c>
      <c r="AL565" s="13" t="s">
        <v>429</v>
      </c>
      <c r="AN565" s="13">
        <v>329</v>
      </c>
      <c r="AO565" s="13" t="s">
        <v>430</v>
      </c>
      <c r="AQ565" s="13" t="s">
        <v>426</v>
      </c>
      <c r="AR565" s="13" t="s">
        <v>426</v>
      </c>
      <c r="AS565" s="13" t="s">
        <v>116</v>
      </c>
      <c r="AT565" s="13" t="s">
        <v>431</v>
      </c>
      <c r="AU565" s="13" t="s">
        <v>236</v>
      </c>
      <c r="AV565" s="27" t="s">
        <v>237</v>
      </c>
      <c r="AW565" s="26"/>
      <c r="AX565" s="26"/>
      <c r="AY565" s="13" t="s">
        <v>432</v>
      </c>
      <c r="AZ565" s="13" t="s">
        <v>433</v>
      </c>
      <c r="BA565" s="13" t="s">
        <v>433</v>
      </c>
      <c r="BB565" s="13" t="s">
        <v>434</v>
      </c>
      <c r="BC565" s="13" t="s">
        <v>435</v>
      </c>
      <c r="BD565" s="30">
        <f t="shared" si="20"/>
        <v>58</v>
      </c>
      <c r="BE565" s="13" t="s">
        <v>242</v>
      </c>
      <c r="BF565" s="13" t="s">
        <v>243</v>
      </c>
      <c r="BG565" s="13" t="s">
        <v>259</v>
      </c>
      <c r="BJ565" s="13" t="s">
        <v>309</v>
      </c>
      <c r="BO565" s="13" t="s">
        <v>380</v>
      </c>
      <c r="BP565" s="13" t="s">
        <v>260</v>
      </c>
      <c r="BS565" s="13" t="s">
        <v>127</v>
      </c>
      <c r="BU565" s="13" t="s">
        <v>129</v>
      </c>
      <c r="BX565" s="13" t="s">
        <v>436</v>
      </c>
      <c r="DA565" s="13" t="s">
        <v>10348</v>
      </c>
      <c r="DB565" s="13" t="s">
        <v>10348</v>
      </c>
    </row>
    <row r="566" spans="1:106" s="13" customFormat="1" ht="12.75" customHeight="1" x14ac:dyDescent="0.2">
      <c r="A566" s="13" t="s">
        <v>102</v>
      </c>
      <c r="B566" s="13" t="s">
        <v>103</v>
      </c>
      <c r="D566" s="13" t="s">
        <v>227</v>
      </c>
      <c r="E566" s="13" t="s">
        <v>228</v>
      </c>
      <c r="F566" s="13" t="s">
        <v>227</v>
      </c>
      <c r="G566" s="13" t="s">
        <v>229</v>
      </c>
      <c r="H566" s="13" t="s">
        <v>7712</v>
      </c>
      <c r="J566" s="13" t="s">
        <v>106</v>
      </c>
      <c r="W566" s="13">
        <v>25</v>
      </c>
      <c r="X566" s="13">
        <v>25</v>
      </c>
      <c r="Y566" s="13" t="s">
        <v>107</v>
      </c>
      <c r="Z566" s="13" t="s">
        <v>108</v>
      </c>
      <c r="AA566" s="37" t="s">
        <v>107</v>
      </c>
      <c r="AB566" s="13" t="s">
        <v>437</v>
      </c>
      <c r="AC566" s="13" t="s">
        <v>438</v>
      </c>
      <c r="AD566" s="13" t="s">
        <v>437</v>
      </c>
      <c r="AE566" s="22" t="s">
        <v>112</v>
      </c>
      <c r="AF566" s="13" t="s">
        <v>437</v>
      </c>
      <c r="AG566" s="13" t="s">
        <v>437</v>
      </c>
      <c r="AH566" s="14" t="s">
        <v>439</v>
      </c>
      <c r="AL566" s="13" t="s">
        <v>440</v>
      </c>
      <c r="AN566" s="13">
        <v>329</v>
      </c>
      <c r="AO566" s="13" t="s">
        <v>441</v>
      </c>
      <c r="AQ566" s="13" t="s">
        <v>437</v>
      </c>
      <c r="AR566" s="13" t="s">
        <v>437</v>
      </c>
      <c r="AS566" s="13" t="s">
        <v>116</v>
      </c>
      <c r="AT566" s="13" t="s">
        <v>442</v>
      </c>
      <c r="AU566" s="13" t="s">
        <v>236</v>
      </c>
      <c r="AV566" s="27" t="s">
        <v>237</v>
      </c>
      <c r="AW566" s="26"/>
      <c r="AX566" s="26"/>
      <c r="AY566" s="13" t="s">
        <v>443</v>
      </c>
      <c r="AZ566" s="13" t="s">
        <v>444</v>
      </c>
      <c r="BA566" s="13" t="s">
        <v>444</v>
      </c>
      <c r="BB566" s="13" t="s">
        <v>445</v>
      </c>
      <c r="BC566" s="13" t="s">
        <v>446</v>
      </c>
      <c r="BD566" s="30">
        <f t="shared" si="20"/>
        <v>59</v>
      </c>
      <c r="BE566" s="13" t="s">
        <v>242</v>
      </c>
      <c r="BF566" s="13" t="s">
        <v>243</v>
      </c>
      <c r="BG566" s="13" t="s">
        <v>244</v>
      </c>
      <c r="BJ566" s="13" t="s">
        <v>331</v>
      </c>
      <c r="BO566" s="13" t="s">
        <v>380</v>
      </c>
      <c r="BP566" s="13" t="s">
        <v>246</v>
      </c>
      <c r="BS566" s="13" t="s">
        <v>127</v>
      </c>
      <c r="BU566" s="13" t="s">
        <v>129</v>
      </c>
      <c r="BX566" s="13" t="s">
        <v>447</v>
      </c>
      <c r="DA566" s="13" t="s">
        <v>10348</v>
      </c>
      <c r="DB566" s="13" t="s">
        <v>10348</v>
      </c>
    </row>
    <row r="567" spans="1:106" s="13" customFormat="1" ht="12.75" customHeight="1" x14ac:dyDescent="0.2">
      <c r="A567" s="13" t="s">
        <v>102</v>
      </c>
      <c r="B567" s="13" t="s">
        <v>103</v>
      </c>
      <c r="D567" s="13" t="s">
        <v>227</v>
      </c>
      <c r="E567" s="13" t="s">
        <v>228</v>
      </c>
      <c r="F567" s="13" t="s">
        <v>227</v>
      </c>
      <c r="G567" s="13" t="s">
        <v>229</v>
      </c>
      <c r="H567" s="13" t="s">
        <v>7712</v>
      </c>
      <c r="J567" s="13" t="s">
        <v>106</v>
      </c>
      <c r="W567" s="13">
        <v>26</v>
      </c>
      <c r="X567" s="13">
        <v>26</v>
      </c>
      <c r="Y567" s="13" t="s">
        <v>107</v>
      </c>
      <c r="Z567" s="13" t="s">
        <v>108</v>
      </c>
      <c r="AA567" s="37" t="s">
        <v>107</v>
      </c>
      <c r="AB567" s="13" t="s">
        <v>448</v>
      </c>
      <c r="AC567" s="13" t="s">
        <v>449</v>
      </c>
      <c r="AD567" s="13" t="s">
        <v>448</v>
      </c>
      <c r="AE567" s="22" t="s">
        <v>112</v>
      </c>
      <c r="AF567" s="13" t="s">
        <v>448</v>
      </c>
      <c r="AG567" s="13" t="s">
        <v>448</v>
      </c>
      <c r="AH567" s="14" t="s">
        <v>450</v>
      </c>
      <c r="AL567" s="13" t="s">
        <v>451</v>
      </c>
      <c r="AN567" s="13">
        <v>329</v>
      </c>
      <c r="AO567" s="13" t="s">
        <v>452</v>
      </c>
      <c r="AQ567" s="13" t="s">
        <v>448</v>
      </c>
      <c r="AR567" s="13" t="s">
        <v>448</v>
      </c>
      <c r="AS567" s="13" t="s">
        <v>116</v>
      </c>
      <c r="AT567" s="13" t="s">
        <v>453</v>
      </c>
      <c r="AU567" s="13" t="s">
        <v>236</v>
      </c>
      <c r="AV567" s="27" t="s">
        <v>237</v>
      </c>
      <c r="AW567" s="26"/>
      <c r="AX567" s="26"/>
      <c r="AY567" s="13" t="s">
        <v>454</v>
      </c>
      <c r="AZ567" s="13" t="s">
        <v>455</v>
      </c>
      <c r="BA567" s="13" t="s">
        <v>455</v>
      </c>
      <c r="BB567" s="13" t="s">
        <v>456</v>
      </c>
      <c r="BC567" s="13" t="s">
        <v>457</v>
      </c>
      <c r="BD567" s="30">
        <f t="shared" si="20"/>
        <v>58</v>
      </c>
      <c r="BE567" s="13" t="s">
        <v>242</v>
      </c>
      <c r="BF567" s="13" t="s">
        <v>243</v>
      </c>
      <c r="BG567" s="13" t="s">
        <v>259</v>
      </c>
      <c r="BJ567" s="13" t="s">
        <v>331</v>
      </c>
      <c r="BO567" s="13" t="s">
        <v>380</v>
      </c>
      <c r="BP567" s="13" t="s">
        <v>260</v>
      </c>
      <c r="BS567" s="13" t="s">
        <v>127</v>
      </c>
      <c r="BU567" s="13" t="s">
        <v>129</v>
      </c>
      <c r="BX567" s="13" t="s">
        <v>458</v>
      </c>
      <c r="DA567" s="13" t="s">
        <v>10348</v>
      </c>
      <c r="DB567" s="13" t="s">
        <v>10348</v>
      </c>
    </row>
    <row r="568" spans="1:106" s="13" customFormat="1" ht="12.75" customHeight="1" x14ac:dyDescent="0.2">
      <c r="A568" s="13" t="s">
        <v>102</v>
      </c>
      <c r="B568" s="13" t="s">
        <v>103</v>
      </c>
      <c r="D568" s="13" t="s">
        <v>227</v>
      </c>
      <c r="E568" s="13" t="s">
        <v>228</v>
      </c>
      <c r="F568" s="13" t="s">
        <v>227</v>
      </c>
      <c r="G568" s="13" t="s">
        <v>229</v>
      </c>
      <c r="H568" s="13" t="s">
        <v>7712</v>
      </c>
      <c r="J568" s="13" t="s">
        <v>106</v>
      </c>
      <c r="W568" s="13">
        <v>27</v>
      </c>
      <c r="X568" s="13">
        <v>27</v>
      </c>
      <c r="Y568" s="13" t="s">
        <v>107</v>
      </c>
      <c r="Z568" s="13" t="s">
        <v>108</v>
      </c>
      <c r="AA568" s="37" t="s">
        <v>107</v>
      </c>
      <c r="AB568" s="13" t="s">
        <v>459</v>
      </c>
      <c r="AC568" s="13" t="s">
        <v>460</v>
      </c>
      <c r="AD568" s="13" t="s">
        <v>459</v>
      </c>
      <c r="AE568" s="22" t="s">
        <v>112</v>
      </c>
      <c r="AF568" s="13" t="s">
        <v>459</v>
      </c>
      <c r="AG568" s="13" t="s">
        <v>459</v>
      </c>
      <c r="AH568" s="14" t="s">
        <v>461</v>
      </c>
      <c r="AL568" s="13" t="s">
        <v>462</v>
      </c>
      <c r="AN568" s="13">
        <v>329</v>
      </c>
      <c r="AO568" s="13" t="s">
        <v>463</v>
      </c>
      <c r="AQ568" s="13" t="s">
        <v>459</v>
      </c>
      <c r="AR568" s="13" t="s">
        <v>459</v>
      </c>
      <c r="AS568" s="13" t="s">
        <v>116</v>
      </c>
      <c r="AT568" s="13" t="s">
        <v>464</v>
      </c>
      <c r="AU568" s="13" t="s">
        <v>236</v>
      </c>
      <c r="AV568" s="27" t="s">
        <v>237</v>
      </c>
      <c r="AW568" s="26"/>
      <c r="AX568" s="26"/>
      <c r="AY568" s="13" t="s">
        <v>465</v>
      </c>
      <c r="AZ568" s="13" t="s">
        <v>466</v>
      </c>
      <c r="BA568" s="13" t="s">
        <v>466</v>
      </c>
      <c r="BB568" s="13" t="s">
        <v>467</v>
      </c>
      <c r="BC568" s="13" t="s">
        <v>468</v>
      </c>
      <c r="BD568" s="30">
        <f t="shared" si="20"/>
        <v>58</v>
      </c>
      <c r="BE568" s="13" t="s">
        <v>242</v>
      </c>
      <c r="BF568" s="13" t="s">
        <v>243</v>
      </c>
      <c r="BG568" s="13" t="s">
        <v>259</v>
      </c>
      <c r="BJ568" s="13" t="s">
        <v>469</v>
      </c>
      <c r="BO568" s="13" t="s">
        <v>380</v>
      </c>
      <c r="BP568" s="13" t="s">
        <v>260</v>
      </c>
      <c r="BS568" s="13" t="s">
        <v>127</v>
      </c>
      <c r="BU568" s="13" t="s">
        <v>129</v>
      </c>
      <c r="BX568" s="13" t="s">
        <v>470</v>
      </c>
      <c r="DA568" s="13" t="s">
        <v>10348</v>
      </c>
      <c r="DB568" s="13" t="s">
        <v>10348</v>
      </c>
    </row>
    <row r="569" spans="1:106" s="13" customFormat="1" ht="12.75" customHeight="1" x14ac:dyDescent="0.2">
      <c r="A569" s="13" t="s">
        <v>102</v>
      </c>
      <c r="B569" s="13" t="s">
        <v>103</v>
      </c>
      <c r="D569" s="13" t="s">
        <v>227</v>
      </c>
      <c r="E569" s="13" t="s">
        <v>471</v>
      </c>
      <c r="F569" s="13" t="s">
        <v>227</v>
      </c>
      <c r="G569" s="13" t="s">
        <v>229</v>
      </c>
      <c r="H569" s="13" t="s">
        <v>7712</v>
      </c>
      <c r="J569" s="13" t="s">
        <v>106</v>
      </c>
      <c r="W569" s="13">
        <v>28</v>
      </c>
      <c r="X569" s="13">
        <v>28</v>
      </c>
      <c r="Y569" s="13" t="s">
        <v>107</v>
      </c>
      <c r="Z569" s="13" t="s">
        <v>108</v>
      </c>
      <c r="AA569" s="37" t="s">
        <v>107</v>
      </c>
      <c r="AB569" s="13" t="s">
        <v>472</v>
      </c>
      <c r="AC569" s="13" t="s">
        <v>473</v>
      </c>
      <c r="AD569" s="13" t="s">
        <v>472</v>
      </c>
      <c r="AE569" s="22" t="s">
        <v>112</v>
      </c>
      <c r="AF569" s="13" t="s">
        <v>472</v>
      </c>
      <c r="AG569" s="13" t="s">
        <v>472</v>
      </c>
      <c r="AH569" s="14" t="s">
        <v>474</v>
      </c>
      <c r="AL569" s="13" t="s">
        <v>475</v>
      </c>
      <c r="AN569" s="13">
        <v>329</v>
      </c>
      <c r="AO569" s="13" t="s">
        <v>476</v>
      </c>
      <c r="AQ569" s="13" t="s">
        <v>472</v>
      </c>
      <c r="AR569" s="13" t="s">
        <v>472</v>
      </c>
      <c r="AS569" s="13" t="s">
        <v>116</v>
      </c>
      <c r="AT569" s="13" t="s">
        <v>477</v>
      </c>
      <c r="AU569" s="13" t="s">
        <v>478</v>
      </c>
      <c r="AV569" s="27" t="s">
        <v>237</v>
      </c>
      <c r="AW569" s="26"/>
      <c r="AX569" s="26"/>
      <c r="AY569" s="13" t="s">
        <v>479</v>
      </c>
      <c r="AZ569" s="13" t="s">
        <v>480</v>
      </c>
      <c r="BA569" s="13" t="s">
        <v>480</v>
      </c>
      <c r="BB569" s="13" t="s">
        <v>481</v>
      </c>
      <c r="BC569" s="13" t="s">
        <v>482</v>
      </c>
      <c r="BD569" s="30">
        <f t="shared" si="20"/>
        <v>43</v>
      </c>
      <c r="BE569" s="13" t="s">
        <v>242</v>
      </c>
      <c r="BF569" s="13" t="s">
        <v>243</v>
      </c>
      <c r="BJ569" s="13" t="s">
        <v>344</v>
      </c>
      <c r="BO569" s="13" t="s">
        <v>483</v>
      </c>
      <c r="BS569" s="13" t="s">
        <v>127</v>
      </c>
      <c r="BU569" s="13" t="s">
        <v>129</v>
      </c>
      <c r="BX569" s="13" t="s">
        <v>484</v>
      </c>
      <c r="DA569" s="13" t="s">
        <v>10348</v>
      </c>
      <c r="DB569" s="13" t="s">
        <v>10348</v>
      </c>
    </row>
    <row r="570" spans="1:106" s="13" customFormat="1" ht="12.75" customHeight="1" x14ac:dyDescent="0.2">
      <c r="A570" s="13" t="s">
        <v>102</v>
      </c>
      <c r="B570" s="13" t="s">
        <v>103</v>
      </c>
      <c r="D570" s="13" t="s">
        <v>227</v>
      </c>
      <c r="E570" s="13" t="s">
        <v>228</v>
      </c>
      <c r="F570" s="13" t="s">
        <v>227</v>
      </c>
      <c r="G570" s="13" t="s">
        <v>229</v>
      </c>
      <c r="H570" s="13" t="s">
        <v>7712</v>
      </c>
      <c r="J570" s="13" t="s">
        <v>106</v>
      </c>
      <c r="W570" s="13">
        <v>29</v>
      </c>
      <c r="X570" s="13">
        <v>29</v>
      </c>
      <c r="Y570" s="13" t="s">
        <v>107</v>
      </c>
      <c r="Z570" s="13" t="s">
        <v>108</v>
      </c>
      <c r="AA570" s="37" t="s">
        <v>107</v>
      </c>
      <c r="AB570" s="13" t="s">
        <v>485</v>
      </c>
      <c r="AC570" s="13" t="s">
        <v>486</v>
      </c>
      <c r="AD570" s="13" t="s">
        <v>485</v>
      </c>
      <c r="AE570" s="22" t="s">
        <v>112</v>
      </c>
      <c r="AF570" s="13" t="s">
        <v>485</v>
      </c>
      <c r="AG570" s="13" t="s">
        <v>485</v>
      </c>
      <c r="AH570" s="14" t="s">
        <v>487</v>
      </c>
      <c r="AL570" s="13" t="s">
        <v>488</v>
      </c>
      <c r="AN570" s="13">
        <v>329</v>
      </c>
      <c r="AO570" s="13" t="s">
        <v>489</v>
      </c>
      <c r="AQ570" s="13" t="s">
        <v>485</v>
      </c>
      <c r="AR570" s="13" t="s">
        <v>485</v>
      </c>
      <c r="AS570" s="13" t="s">
        <v>116</v>
      </c>
      <c r="AT570" s="13" t="s">
        <v>490</v>
      </c>
      <c r="AU570" s="13" t="s">
        <v>491</v>
      </c>
      <c r="AV570" s="27" t="s">
        <v>237</v>
      </c>
      <c r="AW570" s="26"/>
      <c r="AX570" s="26"/>
      <c r="AY570" s="13" t="s">
        <v>492</v>
      </c>
      <c r="AZ570" s="13" t="s">
        <v>493</v>
      </c>
      <c r="BA570" s="13" t="s">
        <v>493</v>
      </c>
      <c r="BB570" s="13" t="s">
        <v>494</v>
      </c>
      <c r="BC570" s="13" t="s">
        <v>495</v>
      </c>
      <c r="BD570" s="30">
        <f t="shared" si="20"/>
        <v>59</v>
      </c>
      <c r="BE570" s="13" t="s">
        <v>242</v>
      </c>
      <c r="BF570" s="13" t="s">
        <v>243</v>
      </c>
      <c r="BG570" s="13" t="s">
        <v>244</v>
      </c>
      <c r="BJ570" s="13" t="s">
        <v>368</v>
      </c>
      <c r="BO570" s="13" t="s">
        <v>380</v>
      </c>
      <c r="BP570" s="13" t="s">
        <v>246</v>
      </c>
      <c r="BS570" s="13" t="s">
        <v>127</v>
      </c>
      <c r="BU570" s="13" t="s">
        <v>129</v>
      </c>
      <c r="BX570" s="13" t="s">
        <v>496</v>
      </c>
      <c r="DA570" s="13" t="s">
        <v>10348</v>
      </c>
      <c r="DB570" s="13" t="s">
        <v>10348</v>
      </c>
    </row>
    <row r="571" spans="1:106" s="13" customFormat="1" ht="12.75" customHeight="1" x14ac:dyDescent="0.2">
      <c r="A571" s="13" t="s">
        <v>102</v>
      </c>
      <c r="B571" s="13" t="s">
        <v>103</v>
      </c>
      <c r="D571" s="13" t="s">
        <v>227</v>
      </c>
      <c r="E571" s="13" t="s">
        <v>228</v>
      </c>
      <c r="F571" s="13" t="s">
        <v>227</v>
      </c>
      <c r="G571" s="13" t="s">
        <v>229</v>
      </c>
      <c r="H571" s="13" t="s">
        <v>7712</v>
      </c>
      <c r="J571" s="13" t="s">
        <v>106</v>
      </c>
      <c r="W571" s="13">
        <v>30</v>
      </c>
      <c r="X571" s="13">
        <v>30</v>
      </c>
      <c r="Y571" s="13" t="s">
        <v>107</v>
      </c>
      <c r="Z571" s="13" t="s">
        <v>108</v>
      </c>
      <c r="AA571" s="37" t="s">
        <v>107</v>
      </c>
      <c r="AB571" s="13" t="s">
        <v>497</v>
      </c>
      <c r="AC571" s="13" t="s">
        <v>498</v>
      </c>
      <c r="AD571" s="13" t="s">
        <v>497</v>
      </c>
      <c r="AE571" s="22" t="s">
        <v>112</v>
      </c>
      <c r="AF571" s="13" t="s">
        <v>497</v>
      </c>
      <c r="AG571" s="13" t="s">
        <v>497</v>
      </c>
      <c r="AH571" s="14" t="s">
        <v>499</v>
      </c>
      <c r="AL571" s="13" t="s">
        <v>500</v>
      </c>
      <c r="AN571" s="13">
        <v>329</v>
      </c>
      <c r="AO571" s="13" t="s">
        <v>501</v>
      </c>
      <c r="AQ571" s="13" t="s">
        <v>497</v>
      </c>
      <c r="AR571" s="13" t="s">
        <v>497</v>
      </c>
      <c r="AS571" s="13" t="s">
        <v>116</v>
      </c>
      <c r="AT571" s="13" t="s">
        <v>502</v>
      </c>
      <c r="AU571" s="13" t="s">
        <v>236</v>
      </c>
      <c r="AV571" s="27" t="s">
        <v>237</v>
      </c>
      <c r="AW571" s="26"/>
      <c r="AX571" s="26"/>
      <c r="AY571" s="13" t="s">
        <v>503</v>
      </c>
      <c r="AZ571" s="13" t="s">
        <v>504</v>
      </c>
      <c r="BA571" s="13" t="s">
        <v>504</v>
      </c>
      <c r="BB571" s="13" t="s">
        <v>505</v>
      </c>
      <c r="BC571" s="13" t="s">
        <v>506</v>
      </c>
      <c r="BD571" s="30">
        <f t="shared" si="20"/>
        <v>58</v>
      </c>
      <c r="BE571" s="13" t="s">
        <v>242</v>
      </c>
      <c r="BF571" s="13" t="s">
        <v>243</v>
      </c>
      <c r="BG571" s="13" t="s">
        <v>259</v>
      </c>
      <c r="BJ571" s="13" t="s">
        <v>368</v>
      </c>
      <c r="BO571" s="13" t="s">
        <v>380</v>
      </c>
      <c r="BP571" s="13" t="s">
        <v>260</v>
      </c>
      <c r="BS571" s="13" t="s">
        <v>127</v>
      </c>
      <c r="BU571" s="13" t="s">
        <v>129</v>
      </c>
      <c r="BX571" s="13" t="s">
        <v>507</v>
      </c>
      <c r="DA571" s="13" t="s">
        <v>10348</v>
      </c>
      <c r="DB571" s="13" t="s">
        <v>10348</v>
      </c>
    </row>
    <row r="572" spans="1:106" s="13" customFormat="1" ht="12.75" customHeight="1" x14ac:dyDescent="0.2">
      <c r="A572" s="13" t="s">
        <v>102</v>
      </c>
      <c r="B572" s="13" t="s">
        <v>103</v>
      </c>
      <c r="D572" s="13" t="s">
        <v>227</v>
      </c>
      <c r="E572" s="13" t="s">
        <v>228</v>
      </c>
      <c r="F572" s="13" t="s">
        <v>227</v>
      </c>
      <c r="G572" s="13" t="s">
        <v>229</v>
      </c>
      <c r="H572" s="13" t="s">
        <v>7712</v>
      </c>
      <c r="J572" s="13" t="s">
        <v>106</v>
      </c>
      <c r="W572" s="13">
        <v>31</v>
      </c>
      <c r="X572" s="13">
        <v>31</v>
      </c>
      <c r="Y572" s="13" t="s">
        <v>107</v>
      </c>
      <c r="Z572" s="13" t="s">
        <v>108</v>
      </c>
      <c r="AA572" s="37" t="s">
        <v>107</v>
      </c>
      <c r="AB572" s="13" t="s">
        <v>508</v>
      </c>
      <c r="AC572" s="13" t="s">
        <v>509</v>
      </c>
      <c r="AD572" s="13" t="s">
        <v>508</v>
      </c>
      <c r="AE572" s="22" t="s">
        <v>112</v>
      </c>
      <c r="AF572" s="13" t="s">
        <v>508</v>
      </c>
      <c r="AG572" s="13" t="s">
        <v>508</v>
      </c>
      <c r="AH572" s="14" t="s">
        <v>510</v>
      </c>
      <c r="AL572" s="13" t="s">
        <v>511</v>
      </c>
      <c r="AN572" s="13">
        <v>329</v>
      </c>
      <c r="AO572" s="13" t="s">
        <v>512</v>
      </c>
      <c r="AQ572" s="13" t="s">
        <v>508</v>
      </c>
      <c r="AR572" s="13" t="s">
        <v>508</v>
      </c>
      <c r="AS572" s="13" t="s">
        <v>116</v>
      </c>
      <c r="AT572" s="13" t="s">
        <v>511</v>
      </c>
      <c r="AU572" s="13" t="s">
        <v>511</v>
      </c>
      <c r="AV572" s="27" t="s">
        <v>237</v>
      </c>
      <c r="AW572" s="26"/>
      <c r="AX572" s="26"/>
      <c r="AY572" s="13" t="s">
        <v>513</v>
      </c>
      <c r="AZ572" s="14" t="s">
        <v>514</v>
      </c>
      <c r="BA572" s="14" t="s">
        <v>514</v>
      </c>
      <c r="BB572" s="13" t="s">
        <v>515</v>
      </c>
      <c r="BC572" s="13" t="s">
        <v>516</v>
      </c>
      <c r="BD572" s="30">
        <f t="shared" si="20"/>
        <v>44</v>
      </c>
      <c r="BE572" s="14" t="s">
        <v>517</v>
      </c>
      <c r="BF572" s="14" t="s">
        <v>243</v>
      </c>
      <c r="BG572" s="13" t="s">
        <v>518</v>
      </c>
      <c r="BO572" s="13" t="s">
        <v>519</v>
      </c>
      <c r="BS572" s="13" t="s">
        <v>127</v>
      </c>
      <c r="BU572" s="13" t="s">
        <v>129</v>
      </c>
      <c r="BX572" s="13" t="s">
        <v>520</v>
      </c>
      <c r="DA572" s="13" t="s">
        <v>10348</v>
      </c>
      <c r="DB572" s="13" t="s">
        <v>10348</v>
      </c>
    </row>
    <row r="573" spans="1:106" s="13" customFormat="1" ht="12.75" customHeight="1" x14ac:dyDescent="0.2">
      <c r="A573" s="13" t="s">
        <v>102</v>
      </c>
      <c r="B573" s="13" t="s">
        <v>103</v>
      </c>
      <c r="D573" s="13" t="s">
        <v>227</v>
      </c>
      <c r="E573" s="13" t="s">
        <v>228</v>
      </c>
      <c r="F573" s="13" t="s">
        <v>227</v>
      </c>
      <c r="G573" s="13" t="s">
        <v>229</v>
      </c>
      <c r="H573" s="13" t="s">
        <v>7712</v>
      </c>
      <c r="J573" s="13" t="s">
        <v>106</v>
      </c>
      <c r="W573" s="13">
        <v>32</v>
      </c>
      <c r="X573" s="13">
        <v>32</v>
      </c>
      <c r="Y573" s="13" t="s">
        <v>107</v>
      </c>
      <c r="Z573" s="13" t="s">
        <v>108</v>
      </c>
      <c r="AA573" s="37" t="s">
        <v>107</v>
      </c>
      <c r="AB573" s="13" t="s">
        <v>521</v>
      </c>
      <c r="AC573" s="13" t="s">
        <v>522</v>
      </c>
      <c r="AD573" s="13" t="s">
        <v>521</v>
      </c>
      <c r="AE573" s="22" t="s">
        <v>112</v>
      </c>
      <c r="AF573" s="13" t="s">
        <v>521</v>
      </c>
      <c r="AG573" s="13" t="s">
        <v>521</v>
      </c>
      <c r="AH573" s="14" t="s">
        <v>523</v>
      </c>
      <c r="AL573" s="13" t="s">
        <v>524</v>
      </c>
      <c r="AN573" s="13">
        <v>329</v>
      </c>
      <c r="AO573" s="13" t="s">
        <v>525</v>
      </c>
      <c r="AQ573" s="13" t="s">
        <v>521</v>
      </c>
      <c r="AR573" s="13" t="s">
        <v>521</v>
      </c>
      <c r="AS573" s="13" t="s">
        <v>116</v>
      </c>
      <c r="AT573" s="13" t="s">
        <v>526</v>
      </c>
      <c r="AU573" s="13" t="s">
        <v>527</v>
      </c>
      <c r="AV573" s="27" t="s">
        <v>237</v>
      </c>
      <c r="AW573" s="26"/>
      <c r="AX573" s="26"/>
      <c r="AY573" s="13" t="s">
        <v>528</v>
      </c>
      <c r="AZ573" s="13" t="s">
        <v>529</v>
      </c>
      <c r="BA573" s="13" t="s">
        <v>529</v>
      </c>
      <c r="BB573" s="13" t="s">
        <v>530</v>
      </c>
      <c r="BC573" s="13" t="s">
        <v>531</v>
      </c>
      <c r="BD573" s="30">
        <f t="shared" si="20"/>
        <v>49</v>
      </c>
      <c r="BE573" s="13" t="s">
        <v>532</v>
      </c>
      <c r="BF573" s="13" t="s">
        <v>533</v>
      </c>
      <c r="BJ573" s="13" t="s">
        <v>331</v>
      </c>
      <c r="BN573" s="13" t="s">
        <v>534</v>
      </c>
      <c r="BO573" s="13" t="s">
        <v>535</v>
      </c>
      <c r="BP573" s="13" t="s">
        <v>260</v>
      </c>
      <c r="BS573" s="13" t="s">
        <v>127</v>
      </c>
      <c r="BU573" s="13" t="s">
        <v>129</v>
      </c>
      <c r="BX573" s="13" t="s">
        <v>536</v>
      </c>
      <c r="DA573" s="13" t="s">
        <v>10348</v>
      </c>
      <c r="DB573" s="13" t="s">
        <v>10348</v>
      </c>
    </row>
    <row r="574" spans="1:106" s="13" customFormat="1" ht="12.75" customHeight="1" x14ac:dyDescent="0.2">
      <c r="A574" s="13" t="s">
        <v>102</v>
      </c>
      <c r="B574" s="13" t="s">
        <v>103</v>
      </c>
      <c r="D574" s="13" t="s">
        <v>227</v>
      </c>
      <c r="E574" s="13" t="s">
        <v>228</v>
      </c>
      <c r="F574" s="13" t="s">
        <v>227</v>
      </c>
      <c r="G574" s="13" t="s">
        <v>229</v>
      </c>
      <c r="H574" s="13" t="s">
        <v>7712</v>
      </c>
      <c r="J574" s="13" t="s">
        <v>106</v>
      </c>
      <c r="W574" s="13">
        <v>33</v>
      </c>
      <c r="X574" s="13">
        <v>33</v>
      </c>
      <c r="Y574" s="13" t="s">
        <v>107</v>
      </c>
      <c r="Z574" s="13" t="s">
        <v>108</v>
      </c>
      <c r="AA574" s="37" t="s">
        <v>107</v>
      </c>
      <c r="AB574" s="13" t="s">
        <v>537</v>
      </c>
      <c r="AC574" s="13" t="s">
        <v>538</v>
      </c>
      <c r="AD574" s="13" t="s">
        <v>537</v>
      </c>
      <c r="AE574" s="22" t="s">
        <v>112</v>
      </c>
      <c r="AF574" s="13" t="s">
        <v>537</v>
      </c>
      <c r="AG574" s="13" t="s">
        <v>537</v>
      </c>
      <c r="AH574" s="14" t="s">
        <v>539</v>
      </c>
      <c r="AL574" s="13" t="s">
        <v>540</v>
      </c>
      <c r="AN574" s="13">
        <v>329</v>
      </c>
      <c r="AO574" s="13" t="s">
        <v>541</v>
      </c>
      <c r="AQ574" s="13" t="s">
        <v>537</v>
      </c>
      <c r="AR574" s="13" t="s">
        <v>537</v>
      </c>
      <c r="AS574" s="13" t="s">
        <v>116</v>
      </c>
      <c r="AT574" s="13" t="s">
        <v>542</v>
      </c>
      <c r="AU574" s="13" t="s">
        <v>543</v>
      </c>
      <c r="AV574" s="27" t="s">
        <v>237</v>
      </c>
      <c r="AW574" s="26"/>
      <c r="AX574" s="26"/>
      <c r="AY574" s="13" t="s">
        <v>544</v>
      </c>
      <c r="AZ574" s="13" t="s">
        <v>545</v>
      </c>
      <c r="BA574" s="13" t="s">
        <v>545</v>
      </c>
      <c r="BB574" s="13" t="s">
        <v>546</v>
      </c>
      <c r="BC574" s="13" t="s">
        <v>547</v>
      </c>
      <c r="BD574" s="30">
        <f t="shared" si="20"/>
        <v>49</v>
      </c>
      <c r="BE574" s="13" t="s">
        <v>532</v>
      </c>
      <c r="BF574" s="13" t="s">
        <v>533</v>
      </c>
      <c r="BJ574" s="13" t="s">
        <v>548</v>
      </c>
      <c r="BN574" s="13" t="s">
        <v>534</v>
      </c>
      <c r="BO574" s="13" t="s">
        <v>535</v>
      </c>
      <c r="BP574" s="13" t="s">
        <v>260</v>
      </c>
      <c r="BS574" s="13" t="s">
        <v>127</v>
      </c>
      <c r="BU574" s="13" t="s">
        <v>129</v>
      </c>
      <c r="BX574" s="13" t="s">
        <v>549</v>
      </c>
      <c r="DA574" s="13" t="s">
        <v>10348</v>
      </c>
      <c r="DB574" s="13" t="s">
        <v>10348</v>
      </c>
    </row>
    <row r="575" spans="1:106" s="13" customFormat="1" ht="12.75" customHeight="1" x14ac:dyDescent="0.2">
      <c r="A575" s="13" t="s">
        <v>102</v>
      </c>
      <c r="B575" s="13" t="s">
        <v>103</v>
      </c>
      <c r="D575" s="13" t="s">
        <v>227</v>
      </c>
      <c r="E575" s="13" t="s">
        <v>228</v>
      </c>
      <c r="F575" s="13" t="s">
        <v>227</v>
      </c>
      <c r="G575" s="13" t="s">
        <v>229</v>
      </c>
      <c r="H575" s="13" t="s">
        <v>7712</v>
      </c>
      <c r="J575" s="13" t="s">
        <v>106</v>
      </c>
      <c r="W575" s="13">
        <v>34</v>
      </c>
      <c r="X575" s="13">
        <v>34</v>
      </c>
      <c r="Y575" s="13" t="s">
        <v>107</v>
      </c>
      <c r="Z575" s="13" t="s">
        <v>108</v>
      </c>
      <c r="AA575" s="37" t="s">
        <v>107</v>
      </c>
      <c r="AB575" s="13" t="s">
        <v>550</v>
      </c>
      <c r="AC575" s="13" t="s">
        <v>551</v>
      </c>
      <c r="AD575" s="13" t="s">
        <v>550</v>
      </c>
      <c r="AE575" s="22" t="s">
        <v>112</v>
      </c>
      <c r="AF575" s="13" t="s">
        <v>550</v>
      </c>
      <c r="AG575" s="13" t="s">
        <v>550</v>
      </c>
      <c r="AH575" s="14" t="s">
        <v>552</v>
      </c>
      <c r="AL575" s="13" t="s">
        <v>553</v>
      </c>
      <c r="AN575" s="13">
        <v>329</v>
      </c>
      <c r="AO575" s="13" t="s">
        <v>554</v>
      </c>
      <c r="AQ575" s="13" t="s">
        <v>550</v>
      </c>
      <c r="AR575" s="13" t="s">
        <v>550</v>
      </c>
      <c r="AS575" s="13" t="s">
        <v>116</v>
      </c>
      <c r="AT575" s="13" t="s">
        <v>555</v>
      </c>
      <c r="AU575" s="13" t="s">
        <v>556</v>
      </c>
      <c r="AV575" s="27" t="s">
        <v>237</v>
      </c>
      <c r="AW575" s="26"/>
      <c r="AX575" s="26"/>
      <c r="AY575" s="13" t="s">
        <v>557</v>
      </c>
      <c r="AZ575" s="13" t="s">
        <v>558</v>
      </c>
      <c r="BA575" s="13" t="s">
        <v>558</v>
      </c>
      <c r="BB575" s="13" t="s">
        <v>559</v>
      </c>
      <c r="BC575" s="13" t="s">
        <v>560</v>
      </c>
      <c r="BD575" s="30">
        <f t="shared" si="20"/>
        <v>50</v>
      </c>
      <c r="BE575" s="13" t="s">
        <v>532</v>
      </c>
      <c r="BF575" s="13" t="s">
        <v>533</v>
      </c>
      <c r="BJ575" s="13" t="s">
        <v>272</v>
      </c>
      <c r="BN575" s="13" t="s">
        <v>534</v>
      </c>
      <c r="BO575" s="13" t="s">
        <v>535</v>
      </c>
      <c r="BP575" s="13" t="s">
        <v>260</v>
      </c>
      <c r="BS575" s="13" t="s">
        <v>127</v>
      </c>
      <c r="BU575" s="13" t="s">
        <v>129</v>
      </c>
      <c r="BX575" s="13" t="s">
        <v>561</v>
      </c>
      <c r="DA575" s="13" t="s">
        <v>10348</v>
      </c>
      <c r="DB575" s="13" t="s">
        <v>10348</v>
      </c>
    </row>
    <row r="576" spans="1:106" s="13" customFormat="1" ht="12.75" customHeight="1" x14ac:dyDescent="0.2">
      <c r="A576" s="13" t="s">
        <v>102</v>
      </c>
      <c r="B576" s="13" t="s">
        <v>103</v>
      </c>
      <c r="D576" s="13" t="s">
        <v>227</v>
      </c>
      <c r="E576" s="13" t="s">
        <v>228</v>
      </c>
      <c r="F576" s="13" t="s">
        <v>227</v>
      </c>
      <c r="G576" s="13" t="s">
        <v>229</v>
      </c>
      <c r="H576" s="13" t="s">
        <v>7712</v>
      </c>
      <c r="J576" s="13" t="s">
        <v>106</v>
      </c>
      <c r="W576" s="13">
        <v>35</v>
      </c>
      <c r="X576" s="13">
        <v>35</v>
      </c>
      <c r="Y576" s="13" t="s">
        <v>107</v>
      </c>
      <c r="Z576" s="13" t="s">
        <v>108</v>
      </c>
      <c r="AA576" s="37" t="s">
        <v>107</v>
      </c>
      <c r="AB576" s="13" t="s">
        <v>562</v>
      </c>
      <c r="AC576" s="13" t="s">
        <v>563</v>
      </c>
      <c r="AD576" s="13" t="s">
        <v>562</v>
      </c>
      <c r="AE576" s="22" t="s">
        <v>112</v>
      </c>
      <c r="AF576" s="13" t="s">
        <v>562</v>
      </c>
      <c r="AG576" s="13" t="s">
        <v>562</v>
      </c>
      <c r="AH576" s="14" t="s">
        <v>564</v>
      </c>
      <c r="AL576" s="13" t="s">
        <v>565</v>
      </c>
      <c r="AN576" s="13">
        <v>329</v>
      </c>
      <c r="AO576" s="13" t="s">
        <v>566</v>
      </c>
      <c r="AQ576" s="13" t="s">
        <v>562</v>
      </c>
      <c r="AR576" s="13" t="s">
        <v>562</v>
      </c>
      <c r="AS576" s="13" t="s">
        <v>116</v>
      </c>
      <c r="AT576" s="13" t="s">
        <v>567</v>
      </c>
      <c r="AU576" s="13" t="s">
        <v>568</v>
      </c>
      <c r="AV576" s="27" t="s">
        <v>237</v>
      </c>
      <c r="AW576" s="26"/>
      <c r="AX576" s="26"/>
      <c r="AY576" s="13" t="s">
        <v>569</v>
      </c>
      <c r="AZ576" s="13" t="s">
        <v>570</v>
      </c>
      <c r="BA576" s="13" t="s">
        <v>570</v>
      </c>
      <c r="BB576" s="13" t="s">
        <v>571</v>
      </c>
      <c r="BC576" s="13" t="s">
        <v>572</v>
      </c>
      <c r="BD576" s="30">
        <f t="shared" si="20"/>
        <v>47</v>
      </c>
      <c r="BE576" s="13" t="s">
        <v>573</v>
      </c>
      <c r="BF576" s="13" t="s">
        <v>243</v>
      </c>
      <c r="BG576" s="13" t="s">
        <v>574</v>
      </c>
      <c r="BO576" s="17" t="s">
        <v>575</v>
      </c>
      <c r="BS576" s="13" t="s">
        <v>127</v>
      </c>
      <c r="BU576" s="13" t="s">
        <v>129</v>
      </c>
      <c r="BX576" s="13" t="s">
        <v>576</v>
      </c>
      <c r="DA576" s="13" t="s">
        <v>10348</v>
      </c>
      <c r="DB576" s="13" t="s">
        <v>10348</v>
      </c>
    </row>
    <row r="577" spans="1:106" s="13" customFormat="1" ht="12.75" customHeight="1" x14ac:dyDescent="0.2">
      <c r="A577" s="13" t="s">
        <v>102</v>
      </c>
      <c r="B577" s="13" t="s">
        <v>103</v>
      </c>
      <c r="D577" s="13" t="s">
        <v>227</v>
      </c>
      <c r="E577" s="13" t="s">
        <v>228</v>
      </c>
      <c r="F577" s="13" t="s">
        <v>227</v>
      </c>
      <c r="G577" s="13" t="s">
        <v>229</v>
      </c>
      <c r="H577" s="13" t="s">
        <v>7712</v>
      </c>
      <c r="J577" s="13" t="s">
        <v>106</v>
      </c>
      <c r="W577" s="13">
        <v>36</v>
      </c>
      <c r="X577" s="13">
        <v>36</v>
      </c>
      <c r="Y577" s="13" t="s">
        <v>107</v>
      </c>
      <c r="Z577" s="13" t="s">
        <v>108</v>
      </c>
      <c r="AA577" s="37" t="s">
        <v>107</v>
      </c>
      <c r="AB577" s="13" t="s">
        <v>577</v>
      </c>
      <c r="AC577" s="13" t="s">
        <v>578</v>
      </c>
      <c r="AD577" s="13" t="s">
        <v>577</v>
      </c>
      <c r="AE577" s="22" t="s">
        <v>112</v>
      </c>
      <c r="AF577" s="13" t="s">
        <v>577</v>
      </c>
      <c r="AG577" s="13" t="s">
        <v>577</v>
      </c>
      <c r="AH577" s="14" t="s">
        <v>579</v>
      </c>
      <c r="AL577" s="13" t="s">
        <v>580</v>
      </c>
      <c r="AN577" s="13">
        <v>329</v>
      </c>
      <c r="AO577" s="13" t="s">
        <v>581</v>
      </c>
      <c r="AQ577" s="13" t="s">
        <v>577</v>
      </c>
      <c r="AR577" s="13" t="s">
        <v>577</v>
      </c>
      <c r="AS577" s="13" t="s">
        <v>116</v>
      </c>
      <c r="AT577" s="13" t="s">
        <v>582</v>
      </c>
      <c r="AU577" s="13" t="s">
        <v>583</v>
      </c>
      <c r="AV577" s="27" t="s">
        <v>237</v>
      </c>
      <c r="AW577" s="26"/>
      <c r="AX577" s="26"/>
      <c r="AY577" s="13" t="s">
        <v>584</v>
      </c>
      <c r="AZ577" s="13" t="s">
        <v>585</v>
      </c>
      <c r="BA577" s="13" t="s">
        <v>585</v>
      </c>
      <c r="BB577" s="13" t="s">
        <v>586</v>
      </c>
      <c r="BC577" s="13" t="s">
        <v>587</v>
      </c>
      <c r="BD577" s="30">
        <f t="shared" si="20"/>
        <v>45</v>
      </c>
      <c r="BE577" s="13" t="s">
        <v>573</v>
      </c>
      <c r="BF577" s="13" t="s">
        <v>243</v>
      </c>
      <c r="BG577" s="13" t="s">
        <v>588</v>
      </c>
      <c r="BO577" s="17" t="s">
        <v>589</v>
      </c>
      <c r="BS577" s="13" t="s">
        <v>127</v>
      </c>
      <c r="BU577" s="13" t="s">
        <v>129</v>
      </c>
      <c r="BX577" s="13" t="s">
        <v>590</v>
      </c>
      <c r="DA577" s="13" t="s">
        <v>10348</v>
      </c>
      <c r="DB577" s="13" t="s">
        <v>10348</v>
      </c>
    </row>
    <row r="578" spans="1:106" s="13" customFormat="1" ht="12.75" customHeight="1" x14ac:dyDescent="0.2">
      <c r="A578" s="13" t="s">
        <v>102</v>
      </c>
      <c r="B578" s="13" t="s">
        <v>103</v>
      </c>
      <c r="D578" s="13" t="s">
        <v>227</v>
      </c>
      <c r="E578" s="13" t="s">
        <v>228</v>
      </c>
      <c r="F578" s="13" t="s">
        <v>227</v>
      </c>
      <c r="G578" s="13" t="s">
        <v>229</v>
      </c>
      <c r="H578" s="13" t="s">
        <v>7712</v>
      </c>
      <c r="J578" s="13" t="s">
        <v>106</v>
      </c>
      <c r="W578" s="13">
        <v>37</v>
      </c>
      <c r="X578" s="13">
        <v>37</v>
      </c>
      <c r="Y578" s="13" t="s">
        <v>107</v>
      </c>
      <c r="Z578" s="13" t="s">
        <v>108</v>
      </c>
      <c r="AA578" s="37" t="s">
        <v>107</v>
      </c>
      <c r="AB578" s="13" t="s">
        <v>591</v>
      </c>
      <c r="AC578" s="13" t="s">
        <v>592</v>
      </c>
      <c r="AD578" s="13" t="s">
        <v>591</v>
      </c>
      <c r="AE578" s="22" t="s">
        <v>112</v>
      </c>
      <c r="AF578" s="13" t="s">
        <v>591</v>
      </c>
      <c r="AG578" s="13" t="s">
        <v>591</v>
      </c>
      <c r="AH578" s="14" t="s">
        <v>593</v>
      </c>
      <c r="AL578" s="13" t="s">
        <v>594</v>
      </c>
      <c r="AN578" s="13">
        <v>329</v>
      </c>
      <c r="AO578" s="13" t="s">
        <v>595</v>
      </c>
      <c r="AQ578" s="13" t="s">
        <v>591</v>
      </c>
      <c r="AR578" s="13" t="s">
        <v>591</v>
      </c>
      <c r="AS578" s="13" t="s">
        <v>116</v>
      </c>
      <c r="AT578" s="13" t="s">
        <v>596</v>
      </c>
      <c r="AU578" s="13" t="s">
        <v>568</v>
      </c>
      <c r="AV578" s="27" t="s">
        <v>237</v>
      </c>
      <c r="AW578" s="26"/>
      <c r="AX578" s="26"/>
      <c r="AY578" s="13" t="s">
        <v>597</v>
      </c>
      <c r="AZ578" s="13" t="s">
        <v>598</v>
      </c>
      <c r="BA578" s="13" t="s">
        <v>598</v>
      </c>
      <c r="BB578" s="13" t="s">
        <v>599</v>
      </c>
      <c r="BC578" s="13" t="s">
        <v>600</v>
      </c>
      <c r="BD578" s="30">
        <f t="shared" si="20"/>
        <v>57</v>
      </c>
      <c r="BE578" s="13" t="s">
        <v>573</v>
      </c>
      <c r="BF578" s="13" t="s">
        <v>243</v>
      </c>
      <c r="BG578" s="13" t="s">
        <v>574</v>
      </c>
      <c r="BO578" s="17" t="s">
        <v>601</v>
      </c>
      <c r="BS578" s="13" t="s">
        <v>127</v>
      </c>
      <c r="BU578" s="13" t="s">
        <v>129</v>
      </c>
      <c r="BX578" s="13" t="s">
        <v>602</v>
      </c>
      <c r="DA578" s="13" t="s">
        <v>10348</v>
      </c>
      <c r="DB578" s="13" t="s">
        <v>10348</v>
      </c>
    </row>
    <row r="579" spans="1:106" s="13" customFormat="1" ht="12.75" customHeight="1" x14ac:dyDescent="0.2">
      <c r="A579" s="13" t="s">
        <v>102</v>
      </c>
      <c r="B579" s="13" t="s">
        <v>103</v>
      </c>
      <c r="D579" s="13" t="s">
        <v>227</v>
      </c>
      <c r="E579" s="13" t="s">
        <v>228</v>
      </c>
      <c r="F579" s="13" t="s">
        <v>227</v>
      </c>
      <c r="G579" s="13" t="s">
        <v>229</v>
      </c>
      <c r="H579" s="13" t="s">
        <v>7712</v>
      </c>
      <c r="J579" s="13" t="s">
        <v>106</v>
      </c>
      <c r="W579" s="13">
        <v>38</v>
      </c>
      <c r="X579" s="13">
        <v>38</v>
      </c>
      <c r="Y579" s="13" t="s">
        <v>107</v>
      </c>
      <c r="Z579" s="13" t="s">
        <v>108</v>
      </c>
      <c r="AA579" s="37" t="s">
        <v>107</v>
      </c>
      <c r="AB579" s="13" t="s">
        <v>603</v>
      </c>
      <c r="AC579" s="13" t="s">
        <v>604</v>
      </c>
      <c r="AD579" s="13" t="s">
        <v>603</v>
      </c>
      <c r="AE579" s="22" t="s">
        <v>112</v>
      </c>
      <c r="AF579" s="13" t="s">
        <v>603</v>
      </c>
      <c r="AG579" s="13" t="s">
        <v>603</v>
      </c>
      <c r="AH579" s="14" t="s">
        <v>605</v>
      </c>
      <c r="AL579" s="13" t="s">
        <v>606</v>
      </c>
      <c r="AN579" s="13">
        <v>329</v>
      </c>
      <c r="AO579" s="13" t="s">
        <v>607</v>
      </c>
      <c r="AQ579" s="13" t="s">
        <v>603</v>
      </c>
      <c r="AR579" s="13" t="s">
        <v>603</v>
      </c>
      <c r="AS579" s="13" t="s">
        <v>116</v>
      </c>
      <c r="AT579" s="13" t="s">
        <v>608</v>
      </c>
      <c r="AU579" s="13" t="s">
        <v>608</v>
      </c>
      <c r="AV579" s="27" t="s">
        <v>237</v>
      </c>
      <c r="AW579" s="26"/>
      <c r="AX579" s="26"/>
      <c r="AY579" s="13" t="s">
        <v>609</v>
      </c>
      <c r="AZ579" s="13" t="s">
        <v>610</v>
      </c>
      <c r="BA579" s="13" t="s">
        <v>610</v>
      </c>
      <c r="BB579" s="13" t="s">
        <v>611</v>
      </c>
      <c r="BC579" s="13" t="s">
        <v>612</v>
      </c>
      <c r="BD579" s="30">
        <f t="shared" si="20"/>
        <v>57</v>
      </c>
      <c r="BE579" s="13" t="s">
        <v>613</v>
      </c>
      <c r="BF579" s="13" t="s">
        <v>243</v>
      </c>
      <c r="BG579" s="13" t="s">
        <v>614</v>
      </c>
      <c r="BO579" s="13" t="s">
        <v>615</v>
      </c>
      <c r="BS579" s="13" t="s">
        <v>127</v>
      </c>
      <c r="BT579" s="13" t="s">
        <v>616</v>
      </c>
      <c r="BU579" s="13" t="s">
        <v>129</v>
      </c>
      <c r="BX579" s="13" t="s">
        <v>617</v>
      </c>
      <c r="DA579" s="13" t="s">
        <v>10348</v>
      </c>
      <c r="DB579" s="13" t="s">
        <v>10348</v>
      </c>
    </row>
    <row r="580" spans="1:106" s="13" customFormat="1" ht="12.75" customHeight="1" x14ac:dyDescent="0.2">
      <c r="A580" s="13" t="s">
        <v>102</v>
      </c>
      <c r="B580" s="13" t="s">
        <v>103</v>
      </c>
      <c r="D580" s="13" t="s">
        <v>227</v>
      </c>
      <c r="E580" s="13" t="s">
        <v>228</v>
      </c>
      <c r="F580" s="13" t="s">
        <v>227</v>
      </c>
      <c r="G580" s="13" t="s">
        <v>229</v>
      </c>
      <c r="H580" s="13" t="s">
        <v>7712</v>
      </c>
      <c r="J580" s="13" t="s">
        <v>106</v>
      </c>
      <c r="W580" s="13">
        <v>39</v>
      </c>
      <c r="X580" s="13">
        <v>39</v>
      </c>
      <c r="Y580" s="13" t="s">
        <v>107</v>
      </c>
      <c r="Z580" s="13" t="s">
        <v>108</v>
      </c>
      <c r="AA580" s="37" t="s">
        <v>107</v>
      </c>
      <c r="AB580" s="13" t="s">
        <v>618</v>
      </c>
      <c r="AC580" s="13" t="s">
        <v>619</v>
      </c>
      <c r="AD580" s="13" t="s">
        <v>618</v>
      </c>
      <c r="AE580" s="22" t="s">
        <v>112</v>
      </c>
      <c r="AF580" s="13" t="s">
        <v>618</v>
      </c>
      <c r="AG580" s="13" t="s">
        <v>618</v>
      </c>
      <c r="AH580" s="14" t="s">
        <v>620</v>
      </c>
      <c r="AL580" s="13" t="s">
        <v>621</v>
      </c>
      <c r="AN580" s="13">
        <v>329</v>
      </c>
      <c r="AO580" s="13" t="s">
        <v>622</v>
      </c>
      <c r="AQ580" s="13" t="s">
        <v>618</v>
      </c>
      <c r="AR580" s="13" t="s">
        <v>618</v>
      </c>
      <c r="AS580" s="13" t="s">
        <v>116</v>
      </c>
      <c r="AT580" s="13" t="s">
        <v>623</v>
      </c>
      <c r="AU580" s="13" t="s">
        <v>568</v>
      </c>
      <c r="AV580" s="27" t="s">
        <v>237</v>
      </c>
      <c r="AW580" s="26"/>
      <c r="AX580" s="26"/>
      <c r="AY580" s="13" t="s">
        <v>624</v>
      </c>
      <c r="AZ580" s="13" t="s">
        <v>625</v>
      </c>
      <c r="BA580" s="13" t="s">
        <v>625</v>
      </c>
      <c r="BB580" s="13" t="s">
        <v>626</v>
      </c>
      <c r="BC580" s="13" t="s">
        <v>627</v>
      </c>
      <c r="BD580" s="30">
        <f t="shared" si="20"/>
        <v>51</v>
      </c>
      <c r="BE580" s="13" t="s">
        <v>573</v>
      </c>
      <c r="BF580" s="13" t="s">
        <v>243</v>
      </c>
      <c r="BG580" s="13" t="s">
        <v>574</v>
      </c>
      <c r="BO580" s="13" t="s">
        <v>628</v>
      </c>
      <c r="BR580" s="13" t="s">
        <v>629</v>
      </c>
      <c r="BS580" s="13" t="s">
        <v>127</v>
      </c>
      <c r="BU580" s="13" t="s">
        <v>129</v>
      </c>
      <c r="BX580" s="13" t="s">
        <v>630</v>
      </c>
      <c r="DA580" s="13" t="s">
        <v>10348</v>
      </c>
      <c r="DB580" s="13" t="s">
        <v>10348</v>
      </c>
    </row>
    <row r="581" spans="1:106" s="13" customFormat="1" ht="12.75" customHeight="1" x14ac:dyDescent="0.2">
      <c r="A581" s="13" t="s">
        <v>102</v>
      </c>
      <c r="B581" s="13" t="s">
        <v>103</v>
      </c>
      <c r="D581" s="13" t="s">
        <v>227</v>
      </c>
      <c r="E581" s="13" t="s">
        <v>228</v>
      </c>
      <c r="F581" s="13" t="s">
        <v>227</v>
      </c>
      <c r="G581" s="13" t="s">
        <v>229</v>
      </c>
      <c r="H581" s="13" t="s">
        <v>7712</v>
      </c>
      <c r="J581" s="13" t="s">
        <v>106</v>
      </c>
      <c r="W581" s="13">
        <v>40</v>
      </c>
      <c r="X581" s="13">
        <v>40</v>
      </c>
      <c r="Y581" s="13" t="s">
        <v>107</v>
      </c>
      <c r="Z581" s="13" t="s">
        <v>108</v>
      </c>
      <c r="AA581" s="37" t="s">
        <v>107</v>
      </c>
      <c r="AB581" s="13" t="s">
        <v>631</v>
      </c>
      <c r="AC581" s="13" t="s">
        <v>632</v>
      </c>
      <c r="AD581" s="13" t="s">
        <v>631</v>
      </c>
      <c r="AE581" s="22" t="s">
        <v>112</v>
      </c>
      <c r="AF581" s="13" t="s">
        <v>631</v>
      </c>
      <c r="AG581" s="13" t="s">
        <v>631</v>
      </c>
      <c r="AH581" s="14" t="s">
        <v>633</v>
      </c>
      <c r="AL581" s="13" t="s">
        <v>634</v>
      </c>
      <c r="AN581" s="13">
        <v>329</v>
      </c>
      <c r="AO581" s="13" t="s">
        <v>635</v>
      </c>
      <c r="AQ581" s="13" t="s">
        <v>631</v>
      </c>
      <c r="AR581" s="13" t="s">
        <v>631</v>
      </c>
      <c r="AS581" s="13" t="s">
        <v>116</v>
      </c>
      <c r="AT581" s="13" t="s">
        <v>636</v>
      </c>
      <c r="AU581" s="13" t="s">
        <v>636</v>
      </c>
      <c r="AV581" s="27" t="s">
        <v>237</v>
      </c>
      <c r="AW581" s="26"/>
      <c r="AX581" s="26"/>
      <c r="AY581" s="13" t="s">
        <v>637</v>
      </c>
      <c r="AZ581" s="13" t="s">
        <v>638</v>
      </c>
      <c r="BA581" s="13" t="s">
        <v>638</v>
      </c>
      <c r="BB581" s="13" t="s">
        <v>639</v>
      </c>
      <c r="BC581" s="13" t="s">
        <v>640</v>
      </c>
      <c r="BD581" s="30">
        <f t="shared" si="20"/>
        <v>58</v>
      </c>
      <c r="BE581" s="13" t="s">
        <v>641</v>
      </c>
      <c r="BF581" s="13" t="s">
        <v>243</v>
      </c>
      <c r="BG581" s="13" t="s">
        <v>642</v>
      </c>
      <c r="BO581" s="13" t="s">
        <v>643</v>
      </c>
      <c r="BS581" s="13" t="s">
        <v>127</v>
      </c>
      <c r="BU581" s="13" t="s">
        <v>129</v>
      </c>
      <c r="BX581" s="13" t="s">
        <v>644</v>
      </c>
      <c r="DA581" s="13" t="s">
        <v>10348</v>
      </c>
      <c r="DB581" s="13" t="s">
        <v>10348</v>
      </c>
    </row>
    <row r="582" spans="1:106" s="13" customFormat="1" ht="12.75" customHeight="1" x14ac:dyDescent="0.2">
      <c r="A582" s="13" t="s">
        <v>102</v>
      </c>
      <c r="B582" s="13" t="s">
        <v>103</v>
      </c>
      <c r="D582" s="13" t="s">
        <v>227</v>
      </c>
      <c r="E582" s="13" t="s">
        <v>228</v>
      </c>
      <c r="F582" s="13" t="s">
        <v>227</v>
      </c>
      <c r="G582" s="13" t="s">
        <v>229</v>
      </c>
      <c r="H582" s="13" t="s">
        <v>7712</v>
      </c>
      <c r="J582" s="13" t="s">
        <v>106</v>
      </c>
      <c r="W582" s="13">
        <v>41</v>
      </c>
      <c r="X582" s="13">
        <v>41</v>
      </c>
      <c r="Y582" s="13" t="s">
        <v>107</v>
      </c>
      <c r="Z582" s="13" t="s">
        <v>108</v>
      </c>
      <c r="AA582" s="37" t="s">
        <v>107</v>
      </c>
      <c r="AB582" s="13" t="s">
        <v>645</v>
      </c>
      <c r="AC582" s="13" t="s">
        <v>646</v>
      </c>
      <c r="AD582" s="13" t="s">
        <v>645</v>
      </c>
      <c r="AE582" s="22" t="s">
        <v>112</v>
      </c>
      <c r="AF582" s="13" t="s">
        <v>645</v>
      </c>
      <c r="AG582" s="13" t="s">
        <v>645</v>
      </c>
      <c r="AH582" s="14" t="s">
        <v>647</v>
      </c>
      <c r="AL582" s="13" t="s">
        <v>648</v>
      </c>
      <c r="AN582" s="13">
        <v>329</v>
      </c>
      <c r="AO582" s="13" t="s">
        <v>649</v>
      </c>
      <c r="AQ582" s="13" t="s">
        <v>645</v>
      </c>
      <c r="AR582" s="13" t="s">
        <v>645</v>
      </c>
      <c r="AS582" s="13" t="s">
        <v>116</v>
      </c>
      <c r="AT582" s="13" t="s">
        <v>650</v>
      </c>
      <c r="AU582" s="13" t="s">
        <v>650</v>
      </c>
      <c r="AV582" s="27" t="s">
        <v>237</v>
      </c>
      <c r="AW582" s="26"/>
      <c r="AX582" s="26"/>
      <c r="AY582" s="13" t="s">
        <v>651</v>
      </c>
      <c r="AZ582" s="13" t="s">
        <v>652</v>
      </c>
      <c r="BA582" s="13" t="s">
        <v>652</v>
      </c>
      <c r="BB582" s="13" t="s">
        <v>653</v>
      </c>
      <c r="BC582" s="13" t="s">
        <v>654</v>
      </c>
      <c r="BD582" s="30">
        <f t="shared" si="20"/>
        <v>58</v>
      </c>
      <c r="BE582" s="13" t="s">
        <v>641</v>
      </c>
      <c r="BF582" s="13" t="s">
        <v>243</v>
      </c>
      <c r="BG582" s="13" t="s">
        <v>655</v>
      </c>
      <c r="BO582" s="13" t="s">
        <v>643</v>
      </c>
      <c r="BS582" s="13" t="s">
        <v>127</v>
      </c>
      <c r="BU582" s="13" t="s">
        <v>129</v>
      </c>
      <c r="BX582" s="13" t="s">
        <v>656</v>
      </c>
      <c r="DA582" s="13" t="s">
        <v>10348</v>
      </c>
      <c r="DB582" s="13" t="s">
        <v>10348</v>
      </c>
    </row>
    <row r="583" spans="1:106" s="13" customFormat="1" ht="12.75" customHeight="1" x14ac:dyDescent="0.2">
      <c r="A583" s="13" t="s">
        <v>102</v>
      </c>
      <c r="B583" s="13" t="s">
        <v>103</v>
      </c>
      <c r="D583" s="13" t="s">
        <v>227</v>
      </c>
      <c r="E583" s="13" t="s">
        <v>228</v>
      </c>
      <c r="F583" s="13" t="s">
        <v>227</v>
      </c>
      <c r="G583" s="13" t="s">
        <v>229</v>
      </c>
      <c r="H583" s="13" t="s">
        <v>7712</v>
      </c>
      <c r="J583" s="13" t="s">
        <v>106</v>
      </c>
      <c r="W583" s="13">
        <v>42</v>
      </c>
      <c r="X583" s="13">
        <v>42</v>
      </c>
      <c r="Y583" s="13" t="s">
        <v>107</v>
      </c>
      <c r="Z583" s="13" t="s">
        <v>108</v>
      </c>
      <c r="AA583" s="37" t="s">
        <v>107</v>
      </c>
      <c r="AB583" s="13" t="s">
        <v>657</v>
      </c>
      <c r="AC583" s="13" t="s">
        <v>658</v>
      </c>
      <c r="AD583" s="13" t="s">
        <v>657</v>
      </c>
      <c r="AE583" s="22" t="s">
        <v>112</v>
      </c>
      <c r="AF583" s="13" t="s">
        <v>657</v>
      </c>
      <c r="AG583" s="13" t="s">
        <v>657</v>
      </c>
      <c r="AH583" s="14" t="s">
        <v>659</v>
      </c>
      <c r="AL583" s="13" t="s">
        <v>660</v>
      </c>
      <c r="AN583" s="13">
        <v>329</v>
      </c>
      <c r="AO583" s="13" t="s">
        <v>661</v>
      </c>
      <c r="AQ583" s="13" t="s">
        <v>657</v>
      </c>
      <c r="AR583" s="13" t="s">
        <v>657</v>
      </c>
      <c r="AS583" s="13" t="s">
        <v>116</v>
      </c>
      <c r="AT583" s="13" t="s">
        <v>662</v>
      </c>
      <c r="AU583" s="13" t="s">
        <v>662</v>
      </c>
      <c r="AV583" s="27" t="s">
        <v>237</v>
      </c>
      <c r="AW583" s="26"/>
      <c r="AX583" s="26"/>
      <c r="AY583" s="13" t="s">
        <v>663</v>
      </c>
      <c r="AZ583" s="13" t="s">
        <v>664</v>
      </c>
      <c r="BA583" s="13" t="s">
        <v>664</v>
      </c>
      <c r="BB583" s="13" t="s">
        <v>665</v>
      </c>
      <c r="BC583" s="13" t="s">
        <v>666</v>
      </c>
      <c r="BD583" s="30">
        <f t="shared" si="20"/>
        <v>59</v>
      </c>
      <c r="BE583" s="13" t="s">
        <v>641</v>
      </c>
      <c r="BF583" s="13" t="s">
        <v>243</v>
      </c>
      <c r="BG583" s="13" t="s">
        <v>655</v>
      </c>
      <c r="BO583" s="17" t="s">
        <v>667</v>
      </c>
      <c r="BS583" s="13" t="s">
        <v>127</v>
      </c>
      <c r="BU583" s="13" t="s">
        <v>129</v>
      </c>
      <c r="BX583" s="13" t="s">
        <v>668</v>
      </c>
      <c r="DA583" s="13" t="s">
        <v>10348</v>
      </c>
      <c r="DB583" s="13" t="s">
        <v>10348</v>
      </c>
    </row>
    <row r="584" spans="1:106" s="13" customFormat="1" ht="12.75" customHeight="1" x14ac:dyDescent="0.2">
      <c r="A584" s="13" t="s">
        <v>102</v>
      </c>
      <c r="B584" s="13" t="s">
        <v>103</v>
      </c>
      <c r="D584" s="13" t="s">
        <v>227</v>
      </c>
      <c r="E584" s="13" t="s">
        <v>228</v>
      </c>
      <c r="F584" s="13" t="s">
        <v>227</v>
      </c>
      <c r="G584" s="13" t="s">
        <v>229</v>
      </c>
      <c r="H584" s="13" t="s">
        <v>7712</v>
      </c>
      <c r="J584" s="13" t="s">
        <v>106</v>
      </c>
      <c r="W584" s="13">
        <v>43</v>
      </c>
      <c r="X584" s="13">
        <v>43</v>
      </c>
      <c r="Y584" s="13" t="s">
        <v>107</v>
      </c>
      <c r="Z584" s="13" t="s">
        <v>108</v>
      </c>
      <c r="AA584" s="37" t="s">
        <v>107</v>
      </c>
      <c r="AB584" s="13" t="s">
        <v>669</v>
      </c>
      <c r="AC584" s="13" t="s">
        <v>670</v>
      </c>
      <c r="AD584" s="13" t="s">
        <v>669</v>
      </c>
      <c r="AE584" s="22" t="s">
        <v>112</v>
      </c>
      <c r="AF584" s="13" t="s">
        <v>669</v>
      </c>
      <c r="AG584" s="13" t="s">
        <v>669</v>
      </c>
      <c r="AH584" s="14" t="s">
        <v>671</v>
      </c>
      <c r="AL584" s="13" t="s">
        <v>672</v>
      </c>
      <c r="AN584" s="13">
        <v>329</v>
      </c>
      <c r="AO584" s="13" t="s">
        <v>673</v>
      </c>
      <c r="AQ584" s="13" t="s">
        <v>669</v>
      </c>
      <c r="AR584" s="13" t="s">
        <v>669</v>
      </c>
      <c r="AS584" s="13" t="s">
        <v>116</v>
      </c>
      <c r="AT584" s="13" t="s">
        <v>674</v>
      </c>
      <c r="AU584" s="13" t="s">
        <v>675</v>
      </c>
      <c r="AV584" s="27" t="s">
        <v>237</v>
      </c>
      <c r="AW584" s="26"/>
      <c r="AX584" s="26"/>
      <c r="AY584" s="13" t="s">
        <v>676</v>
      </c>
      <c r="AZ584" s="13" t="s">
        <v>677</v>
      </c>
      <c r="BA584" s="13" t="s">
        <v>677</v>
      </c>
      <c r="BB584" s="13" t="s">
        <v>678</v>
      </c>
      <c r="BC584" s="13" t="s">
        <v>679</v>
      </c>
      <c r="BD584" s="30">
        <f t="shared" si="20"/>
        <v>58</v>
      </c>
      <c r="BE584" s="13" t="s">
        <v>680</v>
      </c>
      <c r="BF584" s="13" t="s">
        <v>243</v>
      </c>
      <c r="BG584" s="13" t="s">
        <v>681</v>
      </c>
      <c r="BO584" s="17" t="s">
        <v>682</v>
      </c>
      <c r="BP584" s="13" t="s">
        <v>683</v>
      </c>
      <c r="BR584" s="13" t="s">
        <v>629</v>
      </c>
      <c r="BS584" s="13" t="s">
        <v>127</v>
      </c>
      <c r="BU584" s="13" t="s">
        <v>129</v>
      </c>
      <c r="BW584" s="17" t="s">
        <v>684</v>
      </c>
      <c r="BX584" s="13" t="s">
        <v>685</v>
      </c>
      <c r="DA584" s="13" t="s">
        <v>10348</v>
      </c>
      <c r="DB584" s="13" t="s">
        <v>10348</v>
      </c>
    </row>
    <row r="585" spans="1:106" s="13" customFormat="1" ht="12.75" customHeight="1" x14ac:dyDescent="0.2">
      <c r="A585" s="13" t="s">
        <v>102</v>
      </c>
      <c r="B585" s="13" t="s">
        <v>103</v>
      </c>
      <c r="D585" s="13" t="s">
        <v>227</v>
      </c>
      <c r="E585" s="13" t="s">
        <v>228</v>
      </c>
      <c r="F585" s="13" t="s">
        <v>227</v>
      </c>
      <c r="G585" s="13" t="s">
        <v>229</v>
      </c>
      <c r="H585" s="13" t="s">
        <v>7712</v>
      </c>
      <c r="J585" s="13" t="s">
        <v>106</v>
      </c>
      <c r="W585" s="13">
        <v>44</v>
      </c>
      <c r="X585" s="13">
        <v>44</v>
      </c>
      <c r="Y585" s="13" t="s">
        <v>107</v>
      </c>
      <c r="Z585" s="13" t="s">
        <v>108</v>
      </c>
      <c r="AA585" s="37" t="s">
        <v>107</v>
      </c>
      <c r="AB585" s="13" t="s">
        <v>686</v>
      </c>
      <c r="AC585" s="13" t="s">
        <v>687</v>
      </c>
      <c r="AD585" s="13" t="s">
        <v>686</v>
      </c>
      <c r="AE585" s="22" t="s">
        <v>112</v>
      </c>
      <c r="AF585" s="13" t="s">
        <v>686</v>
      </c>
      <c r="AG585" s="13" t="s">
        <v>686</v>
      </c>
      <c r="AH585" s="14" t="s">
        <v>688</v>
      </c>
      <c r="AL585" s="13" t="s">
        <v>689</v>
      </c>
      <c r="AN585" s="13">
        <v>329</v>
      </c>
      <c r="AO585" s="13" t="s">
        <v>690</v>
      </c>
      <c r="AQ585" s="13" t="s">
        <v>686</v>
      </c>
      <c r="AR585" s="13" t="s">
        <v>686</v>
      </c>
      <c r="AS585" s="13" t="s">
        <v>116</v>
      </c>
      <c r="AT585" s="13" t="s">
        <v>691</v>
      </c>
      <c r="AU585" s="13" t="s">
        <v>691</v>
      </c>
      <c r="AV585" s="27" t="s">
        <v>237</v>
      </c>
      <c r="AW585" s="26"/>
      <c r="AX585" s="26"/>
      <c r="AY585" s="13" t="s">
        <v>692</v>
      </c>
      <c r="AZ585" s="13" t="s">
        <v>693</v>
      </c>
      <c r="BA585" s="13" t="s">
        <v>693</v>
      </c>
      <c r="BB585" s="13" t="s">
        <v>694</v>
      </c>
      <c r="BC585" s="13" t="s">
        <v>695</v>
      </c>
      <c r="BD585" s="30">
        <f t="shared" si="20"/>
        <v>55</v>
      </c>
      <c r="BE585" s="13" t="s">
        <v>680</v>
      </c>
      <c r="BF585" s="13" t="s">
        <v>243</v>
      </c>
      <c r="BG585" s="13" t="s">
        <v>681</v>
      </c>
      <c r="BO585" s="13" t="s">
        <v>696</v>
      </c>
      <c r="BP585" s="13" t="s">
        <v>683</v>
      </c>
      <c r="BR585" s="13" t="s">
        <v>629</v>
      </c>
      <c r="BS585" s="13" t="s">
        <v>127</v>
      </c>
      <c r="BU585" s="13" t="s">
        <v>129</v>
      </c>
      <c r="BX585" s="13" t="s">
        <v>697</v>
      </c>
      <c r="DA585" s="13" t="s">
        <v>10348</v>
      </c>
      <c r="DB585" s="13" t="s">
        <v>10348</v>
      </c>
    </row>
    <row r="586" spans="1:106" s="13" customFormat="1" ht="12.75" customHeight="1" x14ac:dyDescent="0.2">
      <c r="A586" s="13" t="s">
        <v>102</v>
      </c>
      <c r="B586" s="13" t="s">
        <v>103</v>
      </c>
      <c r="D586" s="13" t="s">
        <v>227</v>
      </c>
      <c r="E586" s="13" t="s">
        <v>228</v>
      </c>
      <c r="F586" s="13" t="s">
        <v>227</v>
      </c>
      <c r="G586" s="13" t="s">
        <v>229</v>
      </c>
      <c r="H586" s="13" t="s">
        <v>7712</v>
      </c>
      <c r="J586" s="13" t="s">
        <v>106</v>
      </c>
      <c r="W586" s="13">
        <v>45</v>
      </c>
      <c r="X586" s="13">
        <v>45</v>
      </c>
      <c r="Y586" s="13" t="s">
        <v>107</v>
      </c>
      <c r="Z586" s="13" t="s">
        <v>108</v>
      </c>
      <c r="AA586" s="37" t="s">
        <v>107</v>
      </c>
      <c r="AB586" s="13" t="s">
        <v>698</v>
      </c>
      <c r="AC586" s="13" t="s">
        <v>699</v>
      </c>
      <c r="AD586" s="13" t="s">
        <v>698</v>
      </c>
      <c r="AE586" s="22" t="s">
        <v>112</v>
      </c>
      <c r="AF586" s="13" t="s">
        <v>698</v>
      </c>
      <c r="AG586" s="13" t="s">
        <v>698</v>
      </c>
      <c r="AH586" s="14" t="s">
        <v>700</v>
      </c>
      <c r="AL586" s="13" t="s">
        <v>701</v>
      </c>
      <c r="AN586" s="13">
        <v>329</v>
      </c>
      <c r="AO586" s="13" t="s">
        <v>702</v>
      </c>
      <c r="AQ586" s="13" t="s">
        <v>698</v>
      </c>
      <c r="AR586" s="13" t="s">
        <v>698</v>
      </c>
      <c r="AS586" s="13" t="s">
        <v>116</v>
      </c>
      <c r="AT586" s="13" t="s">
        <v>703</v>
      </c>
      <c r="AU586" s="13" t="s">
        <v>703</v>
      </c>
      <c r="AV586" s="27" t="s">
        <v>237</v>
      </c>
      <c r="AW586" s="26"/>
      <c r="AX586" s="26"/>
      <c r="AY586" s="13" t="s">
        <v>704</v>
      </c>
      <c r="AZ586" s="13" t="s">
        <v>705</v>
      </c>
      <c r="BA586" s="13" t="s">
        <v>705</v>
      </c>
      <c r="BB586" s="13" t="s">
        <v>706</v>
      </c>
      <c r="BC586" s="13" t="s">
        <v>707</v>
      </c>
      <c r="BD586" s="30">
        <f t="shared" si="20"/>
        <v>31</v>
      </c>
      <c r="BE586" s="13" t="s">
        <v>517</v>
      </c>
      <c r="BF586" s="13" t="s">
        <v>243</v>
      </c>
      <c r="BG586" s="13" t="s">
        <v>708</v>
      </c>
      <c r="BO586" s="13" t="s">
        <v>709</v>
      </c>
      <c r="BS586" s="13" t="s">
        <v>127</v>
      </c>
      <c r="BU586" s="13" t="s">
        <v>129</v>
      </c>
      <c r="BX586" s="13" t="s">
        <v>710</v>
      </c>
      <c r="DA586" s="13" t="s">
        <v>10348</v>
      </c>
      <c r="DB586" s="13" t="s">
        <v>10348</v>
      </c>
    </row>
    <row r="587" spans="1:106" s="13" customFormat="1" ht="12.75" customHeight="1" x14ac:dyDescent="0.2">
      <c r="A587" s="13" t="s">
        <v>102</v>
      </c>
      <c r="B587" s="13" t="s">
        <v>103</v>
      </c>
      <c r="D587" s="13" t="s">
        <v>227</v>
      </c>
      <c r="E587" s="13" t="s">
        <v>228</v>
      </c>
      <c r="F587" s="13" t="s">
        <v>227</v>
      </c>
      <c r="G587" s="13" t="s">
        <v>229</v>
      </c>
      <c r="H587" s="13" t="s">
        <v>7712</v>
      </c>
      <c r="J587" s="13" t="s">
        <v>106</v>
      </c>
      <c r="W587" s="13">
        <v>46</v>
      </c>
      <c r="X587" s="13">
        <v>46</v>
      </c>
      <c r="Y587" s="13" t="s">
        <v>107</v>
      </c>
      <c r="Z587" s="13" t="s">
        <v>108</v>
      </c>
      <c r="AA587" s="37" t="s">
        <v>107</v>
      </c>
      <c r="AB587" s="13" t="s">
        <v>711</v>
      </c>
      <c r="AC587" s="13" t="s">
        <v>712</v>
      </c>
      <c r="AD587" s="13" t="s">
        <v>711</v>
      </c>
      <c r="AE587" s="22" t="s">
        <v>112</v>
      </c>
      <c r="AF587" s="13" t="s">
        <v>711</v>
      </c>
      <c r="AG587" s="13" t="s">
        <v>711</v>
      </c>
      <c r="AH587" s="14" t="s">
        <v>713</v>
      </c>
      <c r="AL587" s="13" t="s">
        <v>714</v>
      </c>
      <c r="AN587" s="13">
        <v>329</v>
      </c>
      <c r="AO587" s="13" t="s">
        <v>715</v>
      </c>
      <c r="AQ587" s="13" t="s">
        <v>711</v>
      </c>
      <c r="AR587" s="13" t="s">
        <v>711</v>
      </c>
      <c r="AS587" s="13" t="s">
        <v>116</v>
      </c>
      <c r="AT587" s="13" t="s">
        <v>716</v>
      </c>
      <c r="AU587" s="13" t="s">
        <v>716</v>
      </c>
      <c r="AV587" s="27" t="s">
        <v>237</v>
      </c>
      <c r="AW587" s="26"/>
      <c r="AX587" s="26"/>
      <c r="AY587" s="13" t="s">
        <v>717</v>
      </c>
      <c r="AZ587" s="13" t="s">
        <v>718</v>
      </c>
      <c r="BA587" s="13" t="s">
        <v>718</v>
      </c>
      <c r="BB587" s="13" t="s">
        <v>719</v>
      </c>
      <c r="BC587" s="13" t="s">
        <v>720</v>
      </c>
      <c r="BD587" s="30">
        <f t="shared" si="20"/>
        <v>56</v>
      </c>
      <c r="BE587" s="13" t="s">
        <v>721</v>
      </c>
      <c r="BG587" s="13" t="s">
        <v>533</v>
      </c>
      <c r="BK587" s="13" t="s">
        <v>210</v>
      </c>
      <c r="BO587" s="17" t="s">
        <v>722</v>
      </c>
      <c r="BS587" s="13" t="s">
        <v>127</v>
      </c>
      <c r="BU587" s="13" t="s">
        <v>129</v>
      </c>
      <c r="BX587" s="13" t="s">
        <v>723</v>
      </c>
      <c r="DA587" s="13" t="s">
        <v>10348</v>
      </c>
      <c r="DB587" s="13" t="s">
        <v>10348</v>
      </c>
    </row>
    <row r="588" spans="1:106" s="13" customFormat="1" ht="12.75" customHeight="1" x14ac:dyDescent="0.2">
      <c r="A588" s="13" t="s">
        <v>102</v>
      </c>
      <c r="B588" s="13" t="s">
        <v>103</v>
      </c>
      <c r="D588" s="13" t="s">
        <v>227</v>
      </c>
      <c r="E588" s="13" t="s">
        <v>471</v>
      </c>
      <c r="F588" s="13" t="s">
        <v>227</v>
      </c>
      <c r="G588" s="13" t="s">
        <v>229</v>
      </c>
      <c r="H588" s="13" t="s">
        <v>7712</v>
      </c>
      <c r="J588" s="13" t="s">
        <v>106</v>
      </c>
      <c r="W588" s="13">
        <v>51</v>
      </c>
      <c r="X588" s="13">
        <v>51</v>
      </c>
      <c r="Y588" s="13" t="s">
        <v>107</v>
      </c>
      <c r="Z588" s="13" t="s">
        <v>108</v>
      </c>
      <c r="AA588" s="37" t="s">
        <v>107</v>
      </c>
      <c r="AB588" s="13" t="s">
        <v>777</v>
      </c>
      <c r="AC588" s="13" t="s">
        <v>778</v>
      </c>
      <c r="AD588" s="13" t="s">
        <v>777</v>
      </c>
      <c r="AE588" s="22" t="s">
        <v>112</v>
      </c>
      <c r="AF588" s="13" t="s">
        <v>777</v>
      </c>
      <c r="AG588" s="13" t="s">
        <v>777</v>
      </c>
      <c r="AH588" s="14" t="s">
        <v>779</v>
      </c>
      <c r="AL588" s="13" t="s">
        <v>780</v>
      </c>
      <c r="AN588" s="13">
        <v>329</v>
      </c>
      <c r="AO588" s="13" t="s">
        <v>781</v>
      </c>
      <c r="AQ588" s="13" t="s">
        <v>777</v>
      </c>
      <c r="AR588" s="13" t="s">
        <v>777</v>
      </c>
      <c r="AS588" s="13" t="s">
        <v>116</v>
      </c>
      <c r="AT588" s="13" t="s">
        <v>782</v>
      </c>
      <c r="AU588" s="13" t="s">
        <v>783</v>
      </c>
      <c r="AV588" s="14" t="s">
        <v>784</v>
      </c>
      <c r="AW588" s="26"/>
      <c r="AX588" s="26"/>
      <c r="AY588" s="13" t="s">
        <v>785</v>
      </c>
      <c r="AZ588" s="13" t="s">
        <v>786</v>
      </c>
      <c r="BA588" s="13" t="s">
        <v>786</v>
      </c>
      <c r="BB588" s="13" t="s">
        <v>787</v>
      </c>
      <c r="BC588" s="13" t="s">
        <v>788</v>
      </c>
      <c r="BD588" s="30">
        <f t="shared" si="20"/>
        <v>28</v>
      </c>
      <c r="BE588" s="13" t="s">
        <v>641</v>
      </c>
      <c r="BF588" s="13" t="s">
        <v>789</v>
      </c>
      <c r="BO588" s="13" t="s">
        <v>790</v>
      </c>
      <c r="BS588" s="13" t="s">
        <v>127</v>
      </c>
      <c r="BU588" s="13" t="s">
        <v>129</v>
      </c>
      <c r="BW588" s="13" t="s">
        <v>791</v>
      </c>
      <c r="BX588" s="13" t="s">
        <v>792</v>
      </c>
      <c r="DA588" s="13" t="s">
        <v>10348</v>
      </c>
      <c r="DB588" s="13" t="s">
        <v>10348</v>
      </c>
    </row>
    <row r="589" spans="1:106" s="13" customFormat="1" ht="12.75" customHeight="1" x14ac:dyDescent="0.2">
      <c r="A589" s="13" t="s">
        <v>102</v>
      </c>
      <c r="B589" s="13" t="s">
        <v>103</v>
      </c>
      <c r="D589" s="13" t="s">
        <v>227</v>
      </c>
      <c r="E589" s="13" t="s">
        <v>793</v>
      </c>
      <c r="F589" s="13" t="s">
        <v>227</v>
      </c>
      <c r="G589" s="13" t="s">
        <v>229</v>
      </c>
      <c r="H589" s="13" t="s">
        <v>7712</v>
      </c>
      <c r="J589" s="13" t="s">
        <v>106</v>
      </c>
      <c r="W589" s="13">
        <v>52</v>
      </c>
      <c r="X589" s="13">
        <v>52</v>
      </c>
      <c r="Y589" s="13" t="s">
        <v>107</v>
      </c>
      <c r="Z589" s="13" t="s">
        <v>108</v>
      </c>
      <c r="AA589" s="37" t="s">
        <v>107</v>
      </c>
      <c r="AB589" s="13" t="s">
        <v>794</v>
      </c>
      <c r="AC589" s="13" t="s">
        <v>795</v>
      </c>
      <c r="AD589" s="13" t="s">
        <v>794</v>
      </c>
      <c r="AE589" s="22" t="s">
        <v>112</v>
      </c>
      <c r="AF589" s="13" t="s">
        <v>794</v>
      </c>
      <c r="AG589" s="13" t="s">
        <v>794</v>
      </c>
      <c r="AH589" s="14" t="s">
        <v>796</v>
      </c>
      <c r="AL589" s="13" t="s">
        <v>797</v>
      </c>
      <c r="AN589" s="13">
        <v>329</v>
      </c>
      <c r="AO589" s="13" t="s">
        <v>798</v>
      </c>
      <c r="AV589" s="27" t="s">
        <v>799</v>
      </c>
      <c r="AW589" s="26"/>
      <c r="AX589" s="26"/>
      <c r="AY589" s="13" t="s">
        <v>800</v>
      </c>
      <c r="AZ589" s="13" t="s">
        <v>801</v>
      </c>
      <c r="BA589" s="13" t="s">
        <v>801</v>
      </c>
      <c r="BB589" s="13" t="s">
        <v>802</v>
      </c>
      <c r="BC589" s="13" t="s">
        <v>802</v>
      </c>
      <c r="BD589" s="30">
        <f t="shared" si="20"/>
        <v>19</v>
      </c>
      <c r="BE589" s="13" t="s">
        <v>803</v>
      </c>
      <c r="BF589" s="13" t="s">
        <v>804</v>
      </c>
      <c r="BJ589" s="13" t="s">
        <v>805</v>
      </c>
      <c r="BO589" s="13" t="s">
        <v>806</v>
      </c>
      <c r="BX589" s="13" t="s">
        <v>807</v>
      </c>
      <c r="DA589" s="13" t="s">
        <v>10348</v>
      </c>
      <c r="DB589" s="13" t="s">
        <v>10348</v>
      </c>
    </row>
    <row r="590" spans="1:106" s="13" customFormat="1" ht="12.75" customHeight="1" x14ac:dyDescent="0.2">
      <c r="A590" s="13" t="s">
        <v>102</v>
      </c>
      <c r="B590" s="13" t="s">
        <v>103</v>
      </c>
      <c r="D590" s="13" t="s">
        <v>227</v>
      </c>
      <c r="E590" s="13" t="s">
        <v>793</v>
      </c>
      <c r="F590" s="13" t="s">
        <v>227</v>
      </c>
      <c r="G590" s="13" t="s">
        <v>229</v>
      </c>
      <c r="H590" s="13" t="s">
        <v>7712</v>
      </c>
      <c r="J590" s="13" t="s">
        <v>106</v>
      </c>
      <c r="W590" s="13">
        <v>53</v>
      </c>
      <c r="X590" s="13">
        <v>53</v>
      </c>
      <c r="Y590" s="13" t="s">
        <v>107</v>
      </c>
      <c r="Z590" s="13" t="s">
        <v>108</v>
      </c>
      <c r="AA590" s="37" t="s">
        <v>107</v>
      </c>
      <c r="AB590" s="13" t="s">
        <v>808</v>
      </c>
      <c r="AC590" s="13" t="s">
        <v>809</v>
      </c>
      <c r="AD590" s="13" t="s">
        <v>808</v>
      </c>
      <c r="AE590" s="22" t="s">
        <v>112</v>
      </c>
      <c r="AF590" s="13" t="s">
        <v>808</v>
      </c>
      <c r="AG590" s="13" t="s">
        <v>808</v>
      </c>
      <c r="AH590" s="14" t="s">
        <v>810</v>
      </c>
      <c r="AL590" s="13" t="s">
        <v>811</v>
      </c>
      <c r="AN590" s="13">
        <v>329</v>
      </c>
      <c r="AO590" s="13" t="s">
        <v>812</v>
      </c>
      <c r="AV590" s="14" t="s">
        <v>813</v>
      </c>
      <c r="AW590" s="26"/>
      <c r="AX590" s="26"/>
      <c r="AY590" s="13" t="s">
        <v>814</v>
      </c>
      <c r="AZ590" s="13" t="s">
        <v>815</v>
      </c>
      <c r="BA590" s="13" t="s">
        <v>815</v>
      </c>
      <c r="BB590" s="13" t="s">
        <v>816</v>
      </c>
      <c r="BC590" s="13" t="s">
        <v>816</v>
      </c>
      <c r="BD590" s="30">
        <f t="shared" si="20"/>
        <v>28</v>
      </c>
      <c r="BE590" s="13" t="s">
        <v>817</v>
      </c>
      <c r="BF590" s="13" t="s">
        <v>123</v>
      </c>
      <c r="BG590" s="13" t="s">
        <v>818</v>
      </c>
      <c r="BO590" s="13" t="s">
        <v>819</v>
      </c>
      <c r="BX590" s="13" t="s">
        <v>807</v>
      </c>
      <c r="DA590" s="13" t="s">
        <v>10348</v>
      </c>
      <c r="DB590" s="13" t="s">
        <v>10348</v>
      </c>
    </row>
    <row r="591" spans="1:106" s="13" customFormat="1" ht="12.75" customHeight="1" x14ac:dyDescent="0.2">
      <c r="A591" s="13" t="s">
        <v>102</v>
      </c>
      <c r="B591" s="13" t="s">
        <v>103</v>
      </c>
      <c r="D591" s="13" t="s">
        <v>227</v>
      </c>
      <c r="E591" s="13" t="s">
        <v>471</v>
      </c>
      <c r="F591" s="13" t="s">
        <v>227</v>
      </c>
      <c r="G591" s="13" t="s">
        <v>229</v>
      </c>
      <c r="H591" s="13" t="s">
        <v>7712</v>
      </c>
      <c r="J591" s="13" t="s">
        <v>106</v>
      </c>
      <c r="W591" s="13">
        <v>124</v>
      </c>
      <c r="X591" s="13">
        <v>124</v>
      </c>
      <c r="Y591" s="13" t="s">
        <v>107</v>
      </c>
      <c r="Z591" s="13" t="s">
        <v>108</v>
      </c>
      <c r="AA591" s="37" t="s">
        <v>107</v>
      </c>
      <c r="AB591" s="13" t="s">
        <v>1645</v>
      </c>
      <c r="AC591" s="13" t="s">
        <v>1645</v>
      </c>
      <c r="AD591" s="13" t="s">
        <v>1645</v>
      </c>
      <c r="AE591" s="22" t="s">
        <v>112</v>
      </c>
      <c r="AF591" s="13" t="s">
        <v>1645</v>
      </c>
      <c r="AG591" s="13" t="s">
        <v>1645</v>
      </c>
      <c r="AH591" s="14" t="s">
        <v>1646</v>
      </c>
      <c r="AL591" s="13" t="s">
        <v>1647</v>
      </c>
      <c r="AN591" s="13">
        <v>329</v>
      </c>
      <c r="AO591" s="13" t="s">
        <v>1648</v>
      </c>
      <c r="AQ591" s="13" t="s">
        <v>1645</v>
      </c>
      <c r="AR591" s="13" t="s">
        <v>1645</v>
      </c>
      <c r="AS591" s="13" t="s">
        <v>116</v>
      </c>
      <c r="AT591" s="13" t="s">
        <v>1649</v>
      </c>
      <c r="AU591" s="13" t="s">
        <v>1649</v>
      </c>
      <c r="AV591" s="14" t="s">
        <v>784</v>
      </c>
      <c r="AW591" s="26"/>
      <c r="AX591" s="26"/>
      <c r="AY591" s="13" t="s">
        <v>1650</v>
      </c>
      <c r="AZ591" s="13" t="s">
        <v>1651</v>
      </c>
      <c r="BA591" s="13" t="s">
        <v>1651</v>
      </c>
      <c r="BB591" s="13" t="s">
        <v>1652</v>
      </c>
      <c r="BC591" s="13" t="s">
        <v>1652</v>
      </c>
      <c r="BD591" s="30">
        <f t="shared" si="20"/>
        <v>27</v>
      </c>
      <c r="BE591" s="13" t="s">
        <v>1624</v>
      </c>
      <c r="BG591" s="13" t="s">
        <v>1210</v>
      </c>
      <c r="BS591" s="13" t="s">
        <v>127</v>
      </c>
      <c r="BU591" s="13" t="s">
        <v>129</v>
      </c>
      <c r="BX591" s="13" t="s">
        <v>1653</v>
      </c>
      <c r="DA591" s="13" t="s">
        <v>10348</v>
      </c>
      <c r="DB591" s="13" t="s">
        <v>10348</v>
      </c>
    </row>
    <row r="592" spans="1:106" s="13" customFormat="1" ht="12.75" customHeight="1" x14ac:dyDescent="0.2">
      <c r="A592" s="13" t="s">
        <v>102</v>
      </c>
      <c r="B592" s="13" t="s">
        <v>103</v>
      </c>
      <c r="D592" s="13" t="s">
        <v>227</v>
      </c>
      <c r="E592" s="13" t="s">
        <v>471</v>
      </c>
      <c r="F592" s="13" t="s">
        <v>227</v>
      </c>
      <c r="G592" s="13" t="s">
        <v>229</v>
      </c>
      <c r="H592" s="13" t="s">
        <v>7712</v>
      </c>
      <c r="J592" s="13" t="s">
        <v>106</v>
      </c>
      <c r="W592" s="13">
        <v>125</v>
      </c>
      <c r="X592" s="13">
        <v>125</v>
      </c>
      <c r="Y592" s="13" t="s">
        <v>107</v>
      </c>
      <c r="Z592" s="13" t="s">
        <v>108</v>
      </c>
      <c r="AA592" s="37" t="s">
        <v>107</v>
      </c>
      <c r="AB592" s="13" t="s">
        <v>1654</v>
      </c>
      <c r="AC592" s="13" t="s">
        <v>1654</v>
      </c>
      <c r="AD592" s="13" t="s">
        <v>1654</v>
      </c>
      <c r="AE592" s="22" t="s">
        <v>112</v>
      </c>
      <c r="AF592" s="13" t="s">
        <v>1654</v>
      </c>
      <c r="AG592" s="13" t="s">
        <v>1654</v>
      </c>
      <c r="AH592" s="14" t="s">
        <v>1655</v>
      </c>
      <c r="AL592" s="13" t="s">
        <v>1656</v>
      </c>
      <c r="AN592" s="13">
        <v>329</v>
      </c>
      <c r="AO592" s="13" t="s">
        <v>1657</v>
      </c>
      <c r="AQ592" s="13" t="s">
        <v>1654</v>
      </c>
      <c r="AR592" s="13" t="s">
        <v>1654</v>
      </c>
      <c r="AS592" s="13" t="s">
        <v>116</v>
      </c>
      <c r="AT592" s="13" t="s">
        <v>1656</v>
      </c>
      <c r="AU592" s="13" t="s">
        <v>1656</v>
      </c>
      <c r="AV592" s="14" t="s">
        <v>784</v>
      </c>
      <c r="AW592" s="26"/>
      <c r="AX592" s="26"/>
      <c r="AY592" s="13" t="s">
        <v>1658</v>
      </c>
      <c r="AZ592" s="13" t="s">
        <v>1659</v>
      </c>
      <c r="BA592" s="13" t="s">
        <v>1659</v>
      </c>
      <c r="BB592" s="13" t="s">
        <v>1660</v>
      </c>
      <c r="BC592" s="13" t="s">
        <v>1660</v>
      </c>
      <c r="BD592" s="30">
        <f t="shared" si="20"/>
        <v>21</v>
      </c>
      <c r="BE592" s="13" t="s">
        <v>1624</v>
      </c>
      <c r="BS592" s="13" t="s">
        <v>127</v>
      </c>
      <c r="BU592" s="13" t="s">
        <v>129</v>
      </c>
      <c r="BX592" s="13" t="s">
        <v>1661</v>
      </c>
      <c r="CA592" s="13" t="s">
        <v>1662</v>
      </c>
      <c r="DA592" s="13" t="s">
        <v>10348</v>
      </c>
      <c r="DB592" s="13" t="s">
        <v>10348</v>
      </c>
    </row>
    <row r="593" spans="1:106" s="13" customFormat="1" ht="12.75" customHeight="1" x14ac:dyDescent="0.2">
      <c r="A593" s="13" t="s">
        <v>102</v>
      </c>
      <c r="B593" s="13" t="s">
        <v>103</v>
      </c>
      <c r="D593" s="13" t="s">
        <v>227</v>
      </c>
      <c r="E593" s="13" t="s">
        <v>471</v>
      </c>
      <c r="F593" s="13" t="s">
        <v>227</v>
      </c>
      <c r="G593" s="13" t="s">
        <v>229</v>
      </c>
      <c r="H593" s="13" t="s">
        <v>7712</v>
      </c>
      <c r="J593" s="13" t="s">
        <v>106</v>
      </c>
      <c r="W593" s="13">
        <v>126</v>
      </c>
      <c r="X593" s="13">
        <v>126</v>
      </c>
      <c r="Y593" s="13" t="s">
        <v>107</v>
      </c>
      <c r="Z593" s="13" t="s">
        <v>108</v>
      </c>
      <c r="AA593" s="37" t="s">
        <v>107</v>
      </c>
      <c r="AB593" s="13" t="s">
        <v>1663</v>
      </c>
      <c r="AC593" s="13" t="s">
        <v>1663</v>
      </c>
      <c r="AD593" s="13" t="s">
        <v>1663</v>
      </c>
      <c r="AE593" s="22" t="s">
        <v>112</v>
      </c>
      <c r="AF593" s="13" t="s">
        <v>1663</v>
      </c>
      <c r="AG593" s="13" t="s">
        <v>1663</v>
      </c>
      <c r="AH593" s="14" t="s">
        <v>1664</v>
      </c>
      <c r="AL593" s="13" t="s">
        <v>1656</v>
      </c>
      <c r="AN593" s="13">
        <v>329</v>
      </c>
      <c r="AO593" s="13" t="s">
        <v>1665</v>
      </c>
      <c r="AQ593" s="13" t="s">
        <v>1663</v>
      </c>
      <c r="AR593" s="13" t="s">
        <v>1663</v>
      </c>
      <c r="AS593" s="13" t="s">
        <v>116</v>
      </c>
      <c r="AT593" s="13" t="s">
        <v>1656</v>
      </c>
      <c r="AU593" s="13" t="s">
        <v>1656</v>
      </c>
      <c r="AV593" s="14" t="s">
        <v>784</v>
      </c>
      <c r="AW593" s="26"/>
      <c r="AX593" s="26"/>
      <c r="AY593" s="13" t="s">
        <v>1658</v>
      </c>
      <c r="AZ593" s="13" t="s">
        <v>1659</v>
      </c>
      <c r="BA593" s="13" t="s">
        <v>1659</v>
      </c>
      <c r="BB593" s="13" t="s">
        <v>1660</v>
      </c>
      <c r="BC593" s="13" t="s">
        <v>1660</v>
      </c>
      <c r="BD593" s="30">
        <f t="shared" si="20"/>
        <v>21</v>
      </c>
      <c r="BE593" s="13" t="s">
        <v>1624</v>
      </c>
      <c r="BS593" s="13" t="s">
        <v>127</v>
      </c>
      <c r="BU593" s="13" t="s">
        <v>129</v>
      </c>
      <c r="BX593" s="13" t="s">
        <v>1666</v>
      </c>
      <c r="CA593" s="13" t="s">
        <v>1662</v>
      </c>
      <c r="DA593" s="13" t="s">
        <v>10348</v>
      </c>
      <c r="DB593" s="13" t="s">
        <v>10348</v>
      </c>
    </row>
    <row r="594" spans="1:106" s="13" customFormat="1" ht="12.75" customHeight="1" x14ac:dyDescent="0.2">
      <c r="A594" s="13" t="s">
        <v>102</v>
      </c>
      <c r="B594" s="13" t="s">
        <v>103</v>
      </c>
      <c r="D594" s="13" t="s">
        <v>227</v>
      </c>
      <c r="E594" s="13" t="s">
        <v>471</v>
      </c>
      <c r="F594" s="13" t="s">
        <v>227</v>
      </c>
      <c r="G594" s="13" t="s">
        <v>229</v>
      </c>
      <c r="H594" s="13" t="s">
        <v>7712</v>
      </c>
      <c r="J594" s="13" t="s">
        <v>106</v>
      </c>
      <c r="W594" s="13">
        <v>127</v>
      </c>
      <c r="X594" s="13">
        <v>127</v>
      </c>
      <c r="Y594" s="13" t="s">
        <v>107</v>
      </c>
      <c r="Z594" s="13" t="s">
        <v>108</v>
      </c>
      <c r="AA594" s="37" t="s">
        <v>107</v>
      </c>
      <c r="AB594" s="13" t="s">
        <v>1667</v>
      </c>
      <c r="AC594" s="13" t="s">
        <v>1667</v>
      </c>
      <c r="AD594" s="13" t="s">
        <v>1667</v>
      </c>
      <c r="AE594" s="22" t="s">
        <v>112</v>
      </c>
      <c r="AF594" s="13" t="s">
        <v>1667</v>
      </c>
      <c r="AG594" s="13" t="s">
        <v>1667</v>
      </c>
      <c r="AH594" s="14" t="s">
        <v>1668</v>
      </c>
      <c r="AL594" s="13" t="s">
        <v>1656</v>
      </c>
      <c r="AN594" s="13">
        <v>329</v>
      </c>
      <c r="AO594" s="13" t="s">
        <v>1669</v>
      </c>
      <c r="AQ594" s="13" t="s">
        <v>1667</v>
      </c>
      <c r="AR594" s="13" t="s">
        <v>1667</v>
      </c>
      <c r="AS594" s="13" t="s">
        <v>116</v>
      </c>
      <c r="AT594" s="13" t="s">
        <v>1656</v>
      </c>
      <c r="AU594" s="13" t="s">
        <v>1656</v>
      </c>
      <c r="AV594" s="14" t="s">
        <v>784</v>
      </c>
      <c r="AW594" s="26"/>
      <c r="AX594" s="26"/>
      <c r="AY594" s="13" t="s">
        <v>1658</v>
      </c>
      <c r="AZ594" s="13" t="s">
        <v>1659</v>
      </c>
      <c r="BA594" s="13" t="s">
        <v>1659</v>
      </c>
      <c r="BB594" s="13" t="s">
        <v>1660</v>
      </c>
      <c r="BC594" s="13" t="s">
        <v>1660</v>
      </c>
      <c r="BD594" s="30">
        <f t="shared" si="20"/>
        <v>21</v>
      </c>
      <c r="BE594" s="13" t="s">
        <v>1624</v>
      </c>
      <c r="BS594" s="13" t="s">
        <v>127</v>
      </c>
      <c r="BU594" s="13" t="s">
        <v>129</v>
      </c>
      <c r="BX594" s="13" t="s">
        <v>1670</v>
      </c>
      <c r="CA594" s="13" t="s">
        <v>1662</v>
      </c>
      <c r="DA594" s="13" t="s">
        <v>10348</v>
      </c>
      <c r="DB594" s="13" t="s">
        <v>10348</v>
      </c>
    </row>
    <row r="595" spans="1:106" s="13" customFormat="1" ht="12.75" customHeight="1" x14ac:dyDescent="0.2">
      <c r="A595" s="13" t="s">
        <v>102</v>
      </c>
      <c r="B595" s="13" t="s">
        <v>103</v>
      </c>
      <c r="D595" s="13" t="s">
        <v>104</v>
      </c>
      <c r="E595" s="13" t="s">
        <v>105</v>
      </c>
      <c r="F595" s="13" t="s">
        <v>104</v>
      </c>
      <c r="G595" s="13" t="s">
        <v>105</v>
      </c>
      <c r="H595" s="13" t="s">
        <v>7712</v>
      </c>
      <c r="J595" s="13" t="s">
        <v>106</v>
      </c>
      <c r="W595" s="13">
        <v>159</v>
      </c>
      <c r="X595" s="13">
        <v>159</v>
      </c>
      <c r="Y595" s="13" t="s">
        <v>107</v>
      </c>
      <c r="Z595" s="13" t="s">
        <v>108</v>
      </c>
      <c r="AA595" s="36" t="s">
        <v>107</v>
      </c>
      <c r="AB595" s="13" t="s">
        <v>2036</v>
      </c>
      <c r="AC595" s="13" t="s">
        <v>2036</v>
      </c>
      <c r="AD595" s="13" t="s">
        <v>2036</v>
      </c>
      <c r="AE595" s="22" t="s">
        <v>112</v>
      </c>
      <c r="AF595" s="13" t="s">
        <v>2036</v>
      </c>
      <c r="AG595" s="13" t="s">
        <v>2036</v>
      </c>
      <c r="AH595" s="13" t="s">
        <v>2037</v>
      </c>
      <c r="AL595" s="13" t="s">
        <v>2038</v>
      </c>
      <c r="AN595" s="13">
        <v>329</v>
      </c>
      <c r="AO595" s="13" t="s">
        <v>2039</v>
      </c>
      <c r="AQ595" s="13" t="s">
        <v>2036</v>
      </c>
      <c r="AR595" s="13" t="s">
        <v>2036</v>
      </c>
      <c r="AS595" s="13" t="s">
        <v>116</v>
      </c>
      <c r="AT595" s="13" t="s">
        <v>2040</v>
      </c>
      <c r="AU595" s="13" t="s">
        <v>2041</v>
      </c>
      <c r="AV595" s="14" t="s">
        <v>2017</v>
      </c>
      <c r="AW595" s="26"/>
      <c r="AX595" s="26"/>
      <c r="AY595" s="21" t="s">
        <v>2042</v>
      </c>
      <c r="AZ595" s="17" t="s">
        <v>2043</v>
      </c>
      <c r="BA595" s="17" t="s">
        <v>2043</v>
      </c>
      <c r="BB595" s="17" t="s">
        <v>2044</v>
      </c>
      <c r="BC595" s="17" t="s">
        <v>2045</v>
      </c>
      <c r="BD595" s="27">
        <f>LEN(SUBSTITUTE(BC595,", ",","))</f>
        <v>52</v>
      </c>
      <c r="BE595" s="17" t="s">
        <v>1697</v>
      </c>
      <c r="BF595" s="18" t="s">
        <v>2021</v>
      </c>
      <c r="BG595" s="17" t="s">
        <v>2022</v>
      </c>
      <c r="BH595" s="17"/>
      <c r="BI595" s="17"/>
      <c r="BJ595" s="17" t="s">
        <v>2046</v>
      </c>
      <c r="BK595" s="17"/>
      <c r="BL595" s="17"/>
      <c r="BM595" s="17"/>
      <c r="BN595" s="17"/>
      <c r="BO595" s="17" t="s">
        <v>2047</v>
      </c>
      <c r="BP595" s="17"/>
      <c r="BQ595" s="17"/>
      <c r="BR595" s="17"/>
      <c r="BS595" s="17" t="s">
        <v>127</v>
      </c>
      <c r="BT595" s="17" t="s">
        <v>2048</v>
      </c>
      <c r="BU595" s="17" t="s">
        <v>129</v>
      </c>
      <c r="BV595" s="17"/>
      <c r="BW595" s="17"/>
      <c r="BX595" s="13" t="s">
        <v>2049</v>
      </c>
      <c r="BY595" s="13" t="s">
        <v>1897</v>
      </c>
      <c r="DA595" s="13" t="s">
        <v>10348</v>
      </c>
      <c r="DB595" s="13" t="s">
        <v>10348</v>
      </c>
    </row>
    <row r="596" spans="1:106" s="13" customFormat="1" ht="12.75" customHeight="1" x14ac:dyDescent="0.2">
      <c r="A596" s="13" t="s">
        <v>102</v>
      </c>
      <c r="B596" s="13" t="s">
        <v>103</v>
      </c>
      <c r="D596" s="13" t="s">
        <v>820</v>
      </c>
      <c r="E596" s="13" t="s">
        <v>228</v>
      </c>
      <c r="F596" s="13" t="s">
        <v>820</v>
      </c>
      <c r="G596" s="13" t="s">
        <v>229</v>
      </c>
      <c r="H596" s="13" t="s">
        <v>7712</v>
      </c>
      <c r="J596" s="13" t="s">
        <v>106</v>
      </c>
      <c r="W596" s="13">
        <v>197</v>
      </c>
      <c r="X596" s="13">
        <v>197</v>
      </c>
      <c r="Y596" s="13" t="s">
        <v>107</v>
      </c>
      <c r="Z596" s="13" t="s">
        <v>108</v>
      </c>
      <c r="AA596" s="36" t="s">
        <v>107</v>
      </c>
      <c r="AB596" s="13" t="s">
        <v>2441</v>
      </c>
      <c r="AC596" s="13" t="s">
        <v>2441</v>
      </c>
      <c r="AD596" s="13" t="s">
        <v>2441</v>
      </c>
      <c r="AE596" s="35" t="s">
        <v>112</v>
      </c>
      <c r="AF596" s="13" t="s">
        <v>2441</v>
      </c>
      <c r="AG596" s="13" t="s">
        <v>2441</v>
      </c>
      <c r="AH596" s="13" t="s">
        <v>2442</v>
      </c>
      <c r="AL596" s="13" t="s">
        <v>2443</v>
      </c>
      <c r="AN596" s="13">
        <v>329</v>
      </c>
      <c r="AO596" s="13" t="s">
        <v>2444</v>
      </c>
      <c r="AQ596" s="13" t="s">
        <v>2441</v>
      </c>
      <c r="AR596" s="13" t="s">
        <v>2441</v>
      </c>
      <c r="AS596" s="13" t="s">
        <v>116</v>
      </c>
      <c r="AT596" s="13" t="s">
        <v>2445</v>
      </c>
      <c r="AU596" s="13" t="s">
        <v>2446</v>
      </c>
      <c r="AV596" s="13" t="s">
        <v>1127</v>
      </c>
      <c r="AW596" s="26" t="s">
        <v>2447</v>
      </c>
      <c r="AX596" s="26" t="s">
        <v>2448</v>
      </c>
      <c r="AY596" s="13" t="s">
        <v>2449</v>
      </c>
      <c r="AZ596" s="13" t="s">
        <v>2450</v>
      </c>
      <c r="BA596" s="13" t="s">
        <v>2450</v>
      </c>
      <c r="BB596" s="13" t="s">
        <v>2451</v>
      </c>
      <c r="BC596" s="13" t="s">
        <v>2452</v>
      </c>
      <c r="BD596" s="13">
        <f>LEN(SUBSTITUTE(BC596, ", "," "))</f>
        <v>57</v>
      </c>
      <c r="BE596" s="17" t="s">
        <v>2453</v>
      </c>
      <c r="BF596" s="17" t="s">
        <v>1133</v>
      </c>
      <c r="BG596" s="17" t="s">
        <v>2454</v>
      </c>
      <c r="BH596" s="17" t="s">
        <v>2290</v>
      </c>
      <c r="BJ596" s="17" t="s">
        <v>2455</v>
      </c>
      <c r="BO596" s="17" t="s">
        <v>2456</v>
      </c>
      <c r="BS596" s="17" t="s">
        <v>127</v>
      </c>
      <c r="BT596" s="17" t="s">
        <v>2457</v>
      </c>
      <c r="BU596" s="17" t="s">
        <v>129</v>
      </c>
      <c r="BX596" s="13" t="s">
        <v>2458</v>
      </c>
      <c r="DA596" s="13" t="s">
        <v>10348</v>
      </c>
      <c r="DB596" s="13" t="s">
        <v>10348</v>
      </c>
    </row>
    <row r="597" spans="1:106" s="13" customFormat="1" ht="12.75" customHeight="1" x14ac:dyDescent="0.2">
      <c r="A597" s="13" t="s">
        <v>102</v>
      </c>
      <c r="B597" s="13" t="s">
        <v>103</v>
      </c>
      <c r="D597" s="13" t="s">
        <v>104</v>
      </c>
      <c r="E597" s="13" t="s">
        <v>105</v>
      </c>
      <c r="F597" s="13" t="s">
        <v>104</v>
      </c>
      <c r="G597" s="13" t="s">
        <v>105</v>
      </c>
      <c r="H597" s="13" t="s">
        <v>7712</v>
      </c>
      <c r="J597" s="13" t="s">
        <v>106</v>
      </c>
      <c r="W597" s="13">
        <v>200</v>
      </c>
      <c r="X597" s="13">
        <v>200</v>
      </c>
      <c r="Y597" s="13" t="s">
        <v>107</v>
      </c>
      <c r="Z597" s="13" t="s">
        <v>108</v>
      </c>
      <c r="AA597" s="36" t="s">
        <v>107</v>
      </c>
      <c r="AB597" s="13" t="s">
        <v>2480</v>
      </c>
      <c r="AC597" s="13" t="s">
        <v>2480</v>
      </c>
      <c r="AD597" s="13" t="s">
        <v>2480</v>
      </c>
      <c r="AE597" s="22" t="s">
        <v>112</v>
      </c>
      <c r="AF597" s="13" t="s">
        <v>2480</v>
      </c>
      <c r="AG597" s="13" t="s">
        <v>2480</v>
      </c>
      <c r="AH597" s="13" t="s">
        <v>2481</v>
      </c>
      <c r="AL597" s="13" t="s">
        <v>2482</v>
      </c>
      <c r="AN597" s="13">
        <v>329</v>
      </c>
      <c r="AO597" s="13" t="s">
        <v>2483</v>
      </c>
      <c r="AQ597" s="13" t="s">
        <v>2480</v>
      </c>
      <c r="AR597" s="13" t="s">
        <v>2480</v>
      </c>
      <c r="AS597" s="13" t="s">
        <v>116</v>
      </c>
      <c r="AT597" s="13" t="s">
        <v>2445</v>
      </c>
      <c r="AU597" s="13" t="s">
        <v>2446</v>
      </c>
      <c r="AV597" s="14" t="s">
        <v>2484</v>
      </c>
      <c r="AW597" s="26"/>
      <c r="AX597" s="26"/>
      <c r="AY597" s="21" t="s">
        <v>2485</v>
      </c>
      <c r="AZ597" s="17" t="s">
        <v>2486</v>
      </c>
      <c r="BA597" s="17" t="s">
        <v>2486</v>
      </c>
      <c r="BB597" s="17" t="s">
        <v>2487</v>
      </c>
      <c r="BC597" s="17" t="s">
        <v>2488</v>
      </c>
      <c r="BD597" s="27">
        <f t="shared" ref="BD597:BD609" si="21">LEN(SUBSTITUTE(BC597,", ",","))</f>
        <v>52</v>
      </c>
      <c r="BE597" s="17" t="s">
        <v>2489</v>
      </c>
      <c r="BF597" s="17"/>
      <c r="BG597" s="17"/>
      <c r="BH597" s="17"/>
      <c r="BI597" s="17"/>
      <c r="BJ597" s="17" t="s">
        <v>2455</v>
      </c>
      <c r="BK597" s="17"/>
      <c r="BL597" s="17"/>
      <c r="BM597" s="17"/>
      <c r="BN597" s="17"/>
      <c r="BO597" s="17" t="s">
        <v>2490</v>
      </c>
      <c r="BP597" s="17"/>
      <c r="BQ597" s="17"/>
      <c r="BR597" s="17"/>
      <c r="BS597" s="17" t="s">
        <v>127</v>
      </c>
      <c r="BT597" s="17" t="s">
        <v>2457</v>
      </c>
      <c r="BU597" s="17" t="s">
        <v>129</v>
      </c>
      <c r="BV597" s="17"/>
      <c r="BW597" s="17"/>
      <c r="BX597" s="13" t="s">
        <v>2491</v>
      </c>
      <c r="BY597" s="13" t="s">
        <v>2492</v>
      </c>
      <c r="DA597" s="13" t="s">
        <v>10348</v>
      </c>
      <c r="DB597" s="13" t="s">
        <v>10348</v>
      </c>
    </row>
    <row r="598" spans="1:106" s="13" customFormat="1" ht="12.75" customHeight="1" x14ac:dyDescent="0.2">
      <c r="A598" s="13" t="s">
        <v>102</v>
      </c>
      <c r="B598" s="13" t="s">
        <v>103</v>
      </c>
      <c r="D598" s="13" t="s">
        <v>104</v>
      </c>
      <c r="E598" s="13" t="s">
        <v>105</v>
      </c>
      <c r="F598" s="13" t="s">
        <v>104</v>
      </c>
      <c r="G598" s="13" t="s">
        <v>105</v>
      </c>
      <c r="H598" s="13" t="s">
        <v>7712</v>
      </c>
      <c r="J598" s="13" t="s">
        <v>106</v>
      </c>
      <c r="W598" s="13">
        <v>201</v>
      </c>
      <c r="X598" s="13">
        <v>201</v>
      </c>
      <c r="Y598" s="13" t="s">
        <v>107</v>
      </c>
      <c r="Z598" s="13" t="s">
        <v>108</v>
      </c>
      <c r="AA598" s="36" t="s">
        <v>107</v>
      </c>
      <c r="AB598" s="13" t="s">
        <v>2493</v>
      </c>
      <c r="AC598" s="13" t="s">
        <v>2493</v>
      </c>
      <c r="AD598" s="13" t="s">
        <v>2493</v>
      </c>
      <c r="AE598" s="22" t="s">
        <v>112</v>
      </c>
      <c r="AF598" s="13" t="s">
        <v>2493</v>
      </c>
      <c r="AG598" s="13" t="s">
        <v>2493</v>
      </c>
      <c r="AH598" s="13" t="s">
        <v>2494</v>
      </c>
      <c r="AL598" s="13" t="s">
        <v>2443</v>
      </c>
      <c r="AN598" s="13">
        <v>329</v>
      </c>
      <c r="AO598" s="13" t="s">
        <v>2495</v>
      </c>
      <c r="AQ598" s="13" t="s">
        <v>2493</v>
      </c>
      <c r="AR598" s="13" t="s">
        <v>2493</v>
      </c>
      <c r="AS598" s="13" t="s">
        <v>116</v>
      </c>
      <c r="AT598" s="13" t="s">
        <v>2445</v>
      </c>
      <c r="AU598" s="13" t="s">
        <v>2446</v>
      </c>
      <c r="AV598" s="14" t="s">
        <v>2484</v>
      </c>
      <c r="AW598" s="26"/>
      <c r="AX598" s="26"/>
      <c r="AY598" s="21" t="s">
        <v>2485</v>
      </c>
      <c r="AZ598" s="17" t="s">
        <v>2496</v>
      </c>
      <c r="BA598" s="17" t="s">
        <v>2496</v>
      </c>
      <c r="BB598" s="17" t="s">
        <v>2497</v>
      </c>
      <c r="BC598" s="17" t="s">
        <v>2498</v>
      </c>
      <c r="BD598" s="27">
        <f t="shared" si="21"/>
        <v>57</v>
      </c>
      <c r="BE598" s="17" t="s">
        <v>2489</v>
      </c>
      <c r="BF598" s="17"/>
      <c r="BG598" s="17"/>
      <c r="BH598" s="17"/>
      <c r="BI598" s="17"/>
      <c r="BJ598" s="17" t="s">
        <v>2455</v>
      </c>
      <c r="BK598" s="17"/>
      <c r="BL598" s="17"/>
      <c r="BM598" s="17"/>
      <c r="BN598" s="17"/>
      <c r="BO598" s="17" t="s">
        <v>2499</v>
      </c>
      <c r="BP598" s="17"/>
      <c r="BQ598" s="17"/>
      <c r="BR598" s="17"/>
      <c r="BS598" s="17" t="s">
        <v>127</v>
      </c>
      <c r="BT598" s="17" t="s">
        <v>2457</v>
      </c>
      <c r="BU598" s="17" t="s">
        <v>129</v>
      </c>
      <c r="BV598" s="17"/>
      <c r="BW598" s="17"/>
      <c r="BX598" s="13" t="s">
        <v>2491</v>
      </c>
      <c r="BY598" s="13" t="s">
        <v>1897</v>
      </c>
      <c r="DA598" s="13" t="s">
        <v>10348</v>
      </c>
      <c r="DB598" s="13" t="s">
        <v>10348</v>
      </c>
    </row>
    <row r="599" spans="1:106" s="13" customFormat="1" ht="12.75" customHeight="1" x14ac:dyDescent="0.2">
      <c r="A599" s="13" t="s">
        <v>102</v>
      </c>
      <c r="B599" s="13" t="s">
        <v>103</v>
      </c>
      <c r="D599" s="13" t="s">
        <v>104</v>
      </c>
      <c r="E599" s="13" t="s">
        <v>105</v>
      </c>
      <c r="F599" s="13" t="s">
        <v>104</v>
      </c>
      <c r="G599" s="13" t="s">
        <v>105</v>
      </c>
      <c r="H599" s="13" t="s">
        <v>7712</v>
      </c>
      <c r="J599" s="13" t="s">
        <v>106</v>
      </c>
      <c r="W599" s="13">
        <v>202</v>
      </c>
      <c r="X599" s="13">
        <v>202</v>
      </c>
      <c r="Y599" s="13" t="s">
        <v>107</v>
      </c>
      <c r="Z599" s="13" t="s">
        <v>108</v>
      </c>
      <c r="AA599" s="36" t="s">
        <v>107</v>
      </c>
      <c r="AB599" s="13" t="s">
        <v>2500</v>
      </c>
      <c r="AC599" s="13" t="s">
        <v>2500</v>
      </c>
      <c r="AD599" s="13" t="s">
        <v>2500</v>
      </c>
      <c r="AE599" s="22" t="s">
        <v>112</v>
      </c>
      <c r="AF599" s="13" t="s">
        <v>2500</v>
      </c>
      <c r="AG599" s="13" t="s">
        <v>2500</v>
      </c>
      <c r="AH599" s="13" t="s">
        <v>2501</v>
      </c>
      <c r="AL599" s="13" t="s">
        <v>2502</v>
      </c>
      <c r="AN599" s="13">
        <v>329</v>
      </c>
      <c r="AO599" s="13" t="s">
        <v>2503</v>
      </c>
      <c r="AQ599" s="13" t="s">
        <v>2500</v>
      </c>
      <c r="AR599" s="13" t="s">
        <v>2500</v>
      </c>
      <c r="AS599" s="13" t="s">
        <v>116</v>
      </c>
      <c r="AT599" s="13" t="s">
        <v>2445</v>
      </c>
      <c r="AU599" s="13" t="s">
        <v>2446</v>
      </c>
      <c r="AV599" s="14" t="s">
        <v>2484</v>
      </c>
      <c r="AW599" s="26"/>
      <c r="AX599" s="26"/>
      <c r="AY599" s="21" t="s">
        <v>2485</v>
      </c>
      <c r="AZ599" s="17" t="s">
        <v>2504</v>
      </c>
      <c r="BA599" s="17" t="s">
        <v>2504</v>
      </c>
      <c r="BB599" s="17" t="s">
        <v>2505</v>
      </c>
      <c r="BC599" s="17" t="s">
        <v>2506</v>
      </c>
      <c r="BD599" s="27">
        <f t="shared" si="21"/>
        <v>56</v>
      </c>
      <c r="BE599" s="17" t="s">
        <v>2489</v>
      </c>
      <c r="BF599" s="17"/>
      <c r="BG599" s="17"/>
      <c r="BH599" s="17"/>
      <c r="BI599" s="17"/>
      <c r="BJ599" s="17" t="s">
        <v>2455</v>
      </c>
      <c r="BK599" s="17"/>
      <c r="BL599" s="17"/>
      <c r="BM599" s="17"/>
      <c r="BN599" s="17"/>
      <c r="BO599" s="17" t="s">
        <v>2507</v>
      </c>
      <c r="BP599" s="17"/>
      <c r="BQ599" s="17"/>
      <c r="BR599" s="17"/>
      <c r="BS599" s="17" t="s">
        <v>127</v>
      </c>
      <c r="BT599" s="17" t="s">
        <v>2457</v>
      </c>
      <c r="BU599" s="17" t="s">
        <v>129</v>
      </c>
      <c r="BV599" s="17"/>
      <c r="BW599" s="17"/>
      <c r="BX599" s="13" t="s">
        <v>2491</v>
      </c>
      <c r="BY599" s="13" t="s">
        <v>1897</v>
      </c>
      <c r="DA599" s="13" t="s">
        <v>10348</v>
      </c>
      <c r="DB599" s="13" t="s">
        <v>10348</v>
      </c>
    </row>
    <row r="600" spans="1:106" s="13" customFormat="1" ht="12.75" customHeight="1" x14ac:dyDescent="0.2">
      <c r="A600" s="13" t="s">
        <v>102</v>
      </c>
      <c r="B600" s="13" t="s">
        <v>103</v>
      </c>
      <c r="D600" s="13" t="s">
        <v>104</v>
      </c>
      <c r="E600" s="13" t="s">
        <v>105</v>
      </c>
      <c r="F600" s="13" t="s">
        <v>104</v>
      </c>
      <c r="G600" s="13" t="s">
        <v>105</v>
      </c>
      <c r="H600" s="13" t="s">
        <v>7712</v>
      </c>
      <c r="J600" s="13" t="s">
        <v>106</v>
      </c>
      <c r="W600" s="13">
        <v>203</v>
      </c>
      <c r="X600" s="13">
        <v>203</v>
      </c>
      <c r="Y600" s="13" t="s">
        <v>107</v>
      </c>
      <c r="Z600" s="13" t="s">
        <v>108</v>
      </c>
      <c r="AA600" s="36" t="s">
        <v>107</v>
      </c>
      <c r="AB600" s="13" t="s">
        <v>2508</v>
      </c>
      <c r="AC600" s="13" t="s">
        <v>2508</v>
      </c>
      <c r="AD600" s="13" t="s">
        <v>2508</v>
      </c>
      <c r="AE600" s="22" t="s">
        <v>112</v>
      </c>
      <c r="AF600" s="13" t="s">
        <v>2508</v>
      </c>
      <c r="AG600" s="13" t="s">
        <v>2508</v>
      </c>
      <c r="AH600" s="13" t="s">
        <v>2509</v>
      </c>
      <c r="AL600" s="13" t="s">
        <v>2510</v>
      </c>
      <c r="AN600" s="13">
        <v>329</v>
      </c>
      <c r="AO600" s="13" t="s">
        <v>2511</v>
      </c>
      <c r="AQ600" s="13" t="s">
        <v>2508</v>
      </c>
      <c r="AR600" s="13" t="s">
        <v>2508</v>
      </c>
      <c r="AS600" s="13" t="s">
        <v>116</v>
      </c>
      <c r="AT600" s="13" t="s">
        <v>2512</v>
      </c>
      <c r="AU600" s="13" t="s">
        <v>2446</v>
      </c>
      <c r="AV600" s="14" t="s">
        <v>2484</v>
      </c>
      <c r="AW600" s="26"/>
      <c r="AX600" s="26"/>
      <c r="AY600" s="21" t="s">
        <v>2513</v>
      </c>
      <c r="AZ600" s="17" t="s">
        <v>2514</v>
      </c>
      <c r="BA600" s="17" t="s">
        <v>2514</v>
      </c>
      <c r="BB600" s="17" t="s">
        <v>2515</v>
      </c>
      <c r="BC600" s="17" t="s">
        <v>2516</v>
      </c>
      <c r="BD600" s="27">
        <f t="shared" si="21"/>
        <v>52</v>
      </c>
      <c r="BE600" s="17" t="s">
        <v>2489</v>
      </c>
      <c r="BF600" s="17"/>
      <c r="BG600" s="17"/>
      <c r="BH600" s="17"/>
      <c r="BI600" s="17"/>
      <c r="BJ600" s="17" t="s">
        <v>2517</v>
      </c>
      <c r="BK600" s="17"/>
      <c r="BL600" s="17"/>
      <c r="BM600" s="17"/>
      <c r="BN600" s="17"/>
      <c r="BO600" s="17" t="s">
        <v>2490</v>
      </c>
      <c r="BP600" s="17"/>
      <c r="BQ600" s="17"/>
      <c r="BR600" s="17"/>
      <c r="BS600" s="17" t="s">
        <v>127</v>
      </c>
      <c r="BT600" s="17" t="s">
        <v>2457</v>
      </c>
      <c r="BU600" s="17" t="s">
        <v>129</v>
      </c>
      <c r="BV600" s="17"/>
      <c r="BW600" s="17"/>
      <c r="BX600" s="13" t="s">
        <v>2491</v>
      </c>
      <c r="BY600" s="13" t="s">
        <v>1897</v>
      </c>
      <c r="DA600" s="13" t="s">
        <v>10348</v>
      </c>
      <c r="DB600" s="13" t="s">
        <v>10348</v>
      </c>
    </row>
    <row r="601" spans="1:106" s="13" customFormat="1" ht="12.75" customHeight="1" x14ac:dyDescent="0.2">
      <c r="A601" s="13" t="s">
        <v>102</v>
      </c>
      <c r="B601" s="13" t="s">
        <v>103</v>
      </c>
      <c r="D601" s="13" t="s">
        <v>104</v>
      </c>
      <c r="E601" s="13" t="s">
        <v>105</v>
      </c>
      <c r="F601" s="13" t="s">
        <v>104</v>
      </c>
      <c r="G601" s="13" t="s">
        <v>105</v>
      </c>
      <c r="H601" s="13" t="s">
        <v>7712</v>
      </c>
      <c r="J601" s="13" t="s">
        <v>106</v>
      </c>
      <c r="W601" s="13">
        <v>204</v>
      </c>
      <c r="X601" s="13">
        <v>204</v>
      </c>
      <c r="Y601" s="13" t="s">
        <v>107</v>
      </c>
      <c r="Z601" s="13" t="s">
        <v>108</v>
      </c>
      <c r="AA601" s="36" t="s">
        <v>107</v>
      </c>
      <c r="AB601" s="13" t="s">
        <v>2518</v>
      </c>
      <c r="AC601" s="13" t="s">
        <v>2518</v>
      </c>
      <c r="AD601" s="13" t="s">
        <v>2518</v>
      </c>
      <c r="AE601" s="22" t="s">
        <v>112</v>
      </c>
      <c r="AF601" s="13" t="s">
        <v>2518</v>
      </c>
      <c r="AG601" s="13" t="s">
        <v>2518</v>
      </c>
      <c r="AH601" s="13" t="s">
        <v>2519</v>
      </c>
      <c r="AL601" s="13" t="s">
        <v>2520</v>
      </c>
      <c r="AN601" s="13">
        <v>329</v>
      </c>
      <c r="AO601" s="13" t="s">
        <v>2521</v>
      </c>
      <c r="AQ601" s="13" t="s">
        <v>2518</v>
      </c>
      <c r="AR601" s="13" t="s">
        <v>2518</v>
      </c>
      <c r="AS601" s="13" t="s">
        <v>116</v>
      </c>
      <c r="AT601" s="13" t="s">
        <v>2512</v>
      </c>
      <c r="AU601" s="13" t="s">
        <v>2446</v>
      </c>
      <c r="AV601" s="14" t="s">
        <v>2484</v>
      </c>
      <c r="AW601" s="26"/>
      <c r="AX601" s="26"/>
      <c r="AY601" s="21" t="s">
        <v>2513</v>
      </c>
      <c r="AZ601" s="17" t="s">
        <v>2522</v>
      </c>
      <c r="BA601" s="17" t="s">
        <v>2522</v>
      </c>
      <c r="BB601" s="17" t="s">
        <v>2523</v>
      </c>
      <c r="BC601" s="17" t="s">
        <v>2524</v>
      </c>
      <c r="BD601" s="27">
        <f t="shared" si="21"/>
        <v>57</v>
      </c>
      <c r="BE601" s="17" t="s">
        <v>2489</v>
      </c>
      <c r="BF601" s="17"/>
      <c r="BG601" s="17"/>
      <c r="BH601" s="17"/>
      <c r="BI601" s="17"/>
      <c r="BJ601" s="17" t="s">
        <v>2517</v>
      </c>
      <c r="BK601" s="17"/>
      <c r="BL601" s="17"/>
      <c r="BM601" s="17"/>
      <c r="BN601" s="17"/>
      <c r="BO601" s="17" t="s">
        <v>2499</v>
      </c>
      <c r="BP601" s="17"/>
      <c r="BQ601" s="17"/>
      <c r="BR601" s="17"/>
      <c r="BS601" s="17" t="s">
        <v>127</v>
      </c>
      <c r="BT601" s="17" t="s">
        <v>2457</v>
      </c>
      <c r="BU601" s="17" t="s">
        <v>129</v>
      </c>
      <c r="BV601" s="17"/>
      <c r="BW601" s="17"/>
      <c r="BX601" s="13" t="s">
        <v>2491</v>
      </c>
      <c r="BY601" s="13" t="s">
        <v>1897</v>
      </c>
      <c r="DA601" s="13" t="s">
        <v>10348</v>
      </c>
      <c r="DB601" s="13" t="s">
        <v>10348</v>
      </c>
    </row>
    <row r="602" spans="1:106" s="13" customFormat="1" ht="12.75" customHeight="1" x14ac:dyDescent="0.2">
      <c r="A602" s="13" t="s">
        <v>102</v>
      </c>
      <c r="B602" s="13" t="s">
        <v>103</v>
      </c>
      <c r="D602" s="13" t="s">
        <v>104</v>
      </c>
      <c r="E602" s="13" t="s">
        <v>105</v>
      </c>
      <c r="F602" s="13" t="s">
        <v>104</v>
      </c>
      <c r="G602" s="13" t="s">
        <v>105</v>
      </c>
      <c r="H602" s="13" t="s">
        <v>7712</v>
      </c>
      <c r="J602" s="13" t="s">
        <v>106</v>
      </c>
      <c r="W602" s="13">
        <v>205</v>
      </c>
      <c r="X602" s="13">
        <v>205</v>
      </c>
      <c r="Y602" s="13" t="s">
        <v>107</v>
      </c>
      <c r="Z602" s="13" t="s">
        <v>108</v>
      </c>
      <c r="AA602" s="36" t="s">
        <v>107</v>
      </c>
      <c r="AB602" s="13" t="s">
        <v>2525</v>
      </c>
      <c r="AC602" s="13" t="s">
        <v>2525</v>
      </c>
      <c r="AD602" s="13" t="s">
        <v>2525</v>
      </c>
      <c r="AE602" s="22" t="s">
        <v>112</v>
      </c>
      <c r="AF602" s="13" t="s">
        <v>2525</v>
      </c>
      <c r="AG602" s="13" t="s">
        <v>2525</v>
      </c>
      <c r="AH602" s="13" t="s">
        <v>2526</v>
      </c>
      <c r="AL602" s="13" t="s">
        <v>2527</v>
      </c>
      <c r="AN602" s="13">
        <v>329</v>
      </c>
      <c r="AO602" s="13" t="s">
        <v>2528</v>
      </c>
      <c r="AQ602" s="13" t="s">
        <v>2525</v>
      </c>
      <c r="AR602" s="13" t="s">
        <v>2525</v>
      </c>
      <c r="AS602" s="13" t="s">
        <v>116</v>
      </c>
      <c r="AT602" s="13" t="s">
        <v>2512</v>
      </c>
      <c r="AU602" s="13" t="s">
        <v>2446</v>
      </c>
      <c r="AV602" s="14" t="s">
        <v>2484</v>
      </c>
      <c r="AW602" s="26"/>
      <c r="AX602" s="26"/>
      <c r="AY602" s="21" t="s">
        <v>2513</v>
      </c>
      <c r="AZ602" s="17" t="s">
        <v>2529</v>
      </c>
      <c r="BA602" s="17" t="s">
        <v>2529</v>
      </c>
      <c r="BB602" s="17" t="s">
        <v>2530</v>
      </c>
      <c r="BC602" s="17" t="s">
        <v>2531</v>
      </c>
      <c r="BD602" s="27">
        <f t="shared" si="21"/>
        <v>56</v>
      </c>
      <c r="BE602" s="17" t="s">
        <v>2489</v>
      </c>
      <c r="BF602" s="17"/>
      <c r="BG602" s="17"/>
      <c r="BH602" s="17"/>
      <c r="BI602" s="17"/>
      <c r="BJ602" s="17" t="s">
        <v>2517</v>
      </c>
      <c r="BK602" s="17"/>
      <c r="BL602" s="17"/>
      <c r="BM602" s="17"/>
      <c r="BN602" s="17"/>
      <c r="BO602" s="17" t="s">
        <v>2507</v>
      </c>
      <c r="BP602" s="17"/>
      <c r="BQ602" s="17"/>
      <c r="BR602" s="17"/>
      <c r="BS602" s="17" t="s">
        <v>127</v>
      </c>
      <c r="BT602" s="17" t="s">
        <v>2457</v>
      </c>
      <c r="BU602" s="17" t="s">
        <v>129</v>
      </c>
      <c r="BV602" s="17"/>
      <c r="BW602" s="17"/>
      <c r="BX602" s="13" t="s">
        <v>2491</v>
      </c>
      <c r="BY602" s="13" t="s">
        <v>1897</v>
      </c>
      <c r="DA602" s="13" t="s">
        <v>10348</v>
      </c>
      <c r="DB602" s="13" t="s">
        <v>10348</v>
      </c>
    </row>
    <row r="603" spans="1:106" s="13" customFormat="1" ht="12.75" customHeight="1" x14ac:dyDescent="0.2">
      <c r="A603" s="13" t="s">
        <v>102</v>
      </c>
      <c r="B603" s="13" t="s">
        <v>103</v>
      </c>
      <c r="D603" s="13" t="s">
        <v>104</v>
      </c>
      <c r="E603" s="13" t="s">
        <v>105</v>
      </c>
      <c r="F603" s="13" t="s">
        <v>104</v>
      </c>
      <c r="G603" s="13" t="s">
        <v>105</v>
      </c>
      <c r="H603" s="13" t="s">
        <v>7712</v>
      </c>
      <c r="J603" s="13" t="s">
        <v>106</v>
      </c>
      <c r="W603" s="13">
        <v>206</v>
      </c>
      <c r="X603" s="13">
        <v>206</v>
      </c>
      <c r="Y603" s="13" t="s">
        <v>107</v>
      </c>
      <c r="Z603" s="13" t="s">
        <v>108</v>
      </c>
      <c r="AA603" s="36" t="s">
        <v>107</v>
      </c>
      <c r="AB603" s="13" t="s">
        <v>2532</v>
      </c>
      <c r="AC603" s="13" t="s">
        <v>2532</v>
      </c>
      <c r="AD603" s="13" t="s">
        <v>2532</v>
      </c>
      <c r="AE603" s="22" t="s">
        <v>112</v>
      </c>
      <c r="AF603" s="13" t="s">
        <v>2532</v>
      </c>
      <c r="AG603" s="13" t="s">
        <v>2532</v>
      </c>
      <c r="AH603" s="13" t="s">
        <v>2533</v>
      </c>
      <c r="AL603" s="13" t="s">
        <v>2534</v>
      </c>
      <c r="AN603" s="13">
        <v>329</v>
      </c>
      <c r="AO603" s="13" t="s">
        <v>2535</v>
      </c>
      <c r="AQ603" s="13" t="s">
        <v>2532</v>
      </c>
      <c r="AR603" s="13" t="s">
        <v>2532</v>
      </c>
      <c r="AS603" s="13" t="s">
        <v>116</v>
      </c>
      <c r="AT603" s="13" t="s">
        <v>2445</v>
      </c>
      <c r="AU603" s="13" t="s">
        <v>2446</v>
      </c>
      <c r="AV603" s="14" t="s">
        <v>2484</v>
      </c>
      <c r="AW603" s="26"/>
      <c r="AX603" s="26"/>
      <c r="AY603" s="21" t="s">
        <v>2485</v>
      </c>
      <c r="AZ603" s="17" t="s">
        <v>2536</v>
      </c>
      <c r="BA603" s="17" t="s">
        <v>2536</v>
      </c>
      <c r="BB603" s="17" t="s">
        <v>2537</v>
      </c>
      <c r="BC603" s="17" t="s">
        <v>2538</v>
      </c>
      <c r="BD603" s="27">
        <f t="shared" si="21"/>
        <v>59</v>
      </c>
      <c r="BE603" s="17" t="s">
        <v>2489</v>
      </c>
      <c r="BF603" s="17"/>
      <c r="BG603" s="17"/>
      <c r="BH603" s="17"/>
      <c r="BI603" s="17"/>
      <c r="BJ603" s="17" t="s">
        <v>2455</v>
      </c>
      <c r="BK603" s="17"/>
      <c r="BL603" s="17"/>
      <c r="BM603" s="17"/>
      <c r="BN603" s="17"/>
      <c r="BO603" s="17" t="s">
        <v>2539</v>
      </c>
      <c r="BP603" s="17"/>
      <c r="BQ603" s="17"/>
      <c r="BR603" s="17"/>
      <c r="BS603" s="17" t="s">
        <v>127</v>
      </c>
      <c r="BT603" s="17" t="s">
        <v>2457</v>
      </c>
      <c r="BU603" s="17" t="s">
        <v>129</v>
      </c>
      <c r="BV603" s="17"/>
      <c r="BW603" s="17"/>
      <c r="BX603" s="13" t="s">
        <v>2491</v>
      </c>
      <c r="BY603" s="13" t="s">
        <v>1897</v>
      </c>
      <c r="DA603" s="13" t="s">
        <v>10348</v>
      </c>
      <c r="DB603" s="13" t="s">
        <v>10348</v>
      </c>
    </row>
    <row r="604" spans="1:106" s="13" customFormat="1" ht="12.75" customHeight="1" x14ac:dyDescent="0.2">
      <c r="A604" s="13" t="s">
        <v>102</v>
      </c>
      <c r="B604" s="13" t="s">
        <v>103</v>
      </c>
      <c r="D604" s="13" t="s">
        <v>104</v>
      </c>
      <c r="E604" s="13" t="s">
        <v>105</v>
      </c>
      <c r="F604" s="13" t="s">
        <v>104</v>
      </c>
      <c r="G604" s="13" t="s">
        <v>105</v>
      </c>
      <c r="H604" s="13" t="s">
        <v>7712</v>
      </c>
      <c r="J604" s="13" t="s">
        <v>106</v>
      </c>
      <c r="W604" s="13">
        <v>207</v>
      </c>
      <c r="X604" s="13">
        <v>207</v>
      </c>
      <c r="Y604" s="13" t="s">
        <v>107</v>
      </c>
      <c r="Z604" s="13" t="s">
        <v>108</v>
      </c>
      <c r="AA604" s="36" t="s">
        <v>107</v>
      </c>
      <c r="AB604" s="13" t="s">
        <v>2540</v>
      </c>
      <c r="AC604" s="13" t="s">
        <v>2540</v>
      </c>
      <c r="AD604" s="13" t="s">
        <v>2540</v>
      </c>
      <c r="AE604" s="22" t="s">
        <v>112</v>
      </c>
      <c r="AF604" s="13" t="s">
        <v>2540</v>
      </c>
      <c r="AG604" s="13" t="s">
        <v>2540</v>
      </c>
      <c r="AH604" s="13" t="s">
        <v>2541</v>
      </c>
      <c r="AL604" s="13" t="s">
        <v>2542</v>
      </c>
      <c r="AN604" s="13">
        <v>329</v>
      </c>
      <c r="AO604" s="13" t="s">
        <v>2543</v>
      </c>
      <c r="AQ604" s="13" t="s">
        <v>2540</v>
      </c>
      <c r="AR604" s="13" t="s">
        <v>2540</v>
      </c>
      <c r="AS604" s="13" t="s">
        <v>116</v>
      </c>
      <c r="AT604" s="13" t="s">
        <v>2445</v>
      </c>
      <c r="AU604" s="13" t="s">
        <v>2446</v>
      </c>
      <c r="AV604" s="14" t="s">
        <v>2484</v>
      </c>
      <c r="AW604" s="26"/>
      <c r="AX604" s="26"/>
      <c r="AY604" s="21" t="s">
        <v>2485</v>
      </c>
      <c r="AZ604" s="17" t="s">
        <v>2544</v>
      </c>
      <c r="BA604" s="17" t="s">
        <v>2544</v>
      </c>
      <c r="BB604" s="17" t="s">
        <v>2545</v>
      </c>
      <c r="BC604" s="17" t="s">
        <v>2546</v>
      </c>
      <c r="BD604" s="27">
        <f t="shared" si="21"/>
        <v>58</v>
      </c>
      <c r="BE604" s="17" t="s">
        <v>2489</v>
      </c>
      <c r="BF604" s="17"/>
      <c r="BG604" s="17"/>
      <c r="BH604" s="17"/>
      <c r="BI604" s="17"/>
      <c r="BJ604" s="17" t="s">
        <v>2455</v>
      </c>
      <c r="BK604" s="17"/>
      <c r="BL604" s="17"/>
      <c r="BM604" s="17"/>
      <c r="BN604" s="17"/>
      <c r="BO604" s="17" t="s">
        <v>2547</v>
      </c>
      <c r="BP604" s="17"/>
      <c r="BQ604" s="17"/>
      <c r="BR604" s="17"/>
      <c r="BS604" s="17" t="s">
        <v>127</v>
      </c>
      <c r="BT604" s="17" t="s">
        <v>2457</v>
      </c>
      <c r="BU604" s="17" t="s">
        <v>129</v>
      </c>
      <c r="BV604" s="17"/>
      <c r="BW604" s="17"/>
      <c r="BX604" s="13" t="s">
        <v>2491</v>
      </c>
      <c r="BY604" s="13" t="s">
        <v>1897</v>
      </c>
      <c r="DA604" s="13" t="s">
        <v>10348</v>
      </c>
      <c r="DB604" s="13" t="s">
        <v>10348</v>
      </c>
    </row>
    <row r="605" spans="1:106" s="13" customFormat="1" ht="12.75" customHeight="1" x14ac:dyDescent="0.2">
      <c r="A605" s="13" t="s">
        <v>102</v>
      </c>
      <c r="B605" s="13" t="s">
        <v>103</v>
      </c>
      <c r="D605" s="13" t="s">
        <v>104</v>
      </c>
      <c r="E605" s="13" t="s">
        <v>105</v>
      </c>
      <c r="F605" s="13" t="s">
        <v>104</v>
      </c>
      <c r="G605" s="13" t="s">
        <v>105</v>
      </c>
      <c r="H605" s="13" t="s">
        <v>7712</v>
      </c>
      <c r="J605" s="13" t="s">
        <v>106</v>
      </c>
      <c r="W605" s="13">
        <v>208</v>
      </c>
      <c r="X605" s="13">
        <v>208</v>
      </c>
      <c r="Y605" s="13" t="s">
        <v>107</v>
      </c>
      <c r="Z605" s="13" t="s">
        <v>108</v>
      </c>
      <c r="AA605" s="36" t="s">
        <v>107</v>
      </c>
      <c r="AB605" s="13" t="s">
        <v>2548</v>
      </c>
      <c r="AC605" s="13" t="s">
        <v>2548</v>
      </c>
      <c r="AD605" s="13" t="s">
        <v>2548</v>
      </c>
      <c r="AE605" s="22" t="s">
        <v>112</v>
      </c>
      <c r="AF605" s="13" t="s">
        <v>2548</v>
      </c>
      <c r="AG605" s="13" t="s">
        <v>2548</v>
      </c>
      <c r="AH605" s="13" t="s">
        <v>2549</v>
      </c>
      <c r="AL605" s="13" t="s">
        <v>2550</v>
      </c>
      <c r="AN605" s="13">
        <v>329</v>
      </c>
      <c r="AO605" s="13" t="s">
        <v>2551</v>
      </c>
      <c r="AQ605" s="13" t="s">
        <v>2548</v>
      </c>
      <c r="AR605" s="13" t="s">
        <v>2548</v>
      </c>
      <c r="AS605" s="13" t="s">
        <v>116</v>
      </c>
      <c r="AT605" s="13" t="s">
        <v>2445</v>
      </c>
      <c r="AU605" s="13" t="s">
        <v>2446</v>
      </c>
      <c r="AV605" s="14" t="s">
        <v>2484</v>
      </c>
      <c r="AW605" s="26"/>
      <c r="AX605" s="26"/>
      <c r="AY605" s="21" t="s">
        <v>2485</v>
      </c>
      <c r="AZ605" s="17" t="s">
        <v>2552</v>
      </c>
      <c r="BA605" s="17" t="s">
        <v>2552</v>
      </c>
      <c r="BB605" s="17" t="s">
        <v>2553</v>
      </c>
      <c r="BC605" s="17" t="s">
        <v>2546</v>
      </c>
      <c r="BD605" s="27">
        <f t="shared" si="21"/>
        <v>58</v>
      </c>
      <c r="BE605" s="17" t="s">
        <v>2489</v>
      </c>
      <c r="BF605" s="17"/>
      <c r="BG605" s="17"/>
      <c r="BH605" s="17"/>
      <c r="BI605" s="17"/>
      <c r="BJ605" s="17" t="s">
        <v>2455</v>
      </c>
      <c r="BK605" s="17"/>
      <c r="BL605" s="17"/>
      <c r="BM605" s="17"/>
      <c r="BN605" s="17"/>
      <c r="BO605" s="17" t="s">
        <v>2554</v>
      </c>
      <c r="BP605" s="17"/>
      <c r="BQ605" s="17"/>
      <c r="BR605" s="17"/>
      <c r="BS605" s="17" t="s">
        <v>127</v>
      </c>
      <c r="BT605" s="17" t="s">
        <v>2457</v>
      </c>
      <c r="BU605" s="17" t="s">
        <v>129</v>
      </c>
      <c r="BV605" s="17"/>
      <c r="BW605" s="17"/>
      <c r="BX605" s="13" t="s">
        <v>2491</v>
      </c>
      <c r="BY605" s="13" t="s">
        <v>1897</v>
      </c>
      <c r="DA605" s="13" t="s">
        <v>10348</v>
      </c>
      <c r="DB605" s="13" t="s">
        <v>10348</v>
      </c>
    </row>
    <row r="606" spans="1:106" s="13" customFormat="1" ht="12.75" customHeight="1" x14ac:dyDescent="0.2">
      <c r="A606" s="13" t="s">
        <v>102</v>
      </c>
      <c r="B606" s="13" t="s">
        <v>103</v>
      </c>
      <c r="D606" s="13" t="s">
        <v>104</v>
      </c>
      <c r="E606" s="13" t="s">
        <v>105</v>
      </c>
      <c r="F606" s="13" t="s">
        <v>104</v>
      </c>
      <c r="G606" s="13" t="s">
        <v>105</v>
      </c>
      <c r="H606" s="13" t="s">
        <v>7712</v>
      </c>
      <c r="J606" s="13" t="s">
        <v>106</v>
      </c>
      <c r="W606" s="13">
        <v>209</v>
      </c>
      <c r="X606" s="13">
        <v>209</v>
      </c>
      <c r="Y606" s="13" t="s">
        <v>107</v>
      </c>
      <c r="Z606" s="13" t="s">
        <v>108</v>
      </c>
      <c r="AA606" s="36" t="s">
        <v>107</v>
      </c>
      <c r="AB606" s="13" t="s">
        <v>2555</v>
      </c>
      <c r="AC606" s="13" t="s">
        <v>2555</v>
      </c>
      <c r="AD606" s="13" t="s">
        <v>2555</v>
      </c>
      <c r="AE606" s="22" t="s">
        <v>112</v>
      </c>
      <c r="AF606" s="13" t="s">
        <v>2555</v>
      </c>
      <c r="AG606" s="13" t="s">
        <v>2555</v>
      </c>
      <c r="AH606" s="13" t="s">
        <v>2556</v>
      </c>
      <c r="AL606" s="13" t="s">
        <v>2557</v>
      </c>
      <c r="AN606" s="13">
        <v>329</v>
      </c>
      <c r="AO606" s="13" t="s">
        <v>2558</v>
      </c>
      <c r="AQ606" s="13" t="s">
        <v>2555</v>
      </c>
      <c r="AR606" s="13" t="s">
        <v>2555</v>
      </c>
      <c r="AS606" s="13" t="s">
        <v>116</v>
      </c>
      <c r="AT606" s="13" t="s">
        <v>2512</v>
      </c>
      <c r="AU606" s="13" t="s">
        <v>2446</v>
      </c>
      <c r="AV606" s="14" t="s">
        <v>2484</v>
      </c>
      <c r="AW606" s="26"/>
      <c r="AX606" s="26"/>
      <c r="AY606" s="21" t="s">
        <v>2513</v>
      </c>
      <c r="AZ606" s="17" t="s">
        <v>2559</v>
      </c>
      <c r="BA606" s="17" t="s">
        <v>2559</v>
      </c>
      <c r="BB606" s="17" t="s">
        <v>2560</v>
      </c>
      <c r="BC606" s="17" t="s">
        <v>2561</v>
      </c>
      <c r="BD606" s="27">
        <f t="shared" si="21"/>
        <v>54</v>
      </c>
      <c r="BE606" s="17" t="s">
        <v>2489</v>
      </c>
      <c r="BF606" s="17"/>
      <c r="BG606" s="17"/>
      <c r="BH606" s="17"/>
      <c r="BI606" s="17"/>
      <c r="BJ606" s="17" t="s">
        <v>2517</v>
      </c>
      <c r="BK606" s="17"/>
      <c r="BL606" s="17"/>
      <c r="BM606" s="17"/>
      <c r="BN606" s="17"/>
      <c r="BO606" s="17" t="s">
        <v>2562</v>
      </c>
      <c r="BP606" s="17"/>
      <c r="BQ606" s="17"/>
      <c r="BR606" s="17"/>
      <c r="BS606" s="17" t="s">
        <v>127</v>
      </c>
      <c r="BT606" s="17" t="s">
        <v>2457</v>
      </c>
      <c r="BU606" s="17" t="s">
        <v>129</v>
      </c>
      <c r="BV606" s="17"/>
      <c r="BW606" s="17"/>
      <c r="BX606" s="13" t="s">
        <v>2491</v>
      </c>
      <c r="BY606" s="13" t="s">
        <v>1897</v>
      </c>
      <c r="DA606" s="13" t="s">
        <v>10348</v>
      </c>
      <c r="DB606" s="13" t="s">
        <v>10348</v>
      </c>
    </row>
    <row r="607" spans="1:106" s="13" customFormat="1" ht="12.75" customHeight="1" x14ac:dyDescent="0.2">
      <c r="A607" s="13" t="s">
        <v>102</v>
      </c>
      <c r="B607" s="13" t="s">
        <v>103</v>
      </c>
      <c r="D607" s="13" t="s">
        <v>104</v>
      </c>
      <c r="E607" s="13" t="s">
        <v>105</v>
      </c>
      <c r="F607" s="13" t="s">
        <v>104</v>
      </c>
      <c r="G607" s="13" t="s">
        <v>105</v>
      </c>
      <c r="H607" s="13" t="s">
        <v>7712</v>
      </c>
      <c r="J607" s="13" t="s">
        <v>106</v>
      </c>
      <c r="W607" s="13">
        <v>210</v>
      </c>
      <c r="X607" s="13">
        <v>210</v>
      </c>
      <c r="Y607" s="13" t="s">
        <v>107</v>
      </c>
      <c r="Z607" s="13" t="s">
        <v>108</v>
      </c>
      <c r="AA607" s="36" t="s">
        <v>107</v>
      </c>
      <c r="AB607" s="13" t="s">
        <v>2563</v>
      </c>
      <c r="AC607" s="13" t="s">
        <v>2563</v>
      </c>
      <c r="AD607" s="13" t="s">
        <v>2563</v>
      </c>
      <c r="AE607" s="22" t="s">
        <v>112</v>
      </c>
      <c r="AF607" s="13" t="s">
        <v>2563</v>
      </c>
      <c r="AG607" s="13" t="s">
        <v>2563</v>
      </c>
      <c r="AH607" s="13" t="s">
        <v>2564</v>
      </c>
      <c r="AL607" s="13" t="s">
        <v>2565</v>
      </c>
      <c r="AN607" s="13">
        <v>329</v>
      </c>
      <c r="AO607" s="13" t="s">
        <v>2566</v>
      </c>
      <c r="AQ607" s="13" t="s">
        <v>2563</v>
      </c>
      <c r="AR607" s="13" t="s">
        <v>2563</v>
      </c>
      <c r="AS607" s="13" t="s">
        <v>116</v>
      </c>
      <c r="AT607" s="13" t="s">
        <v>2512</v>
      </c>
      <c r="AU607" s="13" t="s">
        <v>2446</v>
      </c>
      <c r="AV607" s="14" t="s">
        <v>2484</v>
      </c>
      <c r="AW607" s="26"/>
      <c r="AX607" s="26"/>
      <c r="AY607" s="21" t="s">
        <v>2513</v>
      </c>
      <c r="AZ607" s="17" t="s">
        <v>2567</v>
      </c>
      <c r="BA607" s="17" t="s">
        <v>2567</v>
      </c>
      <c r="BB607" s="17" t="s">
        <v>2568</v>
      </c>
      <c r="BC607" s="17" t="s">
        <v>2569</v>
      </c>
      <c r="BD607" s="27">
        <f t="shared" si="21"/>
        <v>59</v>
      </c>
      <c r="BE607" s="17" t="s">
        <v>2489</v>
      </c>
      <c r="BF607" s="17"/>
      <c r="BG607" s="17"/>
      <c r="BH607" s="17"/>
      <c r="BI607" s="17"/>
      <c r="BJ607" s="17" t="s">
        <v>2517</v>
      </c>
      <c r="BK607" s="17"/>
      <c r="BL607" s="17"/>
      <c r="BM607" s="17"/>
      <c r="BN607" s="17"/>
      <c r="BO607" s="17" t="s">
        <v>2539</v>
      </c>
      <c r="BP607" s="17"/>
      <c r="BQ607" s="17"/>
      <c r="BR607" s="17"/>
      <c r="BS607" s="17" t="s">
        <v>127</v>
      </c>
      <c r="BT607" s="17" t="s">
        <v>2457</v>
      </c>
      <c r="BU607" s="17" t="s">
        <v>129</v>
      </c>
      <c r="BV607" s="17"/>
      <c r="BW607" s="17"/>
      <c r="BX607" s="13" t="s">
        <v>2491</v>
      </c>
      <c r="BY607" s="13" t="s">
        <v>1897</v>
      </c>
      <c r="DA607" s="13" t="s">
        <v>10348</v>
      </c>
      <c r="DB607" s="13" t="s">
        <v>10348</v>
      </c>
    </row>
    <row r="608" spans="1:106" s="13" customFormat="1" ht="12.75" customHeight="1" x14ac:dyDescent="0.2">
      <c r="A608" s="13" t="s">
        <v>102</v>
      </c>
      <c r="B608" s="13" t="s">
        <v>103</v>
      </c>
      <c r="D608" s="13" t="s">
        <v>104</v>
      </c>
      <c r="E608" s="13" t="s">
        <v>105</v>
      </c>
      <c r="F608" s="13" t="s">
        <v>104</v>
      </c>
      <c r="G608" s="13" t="s">
        <v>105</v>
      </c>
      <c r="H608" s="13" t="s">
        <v>7712</v>
      </c>
      <c r="J608" s="13" t="s">
        <v>106</v>
      </c>
      <c r="W608" s="13">
        <v>211</v>
      </c>
      <c r="X608" s="13">
        <v>211</v>
      </c>
      <c r="Y608" s="13" t="s">
        <v>107</v>
      </c>
      <c r="Z608" s="13" t="s">
        <v>108</v>
      </c>
      <c r="AA608" s="36" t="s">
        <v>107</v>
      </c>
      <c r="AB608" s="13" t="s">
        <v>2570</v>
      </c>
      <c r="AC608" s="13" t="s">
        <v>2570</v>
      </c>
      <c r="AD608" s="13" t="s">
        <v>2570</v>
      </c>
      <c r="AE608" s="22" t="s">
        <v>112</v>
      </c>
      <c r="AF608" s="13" t="s">
        <v>2570</v>
      </c>
      <c r="AG608" s="13" t="s">
        <v>2570</v>
      </c>
      <c r="AH608" s="13" t="s">
        <v>2571</v>
      </c>
      <c r="AL608" s="13" t="s">
        <v>2572</v>
      </c>
      <c r="AN608" s="13">
        <v>329</v>
      </c>
      <c r="AO608" s="13" t="s">
        <v>2573</v>
      </c>
      <c r="AQ608" s="13" t="s">
        <v>2570</v>
      </c>
      <c r="AR608" s="13" t="s">
        <v>2570</v>
      </c>
      <c r="AS608" s="13" t="s">
        <v>116</v>
      </c>
      <c r="AT608" s="13" t="s">
        <v>2512</v>
      </c>
      <c r="AU608" s="13" t="s">
        <v>2446</v>
      </c>
      <c r="AV608" s="14" t="s">
        <v>2484</v>
      </c>
      <c r="AW608" s="26"/>
      <c r="AX608" s="26"/>
      <c r="AY608" s="21" t="s">
        <v>2513</v>
      </c>
      <c r="AZ608" s="17" t="s">
        <v>2574</v>
      </c>
      <c r="BA608" s="17" t="s">
        <v>2574</v>
      </c>
      <c r="BB608" s="17" t="s">
        <v>2575</v>
      </c>
      <c r="BC608" s="17" t="s">
        <v>2576</v>
      </c>
      <c r="BD608" s="27">
        <f t="shared" si="21"/>
        <v>58</v>
      </c>
      <c r="BE608" s="17" t="s">
        <v>2489</v>
      </c>
      <c r="BF608" s="17"/>
      <c r="BG608" s="17"/>
      <c r="BH608" s="17"/>
      <c r="BI608" s="17"/>
      <c r="BJ608" s="17" t="s">
        <v>2517</v>
      </c>
      <c r="BK608" s="17"/>
      <c r="BL608" s="17"/>
      <c r="BM608" s="17"/>
      <c r="BN608" s="17"/>
      <c r="BO608" s="17" t="s">
        <v>2547</v>
      </c>
      <c r="BP608" s="17"/>
      <c r="BQ608" s="17"/>
      <c r="BR608" s="17"/>
      <c r="BS608" s="17" t="s">
        <v>127</v>
      </c>
      <c r="BT608" s="17" t="s">
        <v>2457</v>
      </c>
      <c r="BU608" s="17" t="s">
        <v>129</v>
      </c>
      <c r="BV608" s="17"/>
      <c r="BW608" s="17"/>
      <c r="BX608" s="13" t="s">
        <v>2491</v>
      </c>
      <c r="BY608" s="13" t="s">
        <v>1897</v>
      </c>
      <c r="DA608" s="13" t="s">
        <v>10348</v>
      </c>
      <c r="DB608" s="13" t="s">
        <v>10348</v>
      </c>
    </row>
    <row r="609" spans="1:106" s="13" customFormat="1" ht="12.75" customHeight="1" x14ac:dyDescent="0.2">
      <c r="A609" s="13" t="s">
        <v>102</v>
      </c>
      <c r="B609" s="13" t="s">
        <v>103</v>
      </c>
      <c r="D609" s="13" t="s">
        <v>104</v>
      </c>
      <c r="E609" s="13" t="s">
        <v>105</v>
      </c>
      <c r="F609" s="13" t="s">
        <v>104</v>
      </c>
      <c r="G609" s="13" t="s">
        <v>105</v>
      </c>
      <c r="H609" s="13" t="s">
        <v>7712</v>
      </c>
      <c r="J609" s="13" t="s">
        <v>106</v>
      </c>
      <c r="W609" s="13">
        <v>212</v>
      </c>
      <c r="X609" s="13">
        <v>212</v>
      </c>
      <c r="Y609" s="13" t="s">
        <v>107</v>
      </c>
      <c r="Z609" s="13" t="s">
        <v>108</v>
      </c>
      <c r="AA609" s="36" t="s">
        <v>107</v>
      </c>
      <c r="AB609" s="13" t="s">
        <v>2577</v>
      </c>
      <c r="AC609" s="13" t="s">
        <v>2577</v>
      </c>
      <c r="AD609" s="13" t="s">
        <v>2577</v>
      </c>
      <c r="AE609" s="22" t="s">
        <v>112</v>
      </c>
      <c r="AF609" s="13" t="s">
        <v>2577</v>
      </c>
      <c r="AG609" s="13" t="s">
        <v>2577</v>
      </c>
      <c r="AH609" s="13" t="s">
        <v>2578</v>
      </c>
      <c r="AL609" s="13" t="s">
        <v>2579</v>
      </c>
      <c r="AN609" s="13">
        <v>329</v>
      </c>
      <c r="AO609" s="13" t="s">
        <v>2580</v>
      </c>
      <c r="AQ609" s="13" t="s">
        <v>2577</v>
      </c>
      <c r="AR609" s="13" t="s">
        <v>2577</v>
      </c>
      <c r="AS609" s="13" t="s">
        <v>116</v>
      </c>
      <c r="AT609" s="13" t="s">
        <v>2445</v>
      </c>
      <c r="AU609" s="13" t="s">
        <v>2446</v>
      </c>
      <c r="AV609" s="14" t="s">
        <v>2484</v>
      </c>
      <c r="AW609" s="26"/>
      <c r="AX609" s="26"/>
      <c r="AY609" s="21" t="s">
        <v>2581</v>
      </c>
      <c r="AZ609" s="17" t="s">
        <v>2582</v>
      </c>
      <c r="BA609" s="17" t="s">
        <v>2582</v>
      </c>
      <c r="BB609" s="17" t="s">
        <v>2583</v>
      </c>
      <c r="BC609" s="17" t="s">
        <v>2583</v>
      </c>
      <c r="BD609" s="27">
        <f t="shared" si="21"/>
        <v>41</v>
      </c>
      <c r="BE609" s="17" t="s">
        <v>2489</v>
      </c>
      <c r="BF609" s="17"/>
      <c r="BG609" s="17"/>
      <c r="BH609" s="17"/>
      <c r="BI609" s="17"/>
      <c r="BJ609" s="17" t="s">
        <v>2455</v>
      </c>
      <c r="BK609" s="17"/>
      <c r="BL609" s="17"/>
      <c r="BM609" s="17"/>
      <c r="BN609" s="17"/>
      <c r="BO609" s="17"/>
      <c r="BP609" s="17"/>
      <c r="BQ609" s="17"/>
      <c r="BR609" s="17"/>
      <c r="BS609" s="17" t="s">
        <v>127</v>
      </c>
      <c r="BT609" s="17" t="s">
        <v>2457</v>
      </c>
      <c r="BU609" s="17" t="s">
        <v>129</v>
      </c>
      <c r="BV609" s="17"/>
      <c r="BW609" s="17"/>
      <c r="BX609" s="13" t="s">
        <v>2584</v>
      </c>
      <c r="BY609" s="13" t="s">
        <v>1897</v>
      </c>
      <c r="DA609" s="13" t="s">
        <v>10348</v>
      </c>
      <c r="DB609" s="13" t="s">
        <v>10348</v>
      </c>
    </row>
    <row r="610" spans="1:106" s="13" customFormat="1" ht="12.75" customHeight="1" x14ac:dyDescent="0.2">
      <c r="A610" s="13" t="s">
        <v>102</v>
      </c>
      <c r="B610" s="13" t="s">
        <v>103</v>
      </c>
      <c r="D610" s="13" t="s">
        <v>820</v>
      </c>
      <c r="E610" s="13" t="s">
        <v>471</v>
      </c>
      <c r="F610" s="13" t="s">
        <v>820</v>
      </c>
      <c r="G610" s="13" t="s">
        <v>229</v>
      </c>
      <c r="H610" s="13" t="s">
        <v>7712</v>
      </c>
      <c r="J610" s="13" t="s">
        <v>106</v>
      </c>
      <c r="W610" s="13">
        <v>343</v>
      </c>
      <c r="X610" s="13">
        <v>343</v>
      </c>
      <c r="Y610" s="13" t="s">
        <v>107</v>
      </c>
      <c r="Z610" s="13" t="s">
        <v>108</v>
      </c>
      <c r="AA610" s="36" t="s">
        <v>107</v>
      </c>
      <c r="AB610" s="13" t="s">
        <v>3922</v>
      </c>
      <c r="AC610" s="13" t="s">
        <v>3922</v>
      </c>
      <c r="AD610" s="13" t="s">
        <v>3922</v>
      </c>
      <c r="AE610" s="35" t="s">
        <v>112</v>
      </c>
      <c r="AF610" s="13" t="s">
        <v>3922</v>
      </c>
      <c r="AG610" s="13" t="s">
        <v>3922</v>
      </c>
      <c r="AH610" s="39" t="s">
        <v>3923</v>
      </c>
      <c r="AL610" s="13" t="s">
        <v>3924</v>
      </c>
      <c r="AN610" s="13">
        <v>329</v>
      </c>
      <c r="AO610" s="13" t="s">
        <v>3925</v>
      </c>
      <c r="AQ610" s="13" t="s">
        <v>3922</v>
      </c>
      <c r="AR610" s="13" t="s">
        <v>3922</v>
      </c>
      <c r="AS610" s="13" t="s">
        <v>116</v>
      </c>
      <c r="AT610" s="13" t="s">
        <v>3926</v>
      </c>
      <c r="AU610" s="13" t="s">
        <v>2377</v>
      </c>
      <c r="AV610" s="13" t="s">
        <v>827</v>
      </c>
      <c r="AW610" s="26" t="s">
        <v>828</v>
      </c>
      <c r="AX610" s="26" t="s">
        <v>829</v>
      </c>
      <c r="AY610" s="13" t="s">
        <v>3927</v>
      </c>
      <c r="AZ610" s="13" t="s">
        <v>3928</v>
      </c>
      <c r="BA610" s="13" t="s">
        <v>3928</v>
      </c>
      <c r="BB610" s="13" t="s">
        <v>3929</v>
      </c>
      <c r="BC610" s="13" t="s">
        <v>3930</v>
      </c>
      <c r="BD610" s="13">
        <f t="shared" ref="BD610:BD641" si="22">LEN(SUBSTITUTE(BC610, ", "," "))</f>
        <v>56</v>
      </c>
      <c r="BE610" s="17" t="s">
        <v>834</v>
      </c>
      <c r="BF610" s="17" t="s">
        <v>736</v>
      </c>
      <c r="BG610" s="17" t="s">
        <v>3931</v>
      </c>
      <c r="BJ610" s="31" t="s">
        <v>3932</v>
      </c>
      <c r="BO610" s="17" t="s">
        <v>2428</v>
      </c>
      <c r="BP610" s="17" t="s">
        <v>2384</v>
      </c>
      <c r="BS610" s="17" t="s">
        <v>127</v>
      </c>
      <c r="BU610" s="17" t="s">
        <v>129</v>
      </c>
      <c r="BX610" s="13" t="s">
        <v>3933</v>
      </c>
      <c r="DA610" s="13" t="s">
        <v>10348</v>
      </c>
      <c r="DB610" s="13" t="s">
        <v>10348</v>
      </c>
    </row>
    <row r="611" spans="1:106" s="13" customFormat="1" ht="12.75" customHeight="1" x14ac:dyDescent="0.2">
      <c r="A611" s="13" t="s">
        <v>102</v>
      </c>
      <c r="B611" s="13" t="s">
        <v>103</v>
      </c>
      <c r="D611" s="13" t="s">
        <v>820</v>
      </c>
      <c r="E611" s="13" t="s">
        <v>471</v>
      </c>
      <c r="F611" s="13" t="s">
        <v>820</v>
      </c>
      <c r="G611" s="13" t="s">
        <v>229</v>
      </c>
      <c r="H611" s="13" t="s">
        <v>7712</v>
      </c>
      <c r="J611" s="13" t="s">
        <v>106</v>
      </c>
      <c r="W611" s="13">
        <v>345</v>
      </c>
      <c r="X611" s="13">
        <v>345</v>
      </c>
      <c r="Y611" s="13" t="s">
        <v>107</v>
      </c>
      <c r="Z611" s="13" t="s">
        <v>108</v>
      </c>
      <c r="AA611" s="36" t="s">
        <v>107</v>
      </c>
      <c r="AB611" s="13" t="s">
        <v>3943</v>
      </c>
      <c r="AC611" s="13" t="s">
        <v>3943</v>
      </c>
      <c r="AD611" s="13" t="s">
        <v>3943</v>
      </c>
      <c r="AE611" s="35" t="s">
        <v>112</v>
      </c>
      <c r="AF611" s="13" t="s">
        <v>3943</v>
      </c>
      <c r="AG611" s="13" t="s">
        <v>3943</v>
      </c>
      <c r="AH611" s="39" t="s">
        <v>3944</v>
      </c>
      <c r="AL611" s="13" t="s">
        <v>3945</v>
      </c>
      <c r="AN611" s="13">
        <v>329</v>
      </c>
      <c r="AO611" s="13" t="s">
        <v>3946</v>
      </c>
      <c r="AQ611" s="13" t="s">
        <v>3943</v>
      </c>
      <c r="AR611" s="13" t="s">
        <v>3943</v>
      </c>
      <c r="AS611" s="13" t="s">
        <v>116</v>
      </c>
      <c r="AT611" s="13" t="s">
        <v>3947</v>
      </c>
      <c r="AU611" s="13" t="s">
        <v>2377</v>
      </c>
      <c r="AV611" s="13" t="s">
        <v>827</v>
      </c>
      <c r="AW611" s="26" t="s">
        <v>828</v>
      </c>
      <c r="AX611" s="26" t="s">
        <v>829</v>
      </c>
      <c r="AY611" s="13" t="s">
        <v>3948</v>
      </c>
      <c r="AZ611" s="13" t="s">
        <v>3949</v>
      </c>
      <c r="BA611" s="13" t="s">
        <v>3949</v>
      </c>
      <c r="BB611" s="13" t="s">
        <v>3950</v>
      </c>
      <c r="BC611" s="13" t="s">
        <v>3951</v>
      </c>
      <c r="BD611" s="13">
        <f t="shared" si="22"/>
        <v>56</v>
      </c>
      <c r="BE611" s="17" t="s">
        <v>834</v>
      </c>
      <c r="BF611" s="17" t="s">
        <v>736</v>
      </c>
      <c r="BG611" s="17" t="s">
        <v>3931</v>
      </c>
      <c r="BJ611" s="31" t="s">
        <v>3952</v>
      </c>
      <c r="BO611" s="17" t="s">
        <v>2428</v>
      </c>
      <c r="BP611" s="17" t="s">
        <v>2384</v>
      </c>
      <c r="BS611" s="17" t="s">
        <v>127</v>
      </c>
      <c r="BU611" s="17" t="s">
        <v>129</v>
      </c>
      <c r="BX611" s="13" t="s">
        <v>3953</v>
      </c>
      <c r="DA611" s="13" t="s">
        <v>10348</v>
      </c>
      <c r="DB611" s="13" t="s">
        <v>10348</v>
      </c>
    </row>
    <row r="612" spans="1:106" s="13" customFormat="1" ht="12.75" customHeight="1" x14ac:dyDescent="0.2">
      <c r="A612" s="13" t="s">
        <v>102</v>
      </c>
      <c r="B612" s="13" t="s">
        <v>103</v>
      </c>
      <c r="D612" s="13" t="s">
        <v>4273</v>
      </c>
      <c r="E612" s="13" t="s">
        <v>471</v>
      </c>
      <c r="F612" s="13" t="s">
        <v>4273</v>
      </c>
      <c r="H612" s="13" t="s">
        <v>7712</v>
      </c>
      <c r="J612" s="13" t="s">
        <v>106</v>
      </c>
      <c r="W612" s="13">
        <v>376</v>
      </c>
      <c r="X612" s="13">
        <v>376</v>
      </c>
      <c r="Y612" s="13" t="s">
        <v>107</v>
      </c>
      <c r="Z612" s="13" t="s">
        <v>108</v>
      </c>
      <c r="AA612" s="36" t="s">
        <v>107</v>
      </c>
      <c r="AB612" s="13" t="s">
        <v>4299</v>
      </c>
      <c r="AC612" s="13" t="s">
        <v>4299</v>
      </c>
      <c r="AD612" s="13" t="s">
        <v>4299</v>
      </c>
      <c r="AE612" s="35" t="s">
        <v>112</v>
      </c>
      <c r="AF612" s="13" t="s">
        <v>4299</v>
      </c>
      <c r="AG612" s="32" t="s">
        <v>4299</v>
      </c>
      <c r="AH612" s="39" t="s">
        <v>4300</v>
      </c>
      <c r="AL612" s="13" t="s">
        <v>4301</v>
      </c>
      <c r="AN612" s="13">
        <v>329</v>
      </c>
      <c r="AO612" s="13" t="s">
        <v>4302</v>
      </c>
      <c r="AQ612" s="13" t="s">
        <v>4299</v>
      </c>
      <c r="AR612" s="13" t="s">
        <v>4299</v>
      </c>
      <c r="AS612" s="13" t="s">
        <v>116</v>
      </c>
      <c r="AT612" s="13" t="s">
        <v>4303</v>
      </c>
      <c r="AU612" s="13" t="s">
        <v>4208</v>
      </c>
      <c r="AV612" s="13" t="s">
        <v>799</v>
      </c>
      <c r="AW612" s="26"/>
      <c r="AX612" s="26"/>
      <c r="AY612" s="17" t="s">
        <v>4304</v>
      </c>
      <c r="AZ612" s="13" t="s">
        <v>4305</v>
      </c>
      <c r="BA612" s="13" t="s">
        <v>4305</v>
      </c>
      <c r="BB612" s="13" t="s">
        <v>4306</v>
      </c>
      <c r="BC612" s="13" t="s">
        <v>4306</v>
      </c>
      <c r="BD612" s="13">
        <f t="shared" si="22"/>
        <v>28</v>
      </c>
      <c r="BE612" s="17" t="s">
        <v>4212</v>
      </c>
      <c r="BF612" s="17" t="s">
        <v>4049</v>
      </c>
      <c r="BG612" s="17"/>
      <c r="BH612" s="17"/>
      <c r="BI612" s="17"/>
      <c r="BJ612" s="17" t="s">
        <v>4307</v>
      </c>
      <c r="BK612" s="17"/>
      <c r="BL612" s="17"/>
      <c r="BM612" s="17"/>
      <c r="BN612" s="17"/>
      <c r="BO612" s="17"/>
      <c r="BP612" s="17"/>
      <c r="BQ612" s="17"/>
      <c r="BR612" s="17"/>
      <c r="BS612" s="17" t="s">
        <v>127</v>
      </c>
      <c r="BT612" s="17"/>
      <c r="BU612" s="17" t="s">
        <v>129</v>
      </c>
      <c r="BV612" s="17"/>
      <c r="BW612" s="17"/>
      <c r="BX612" s="13" t="s">
        <v>4308</v>
      </c>
      <c r="DA612" s="13" t="s">
        <v>10348</v>
      </c>
      <c r="DB612" s="13" t="s">
        <v>10348</v>
      </c>
    </row>
    <row r="613" spans="1:106" s="13" customFormat="1" ht="12.75" customHeight="1" x14ac:dyDescent="0.2">
      <c r="A613" s="13" t="s">
        <v>102</v>
      </c>
      <c r="B613" s="13" t="s">
        <v>103</v>
      </c>
      <c r="D613" s="13" t="s">
        <v>4273</v>
      </c>
      <c r="E613" s="13" t="s">
        <v>471</v>
      </c>
      <c r="F613" s="13" t="s">
        <v>4273</v>
      </c>
      <c r="H613" s="13" t="s">
        <v>7712</v>
      </c>
      <c r="J613" s="13" t="s">
        <v>106</v>
      </c>
      <c r="W613" s="13">
        <v>377</v>
      </c>
      <c r="X613" s="13">
        <v>377</v>
      </c>
      <c r="Y613" s="13" t="s">
        <v>107</v>
      </c>
      <c r="Z613" s="13" t="s">
        <v>108</v>
      </c>
      <c r="AA613" s="36" t="s">
        <v>107</v>
      </c>
      <c r="AB613" s="13" t="s">
        <v>4309</v>
      </c>
      <c r="AC613" s="13" t="s">
        <v>4309</v>
      </c>
      <c r="AD613" s="13" t="s">
        <v>4309</v>
      </c>
      <c r="AE613" s="35" t="s">
        <v>112</v>
      </c>
      <c r="AF613" s="13" t="s">
        <v>4309</v>
      </c>
      <c r="AG613" s="32" t="s">
        <v>4309</v>
      </c>
      <c r="AH613" s="39" t="s">
        <v>4310</v>
      </c>
      <c r="AL613" s="13" t="s">
        <v>4311</v>
      </c>
      <c r="AN613" s="13">
        <v>329</v>
      </c>
      <c r="AO613" s="13" t="s">
        <v>4312</v>
      </c>
      <c r="AQ613" s="13" t="s">
        <v>4309</v>
      </c>
      <c r="AR613" s="13" t="s">
        <v>4309</v>
      </c>
      <c r="AS613" s="13" t="s">
        <v>116</v>
      </c>
      <c r="AT613" s="13" t="s">
        <v>4313</v>
      </c>
      <c r="AU613" s="13" t="s">
        <v>4313</v>
      </c>
      <c r="AV613" s="13" t="s">
        <v>4314</v>
      </c>
      <c r="AW613" s="26"/>
      <c r="AX613" s="26"/>
      <c r="AY613" s="17" t="s">
        <v>4311</v>
      </c>
      <c r="AZ613" s="13" t="s">
        <v>4315</v>
      </c>
      <c r="BA613" s="13" t="s">
        <v>4315</v>
      </c>
      <c r="BB613" s="13" t="s">
        <v>4316</v>
      </c>
      <c r="BC613" s="13" t="s">
        <v>4316</v>
      </c>
      <c r="BD613" s="13">
        <f t="shared" si="22"/>
        <v>38</v>
      </c>
      <c r="BE613" s="17" t="s">
        <v>4317</v>
      </c>
      <c r="BF613" s="17"/>
      <c r="BG613" s="17" t="s">
        <v>4100</v>
      </c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 t="s">
        <v>127</v>
      </c>
      <c r="BT613" s="17"/>
      <c r="BU613" s="17" t="s">
        <v>129</v>
      </c>
      <c r="BV613" s="17"/>
      <c r="BW613" s="17"/>
      <c r="BX613" s="13" t="s">
        <v>4318</v>
      </c>
      <c r="DA613" s="13" t="s">
        <v>10348</v>
      </c>
      <c r="DB613" s="13" t="s">
        <v>10348</v>
      </c>
    </row>
    <row r="614" spans="1:106" s="13" customFormat="1" ht="12.75" customHeight="1" x14ac:dyDescent="0.2">
      <c r="A614" s="13" t="s">
        <v>102</v>
      </c>
      <c r="B614" s="13" t="s">
        <v>103</v>
      </c>
      <c r="D614" s="13" t="s">
        <v>4273</v>
      </c>
      <c r="E614" s="13" t="s">
        <v>471</v>
      </c>
      <c r="F614" s="13" t="s">
        <v>4273</v>
      </c>
      <c r="H614" s="13" t="s">
        <v>7712</v>
      </c>
      <c r="J614" s="13" t="s">
        <v>106</v>
      </c>
      <c r="W614" s="13">
        <v>378</v>
      </c>
      <c r="X614" s="13">
        <v>378</v>
      </c>
      <c r="Y614" s="13" t="s">
        <v>107</v>
      </c>
      <c r="Z614" s="13" t="s">
        <v>108</v>
      </c>
      <c r="AA614" s="36" t="s">
        <v>107</v>
      </c>
      <c r="AB614" s="13" t="s">
        <v>4319</v>
      </c>
      <c r="AC614" s="13" t="s">
        <v>4319</v>
      </c>
      <c r="AD614" s="13" t="s">
        <v>4319</v>
      </c>
      <c r="AE614" s="35" t="s">
        <v>112</v>
      </c>
      <c r="AF614" s="13" t="s">
        <v>4319</v>
      </c>
      <c r="AG614" s="32" t="s">
        <v>4319</v>
      </c>
      <c r="AH614" s="39" t="s">
        <v>4320</v>
      </c>
      <c r="AL614" s="13" t="s">
        <v>4321</v>
      </c>
      <c r="AN614" s="13">
        <v>329</v>
      </c>
      <c r="AO614" s="13" t="s">
        <v>4322</v>
      </c>
      <c r="AQ614" s="13" t="s">
        <v>4319</v>
      </c>
      <c r="AR614" s="13" t="s">
        <v>4319</v>
      </c>
      <c r="AS614" s="13" t="s">
        <v>116</v>
      </c>
      <c r="AT614" s="13" t="s">
        <v>4321</v>
      </c>
      <c r="AU614" s="13" t="s">
        <v>4321</v>
      </c>
      <c r="AV614" s="13" t="s">
        <v>813</v>
      </c>
      <c r="AW614" s="26"/>
      <c r="AX614" s="26"/>
      <c r="AY614" s="17" t="s">
        <v>4321</v>
      </c>
      <c r="AZ614" s="13" t="s">
        <v>4323</v>
      </c>
      <c r="BA614" s="13" t="s">
        <v>4323</v>
      </c>
      <c r="BB614" s="13" t="s">
        <v>4324</v>
      </c>
      <c r="BC614" s="13" t="s">
        <v>4324</v>
      </c>
      <c r="BD614" s="13">
        <f t="shared" si="22"/>
        <v>25</v>
      </c>
      <c r="BE614" s="17" t="s">
        <v>4325</v>
      </c>
      <c r="BF614" s="17"/>
      <c r="BG614" s="17" t="s">
        <v>4100</v>
      </c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 t="s">
        <v>127</v>
      </c>
      <c r="BT614" s="17"/>
      <c r="BU614" s="17" t="s">
        <v>129</v>
      </c>
      <c r="BV614" s="17"/>
      <c r="BW614" s="17"/>
      <c r="BX614" s="13" t="s">
        <v>4326</v>
      </c>
      <c r="DA614" s="13" t="s">
        <v>10348</v>
      </c>
      <c r="DB614" s="13" t="s">
        <v>10348</v>
      </c>
    </row>
    <row r="615" spans="1:106" s="13" customFormat="1" ht="12.75" customHeight="1" x14ac:dyDescent="0.2">
      <c r="A615" s="13" t="s">
        <v>102</v>
      </c>
      <c r="B615" s="13" t="s">
        <v>103</v>
      </c>
      <c r="D615" s="13" t="s">
        <v>4273</v>
      </c>
      <c r="E615" s="13" t="s">
        <v>471</v>
      </c>
      <c r="F615" s="13" t="s">
        <v>4273</v>
      </c>
      <c r="H615" s="13" t="s">
        <v>7712</v>
      </c>
      <c r="J615" s="13" t="s">
        <v>106</v>
      </c>
      <c r="W615" s="13">
        <v>379</v>
      </c>
      <c r="X615" s="13">
        <v>379</v>
      </c>
      <c r="Y615" s="13" t="s">
        <v>107</v>
      </c>
      <c r="Z615" s="13" t="s">
        <v>108</v>
      </c>
      <c r="AA615" s="36" t="s">
        <v>107</v>
      </c>
      <c r="AB615" s="13" t="s">
        <v>4327</v>
      </c>
      <c r="AC615" s="13" t="s">
        <v>4327</v>
      </c>
      <c r="AD615" s="13" t="s">
        <v>4327</v>
      </c>
      <c r="AE615" s="35" t="s">
        <v>112</v>
      </c>
      <c r="AF615" s="13" t="s">
        <v>4327</v>
      </c>
      <c r="AG615" s="32" t="s">
        <v>4327</v>
      </c>
      <c r="AH615" s="39" t="s">
        <v>4328</v>
      </c>
      <c r="AL615" s="13" t="s">
        <v>4329</v>
      </c>
      <c r="AN615" s="13">
        <v>329</v>
      </c>
      <c r="AO615" s="13" t="s">
        <v>4330</v>
      </c>
      <c r="AQ615" s="13" t="s">
        <v>4327</v>
      </c>
      <c r="AR615" s="13" t="s">
        <v>4327</v>
      </c>
      <c r="AS615" s="13" t="s">
        <v>116</v>
      </c>
      <c r="AT615" s="13" t="s">
        <v>4329</v>
      </c>
      <c r="AU615" s="13" t="s">
        <v>4329</v>
      </c>
      <c r="AV615" s="13" t="s">
        <v>813</v>
      </c>
      <c r="AW615" s="26"/>
      <c r="AX615" s="26"/>
      <c r="AY615" s="17" t="s">
        <v>4329</v>
      </c>
      <c r="AZ615" s="13" t="s">
        <v>4331</v>
      </c>
      <c r="BA615" s="13" t="s">
        <v>4331</v>
      </c>
      <c r="BB615" s="13" t="s">
        <v>4332</v>
      </c>
      <c r="BC615" s="13" t="s">
        <v>4332</v>
      </c>
      <c r="BD615" s="13">
        <f t="shared" si="22"/>
        <v>29</v>
      </c>
      <c r="BE615" s="17" t="s">
        <v>4325</v>
      </c>
      <c r="BF615" s="17"/>
      <c r="BG615" s="17" t="s">
        <v>4333</v>
      </c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 t="s">
        <v>127</v>
      </c>
      <c r="BT615" s="17"/>
      <c r="BU615" s="17" t="s">
        <v>129</v>
      </c>
      <c r="BV615" s="17"/>
      <c r="BW615" s="17"/>
      <c r="BX615" s="13" t="s">
        <v>4334</v>
      </c>
      <c r="DA615" s="13" t="s">
        <v>10348</v>
      </c>
      <c r="DB615" s="13" t="s">
        <v>10348</v>
      </c>
    </row>
    <row r="616" spans="1:106" s="13" customFormat="1" ht="12.75" customHeight="1" x14ac:dyDescent="0.2">
      <c r="A616" s="13" t="s">
        <v>102</v>
      </c>
      <c r="B616" s="13" t="s">
        <v>103</v>
      </c>
      <c r="D616" s="13" t="s">
        <v>4273</v>
      </c>
      <c r="E616" s="13" t="s">
        <v>471</v>
      </c>
      <c r="F616" s="13" t="s">
        <v>4273</v>
      </c>
      <c r="H616" s="13" t="s">
        <v>7712</v>
      </c>
      <c r="J616" s="13" t="s">
        <v>106</v>
      </c>
      <c r="W616" s="13">
        <v>380</v>
      </c>
      <c r="X616" s="13">
        <v>380</v>
      </c>
      <c r="Y616" s="13" t="s">
        <v>107</v>
      </c>
      <c r="Z616" s="13" t="s">
        <v>108</v>
      </c>
      <c r="AA616" s="36" t="s">
        <v>107</v>
      </c>
      <c r="AB616" s="13" t="s">
        <v>4335</v>
      </c>
      <c r="AC616" s="13" t="s">
        <v>4335</v>
      </c>
      <c r="AD616" s="13" t="s">
        <v>4335</v>
      </c>
      <c r="AE616" s="35" t="s">
        <v>112</v>
      </c>
      <c r="AF616" s="13" t="s">
        <v>4335</v>
      </c>
      <c r="AG616" s="32" t="s">
        <v>4335</v>
      </c>
      <c r="AH616" s="39" t="s">
        <v>4336</v>
      </c>
      <c r="AL616" s="13" t="s">
        <v>4337</v>
      </c>
      <c r="AN616" s="13">
        <v>329</v>
      </c>
      <c r="AO616" s="13" t="s">
        <v>4338</v>
      </c>
      <c r="AQ616" s="13" t="s">
        <v>4335</v>
      </c>
      <c r="AR616" s="13" t="s">
        <v>4335</v>
      </c>
      <c r="AS616" s="13" t="s">
        <v>116</v>
      </c>
      <c r="AT616" s="13" t="s">
        <v>4337</v>
      </c>
      <c r="AU616" s="13" t="s">
        <v>4337</v>
      </c>
      <c r="AV616" s="13" t="s">
        <v>813</v>
      </c>
      <c r="AW616" s="26"/>
      <c r="AX616" s="26"/>
      <c r="AY616" s="17" t="s">
        <v>4339</v>
      </c>
      <c r="AZ616" s="13" t="s">
        <v>4340</v>
      </c>
      <c r="BA616" s="13" t="s">
        <v>4340</v>
      </c>
      <c r="BB616" s="13" t="s">
        <v>4341</v>
      </c>
      <c r="BC616" s="13" t="s">
        <v>4341</v>
      </c>
      <c r="BD616" s="13">
        <f t="shared" si="22"/>
        <v>33</v>
      </c>
      <c r="BE616" s="17" t="s">
        <v>4325</v>
      </c>
      <c r="BF616" s="17"/>
      <c r="BG616" s="17" t="s">
        <v>4100</v>
      </c>
      <c r="BH616" s="17"/>
      <c r="BI616" s="17"/>
      <c r="BJ616" s="17"/>
      <c r="BK616" s="17"/>
      <c r="BL616" s="17"/>
      <c r="BM616" s="17"/>
      <c r="BN616" s="17"/>
      <c r="BO616" s="17" t="s">
        <v>4342</v>
      </c>
      <c r="BP616" s="17"/>
      <c r="BQ616" s="17"/>
      <c r="BR616" s="17"/>
      <c r="BS616" s="17" t="s">
        <v>127</v>
      </c>
      <c r="BT616" s="17"/>
      <c r="BU616" s="17" t="s">
        <v>129</v>
      </c>
      <c r="BV616" s="17"/>
      <c r="BW616" s="17"/>
      <c r="BX616" s="13" t="s">
        <v>4343</v>
      </c>
      <c r="DA616" s="13" t="s">
        <v>10348</v>
      </c>
      <c r="DB616" s="13" t="s">
        <v>10348</v>
      </c>
    </row>
    <row r="617" spans="1:106" s="13" customFormat="1" ht="12.75" customHeight="1" x14ac:dyDescent="0.2">
      <c r="A617" s="13" t="s">
        <v>102</v>
      </c>
      <c r="B617" s="13" t="s">
        <v>103</v>
      </c>
      <c r="D617" s="13" t="s">
        <v>4273</v>
      </c>
      <c r="E617" s="13" t="s">
        <v>471</v>
      </c>
      <c r="F617" s="13" t="s">
        <v>4273</v>
      </c>
      <c r="H617" s="13" t="s">
        <v>7712</v>
      </c>
      <c r="J617" s="13" t="s">
        <v>106</v>
      </c>
      <c r="W617" s="13">
        <v>381</v>
      </c>
      <c r="X617" s="13">
        <v>381</v>
      </c>
      <c r="Y617" s="13" t="s">
        <v>107</v>
      </c>
      <c r="Z617" s="13" t="s">
        <v>108</v>
      </c>
      <c r="AA617" s="36" t="s">
        <v>107</v>
      </c>
      <c r="AB617" s="13" t="s">
        <v>4344</v>
      </c>
      <c r="AC617" s="13" t="s">
        <v>4344</v>
      </c>
      <c r="AD617" s="13" t="s">
        <v>4344</v>
      </c>
      <c r="AE617" s="35" t="s">
        <v>112</v>
      </c>
      <c r="AF617" s="13" t="s">
        <v>4344</v>
      </c>
      <c r="AG617" s="32" t="s">
        <v>4344</v>
      </c>
      <c r="AH617" s="39" t="s">
        <v>4345</v>
      </c>
      <c r="AL617" s="13" t="s">
        <v>4346</v>
      </c>
      <c r="AN617" s="13">
        <v>329</v>
      </c>
      <c r="AO617" s="13" t="s">
        <v>4347</v>
      </c>
      <c r="AQ617" s="13" t="s">
        <v>4344</v>
      </c>
      <c r="AR617" s="13" t="s">
        <v>4344</v>
      </c>
      <c r="AS617" s="13" t="s">
        <v>116</v>
      </c>
      <c r="AT617" s="13" t="s">
        <v>4346</v>
      </c>
      <c r="AU617" s="13" t="s">
        <v>4346</v>
      </c>
      <c r="AV617" s="13" t="s">
        <v>813</v>
      </c>
      <c r="AW617" s="26"/>
      <c r="AX617" s="26"/>
      <c r="AY617" s="17" t="s">
        <v>4346</v>
      </c>
      <c r="AZ617" s="13" t="s">
        <v>4348</v>
      </c>
      <c r="BA617" s="13" t="s">
        <v>4348</v>
      </c>
      <c r="BB617" s="13" t="s">
        <v>4349</v>
      </c>
      <c r="BC617" s="13" t="s">
        <v>4349</v>
      </c>
      <c r="BD617" s="13">
        <f t="shared" si="22"/>
        <v>30</v>
      </c>
      <c r="BE617" s="17" t="s">
        <v>817</v>
      </c>
      <c r="BF617" s="17" t="s">
        <v>123</v>
      </c>
      <c r="BG617" s="17"/>
      <c r="BH617" s="17"/>
      <c r="BI617" s="17"/>
      <c r="BJ617" s="17"/>
      <c r="BK617" s="17"/>
      <c r="BL617" s="17"/>
      <c r="BM617" s="17"/>
      <c r="BN617" s="17"/>
      <c r="BO617" s="17" t="s">
        <v>4350</v>
      </c>
      <c r="BP617" s="17"/>
      <c r="BQ617" s="17"/>
      <c r="BR617" s="17"/>
      <c r="BS617" s="17" t="s">
        <v>127</v>
      </c>
      <c r="BT617" s="17"/>
      <c r="BU617" s="17" t="s">
        <v>129</v>
      </c>
      <c r="BV617" s="17"/>
      <c r="BW617" s="17"/>
      <c r="BX617" s="13" t="s">
        <v>4351</v>
      </c>
      <c r="DA617" s="13" t="s">
        <v>10348</v>
      </c>
      <c r="DB617" s="13" t="s">
        <v>10348</v>
      </c>
    </row>
    <row r="618" spans="1:106" s="13" customFormat="1" ht="12.75" customHeight="1" x14ac:dyDescent="0.2">
      <c r="A618" s="13" t="s">
        <v>102</v>
      </c>
      <c r="B618" s="13" t="s">
        <v>103</v>
      </c>
      <c r="D618" s="13" t="s">
        <v>4273</v>
      </c>
      <c r="E618" s="13" t="s">
        <v>471</v>
      </c>
      <c r="F618" s="13" t="s">
        <v>4273</v>
      </c>
      <c r="H618" s="13" t="s">
        <v>7712</v>
      </c>
      <c r="J618" s="13" t="s">
        <v>106</v>
      </c>
      <c r="W618" s="13">
        <v>385</v>
      </c>
      <c r="X618" s="13">
        <v>385</v>
      </c>
      <c r="Y618" s="13" t="s">
        <v>107</v>
      </c>
      <c r="Z618" s="13" t="s">
        <v>108</v>
      </c>
      <c r="AA618" s="36" t="s">
        <v>107</v>
      </c>
      <c r="AB618" s="13" t="s">
        <v>4388</v>
      </c>
      <c r="AC618" s="13" t="s">
        <v>4388</v>
      </c>
      <c r="AD618" s="13" t="s">
        <v>4388</v>
      </c>
      <c r="AE618" s="35" t="s">
        <v>112</v>
      </c>
      <c r="AF618" s="13" t="s">
        <v>4388</v>
      </c>
      <c r="AG618" s="32" t="s">
        <v>4388</v>
      </c>
      <c r="AH618" s="39" t="s">
        <v>4389</v>
      </c>
      <c r="AL618" s="13" t="s">
        <v>4390</v>
      </c>
      <c r="AN618" s="13">
        <v>329</v>
      </c>
      <c r="AO618" s="13" t="s">
        <v>4391</v>
      </c>
      <c r="AQ618" s="13" t="s">
        <v>4388</v>
      </c>
      <c r="AR618" s="13" t="s">
        <v>4388</v>
      </c>
      <c r="AS618" s="13" t="s">
        <v>116</v>
      </c>
      <c r="AT618" s="13" t="s">
        <v>4392</v>
      </c>
      <c r="AU618" s="13" t="s">
        <v>4393</v>
      </c>
      <c r="AV618" s="13" t="s">
        <v>1127</v>
      </c>
      <c r="AW618" s="26"/>
      <c r="AX618" s="26"/>
      <c r="AY618" s="17" t="s">
        <v>4394</v>
      </c>
      <c r="AZ618" s="13" t="s">
        <v>4395</v>
      </c>
      <c r="BA618" s="13" t="s">
        <v>4395</v>
      </c>
      <c r="BB618" s="13" t="s">
        <v>4396</v>
      </c>
      <c r="BC618" s="13" t="s">
        <v>4396</v>
      </c>
      <c r="BD618" s="13">
        <f t="shared" si="22"/>
        <v>44</v>
      </c>
      <c r="BE618" s="17" t="s">
        <v>2453</v>
      </c>
      <c r="BF618" s="17" t="s">
        <v>1133</v>
      </c>
      <c r="BG618" s="17" t="s">
        <v>4397</v>
      </c>
      <c r="BH618" s="17"/>
      <c r="BI618" s="17"/>
      <c r="BJ618" s="17" t="s">
        <v>4398</v>
      </c>
      <c r="BK618" s="17"/>
      <c r="BL618" s="17"/>
      <c r="BM618" s="17"/>
      <c r="BN618" s="17" t="s">
        <v>1163</v>
      </c>
      <c r="BO618" s="17" t="s">
        <v>4364</v>
      </c>
      <c r="BP618" s="17"/>
      <c r="BQ618" s="17"/>
      <c r="BR618" s="17"/>
      <c r="BS618" s="17" t="s">
        <v>127</v>
      </c>
      <c r="BT618" s="17"/>
      <c r="BU618" s="17" t="s">
        <v>129</v>
      </c>
      <c r="BV618" s="17"/>
      <c r="BW618" s="17"/>
      <c r="BX618" s="13" t="s">
        <v>4399</v>
      </c>
      <c r="DA618" s="13" t="s">
        <v>10348</v>
      </c>
      <c r="DB618" s="13" t="s">
        <v>10348</v>
      </c>
    </row>
    <row r="619" spans="1:106" s="13" customFormat="1" ht="12.75" customHeight="1" x14ac:dyDescent="0.2">
      <c r="A619" s="13" t="s">
        <v>102</v>
      </c>
      <c r="B619" s="13" t="s">
        <v>103</v>
      </c>
      <c r="D619" s="13" t="s">
        <v>4273</v>
      </c>
      <c r="E619" s="13" t="s">
        <v>471</v>
      </c>
      <c r="F619" s="13" t="s">
        <v>4273</v>
      </c>
      <c r="H619" s="13" t="s">
        <v>7712</v>
      </c>
      <c r="J619" s="13" t="s">
        <v>106</v>
      </c>
      <c r="W619" s="13">
        <v>386</v>
      </c>
      <c r="X619" s="13">
        <v>386</v>
      </c>
      <c r="Y619" s="13" t="s">
        <v>107</v>
      </c>
      <c r="Z619" s="13" t="s">
        <v>108</v>
      </c>
      <c r="AA619" s="36" t="s">
        <v>107</v>
      </c>
      <c r="AB619" s="13" t="s">
        <v>4400</v>
      </c>
      <c r="AC619" s="13" t="s">
        <v>4400</v>
      </c>
      <c r="AD619" s="13" t="s">
        <v>4400</v>
      </c>
      <c r="AE619" s="35" t="s">
        <v>112</v>
      </c>
      <c r="AF619" s="13" t="s">
        <v>4400</v>
      </c>
      <c r="AG619" s="32" t="s">
        <v>4400</v>
      </c>
      <c r="AH619" s="39" t="s">
        <v>4401</v>
      </c>
      <c r="AL619" s="13" t="s">
        <v>4402</v>
      </c>
      <c r="AN619" s="13">
        <v>329</v>
      </c>
      <c r="AO619" s="13" t="s">
        <v>4403</v>
      </c>
      <c r="AQ619" s="13" t="s">
        <v>4400</v>
      </c>
      <c r="AR619" s="13" t="s">
        <v>4400</v>
      </c>
      <c r="AS619" s="13" t="s">
        <v>116</v>
      </c>
      <c r="AT619" s="13" t="s">
        <v>4404</v>
      </c>
      <c r="AU619" s="13" t="s">
        <v>4393</v>
      </c>
      <c r="AV619" s="13" t="s">
        <v>1127</v>
      </c>
      <c r="AW619" s="26"/>
      <c r="AX619" s="26"/>
      <c r="AY619" s="17" t="s">
        <v>4405</v>
      </c>
      <c r="AZ619" s="13" t="s">
        <v>4406</v>
      </c>
      <c r="BA619" s="13" t="s">
        <v>4406</v>
      </c>
      <c r="BB619" s="13" t="s">
        <v>4407</v>
      </c>
      <c r="BC619" s="13" t="s">
        <v>4407</v>
      </c>
      <c r="BD619" s="13">
        <f t="shared" si="22"/>
        <v>43</v>
      </c>
      <c r="BE619" s="17" t="s">
        <v>2453</v>
      </c>
      <c r="BF619" s="17" t="s">
        <v>1133</v>
      </c>
      <c r="BG619" s="17" t="s">
        <v>4397</v>
      </c>
      <c r="BH619" s="17"/>
      <c r="BI619" s="17"/>
      <c r="BJ619" s="17" t="s">
        <v>2778</v>
      </c>
      <c r="BK619" s="17"/>
      <c r="BL619" s="17"/>
      <c r="BM619" s="17"/>
      <c r="BN619" s="17" t="s">
        <v>1163</v>
      </c>
      <c r="BO619" s="17" t="s">
        <v>4364</v>
      </c>
      <c r="BP619" s="17"/>
      <c r="BQ619" s="17"/>
      <c r="BR619" s="17"/>
      <c r="BS619" s="17" t="s">
        <v>127</v>
      </c>
      <c r="BT619" s="17"/>
      <c r="BU619" s="17" t="s">
        <v>129</v>
      </c>
      <c r="BV619" s="17"/>
      <c r="BW619" s="17"/>
      <c r="BX619" s="13" t="s">
        <v>4408</v>
      </c>
      <c r="DA619" s="13" t="s">
        <v>10348</v>
      </c>
      <c r="DB619" s="13" t="s">
        <v>10348</v>
      </c>
    </row>
    <row r="620" spans="1:106" s="13" customFormat="1" ht="12.75" customHeight="1" x14ac:dyDescent="0.2">
      <c r="A620" s="13" t="s">
        <v>102</v>
      </c>
      <c r="B620" s="13" t="s">
        <v>103</v>
      </c>
      <c r="D620" s="13" t="s">
        <v>4273</v>
      </c>
      <c r="E620" s="13" t="s">
        <v>471</v>
      </c>
      <c r="F620" s="13" t="s">
        <v>4273</v>
      </c>
      <c r="H620" s="13" t="s">
        <v>7712</v>
      </c>
      <c r="J620" s="13" t="s">
        <v>106</v>
      </c>
      <c r="W620" s="13">
        <v>387</v>
      </c>
      <c r="X620" s="13">
        <v>387</v>
      </c>
      <c r="Y620" s="13" t="s">
        <v>107</v>
      </c>
      <c r="Z620" s="13" t="s">
        <v>108</v>
      </c>
      <c r="AA620" s="36" t="s">
        <v>107</v>
      </c>
      <c r="AB620" s="13" t="s">
        <v>4409</v>
      </c>
      <c r="AC620" s="13" t="s">
        <v>4409</v>
      </c>
      <c r="AD620" s="13" t="s">
        <v>4409</v>
      </c>
      <c r="AE620" s="35" t="s">
        <v>112</v>
      </c>
      <c r="AF620" s="13" t="s">
        <v>4409</v>
      </c>
      <c r="AG620" s="32" t="s">
        <v>4409</v>
      </c>
      <c r="AH620" s="39" t="s">
        <v>4410</v>
      </c>
      <c r="AL620" s="13" t="s">
        <v>4411</v>
      </c>
      <c r="AN620" s="13">
        <v>329</v>
      </c>
      <c r="AO620" s="13" t="s">
        <v>4412</v>
      </c>
      <c r="AQ620" s="13" t="s">
        <v>4409</v>
      </c>
      <c r="AR620" s="13" t="s">
        <v>4409</v>
      </c>
      <c r="AS620" s="13" t="s">
        <v>116</v>
      </c>
      <c r="AT620" s="13" t="s">
        <v>4413</v>
      </c>
      <c r="AU620" s="13" t="s">
        <v>4393</v>
      </c>
      <c r="AV620" s="13" t="s">
        <v>1127</v>
      </c>
      <c r="AW620" s="26"/>
      <c r="AX620" s="26"/>
      <c r="AY620" s="17" t="s">
        <v>4414</v>
      </c>
      <c r="AZ620" s="13" t="s">
        <v>4415</v>
      </c>
      <c r="BA620" s="13" t="s">
        <v>4415</v>
      </c>
      <c r="BB620" s="13" t="s">
        <v>4416</v>
      </c>
      <c r="BC620" s="13" t="s">
        <v>4416</v>
      </c>
      <c r="BD620" s="13">
        <f t="shared" si="22"/>
        <v>44</v>
      </c>
      <c r="BE620" s="17" t="s">
        <v>2453</v>
      </c>
      <c r="BF620" s="17" t="s">
        <v>1133</v>
      </c>
      <c r="BG620" s="17" t="s">
        <v>4397</v>
      </c>
      <c r="BH620" s="17"/>
      <c r="BI620" s="17"/>
      <c r="BJ620" s="17" t="s">
        <v>4417</v>
      </c>
      <c r="BK620" s="17"/>
      <c r="BL620" s="17"/>
      <c r="BM620" s="17"/>
      <c r="BN620" s="17" t="s">
        <v>1163</v>
      </c>
      <c r="BO620" s="17" t="s">
        <v>4364</v>
      </c>
      <c r="BP620" s="17"/>
      <c r="BQ620" s="17"/>
      <c r="BR620" s="17"/>
      <c r="BS620" s="17" t="s">
        <v>127</v>
      </c>
      <c r="BT620" s="17"/>
      <c r="BU620" s="17" t="s">
        <v>129</v>
      </c>
      <c r="BV620" s="17"/>
      <c r="BW620" s="17"/>
      <c r="BX620" s="13" t="s">
        <v>4418</v>
      </c>
      <c r="DA620" s="13" t="s">
        <v>10348</v>
      </c>
      <c r="DB620" s="13" t="s">
        <v>10348</v>
      </c>
    </row>
    <row r="621" spans="1:106" s="13" customFormat="1" ht="12.75" customHeight="1" x14ac:dyDescent="0.2">
      <c r="A621" s="13" t="s">
        <v>102</v>
      </c>
      <c r="B621" s="13" t="s">
        <v>103</v>
      </c>
      <c r="D621" s="13" t="s">
        <v>4273</v>
      </c>
      <c r="E621" s="13" t="s">
        <v>471</v>
      </c>
      <c r="F621" s="13" t="s">
        <v>4273</v>
      </c>
      <c r="H621" s="13" t="s">
        <v>7712</v>
      </c>
      <c r="J621" s="13" t="s">
        <v>106</v>
      </c>
      <c r="W621" s="13">
        <v>436</v>
      </c>
      <c r="X621" s="13">
        <v>436</v>
      </c>
      <c r="Y621" s="13" t="s">
        <v>107</v>
      </c>
      <c r="Z621" s="13" t="s">
        <v>108</v>
      </c>
      <c r="AA621" s="36" t="s">
        <v>107</v>
      </c>
      <c r="AB621" s="13" t="s">
        <v>4939</v>
      </c>
      <c r="AC621" s="13" t="s">
        <v>4939</v>
      </c>
      <c r="AD621" s="13" t="s">
        <v>4939</v>
      </c>
      <c r="AE621" s="35" t="s">
        <v>112</v>
      </c>
      <c r="AF621" s="13" t="s">
        <v>4939</v>
      </c>
      <c r="AG621" s="32" t="s">
        <v>4939</v>
      </c>
      <c r="AH621" s="13" t="s">
        <v>4940</v>
      </c>
      <c r="AL621" s="13" t="s">
        <v>4809</v>
      </c>
      <c r="AN621" s="13">
        <v>329</v>
      </c>
      <c r="AO621" s="13" t="s">
        <v>4941</v>
      </c>
      <c r="AQ621" s="13" t="s">
        <v>4939</v>
      </c>
      <c r="AR621" s="13" t="s">
        <v>4939</v>
      </c>
      <c r="AS621" s="13" t="s">
        <v>116</v>
      </c>
      <c r="AT621" s="13" t="s">
        <v>4942</v>
      </c>
      <c r="AU621" s="13" t="s">
        <v>4943</v>
      </c>
      <c r="AV621" s="13" t="s">
        <v>1127</v>
      </c>
      <c r="AW621" s="26"/>
      <c r="AX621" s="26"/>
      <c r="AY621" s="17" t="s">
        <v>4944</v>
      </c>
      <c r="AZ621" s="13" t="s">
        <v>4945</v>
      </c>
      <c r="BA621" s="13" t="s">
        <v>4945</v>
      </c>
      <c r="BB621" s="13" t="s">
        <v>4946</v>
      </c>
      <c r="BC621" s="13" t="s">
        <v>4946</v>
      </c>
      <c r="BD621" s="13">
        <f t="shared" si="22"/>
        <v>42</v>
      </c>
      <c r="BE621" s="17" t="s">
        <v>2453</v>
      </c>
      <c r="BF621" s="17" t="s">
        <v>1133</v>
      </c>
      <c r="BG621" s="17" t="s">
        <v>4463</v>
      </c>
      <c r="BH621" s="17"/>
      <c r="BI621" s="17"/>
      <c r="BJ621" s="17" t="s">
        <v>2517</v>
      </c>
      <c r="BK621" s="17"/>
      <c r="BL621" s="17"/>
      <c r="BM621" s="17"/>
      <c r="BN621" s="17"/>
      <c r="BO621" s="17" t="s">
        <v>4364</v>
      </c>
      <c r="BP621" s="17"/>
      <c r="BQ621" s="17"/>
      <c r="BR621" s="17"/>
      <c r="BS621" s="17" t="s">
        <v>127</v>
      </c>
      <c r="BT621" s="17"/>
      <c r="BU621" s="17" t="s">
        <v>129</v>
      </c>
      <c r="BV621" s="17"/>
      <c r="BW621" s="17"/>
      <c r="BX621" s="13" t="s">
        <v>4947</v>
      </c>
      <c r="DA621" s="13" t="s">
        <v>10348</v>
      </c>
      <c r="DB621" s="13" t="s">
        <v>10348</v>
      </c>
    </row>
    <row r="622" spans="1:106" s="13" customFormat="1" ht="12.75" customHeight="1" x14ac:dyDescent="0.2">
      <c r="A622" s="13" t="s">
        <v>102</v>
      </c>
      <c r="B622" s="13" t="s">
        <v>103</v>
      </c>
      <c r="D622" s="13" t="s">
        <v>5212</v>
      </c>
      <c r="E622" s="13" t="s">
        <v>471</v>
      </c>
      <c r="F622" s="13" t="s">
        <v>5212</v>
      </c>
      <c r="G622" s="13" t="s">
        <v>229</v>
      </c>
      <c r="H622" s="13" t="s">
        <v>7712</v>
      </c>
      <c r="J622" s="13" t="s">
        <v>106</v>
      </c>
      <c r="W622" s="13">
        <v>472</v>
      </c>
      <c r="X622" s="13">
        <v>472</v>
      </c>
      <c r="Y622" s="13" t="s">
        <v>107</v>
      </c>
      <c r="Z622" s="13" t="s">
        <v>108</v>
      </c>
      <c r="AA622" s="36" t="s">
        <v>107</v>
      </c>
      <c r="AB622" s="13" t="s">
        <v>5290</v>
      </c>
      <c r="AC622" s="13" t="s">
        <v>5290</v>
      </c>
      <c r="AD622" s="13" t="s">
        <v>5290</v>
      </c>
      <c r="AE622" s="35" t="s">
        <v>112</v>
      </c>
      <c r="AF622" s="13" t="s">
        <v>5290</v>
      </c>
      <c r="AG622" s="13" t="s">
        <v>5290</v>
      </c>
      <c r="AH622" s="13" t="s">
        <v>5291</v>
      </c>
      <c r="AL622" s="13" t="s">
        <v>5292</v>
      </c>
      <c r="AN622" s="13">
        <v>329</v>
      </c>
      <c r="AO622" s="13" t="s">
        <v>5293</v>
      </c>
      <c r="AQ622" s="13" t="s">
        <v>5290</v>
      </c>
      <c r="AR622" s="13" t="s">
        <v>5290</v>
      </c>
      <c r="AS622" s="13" t="s">
        <v>116</v>
      </c>
      <c r="AT622" s="13" t="s">
        <v>5294</v>
      </c>
      <c r="AU622" s="13" t="s">
        <v>5294</v>
      </c>
      <c r="AV622" s="13" t="s">
        <v>5295</v>
      </c>
      <c r="AW622" s="40" t="s">
        <v>5296</v>
      </c>
      <c r="AX622" s="40" t="s">
        <v>5297</v>
      </c>
      <c r="AY622" s="13" t="s">
        <v>5294</v>
      </c>
      <c r="AZ622" s="13" t="s">
        <v>5298</v>
      </c>
      <c r="BA622" s="13" t="s">
        <v>5298</v>
      </c>
      <c r="BB622" s="13" t="s">
        <v>5299</v>
      </c>
      <c r="BC622" s="13" t="s">
        <v>5299</v>
      </c>
      <c r="BD622" s="13">
        <f t="shared" si="22"/>
        <v>23</v>
      </c>
      <c r="BE622" s="17" t="s">
        <v>5221</v>
      </c>
      <c r="BF622" s="17" t="s">
        <v>5300</v>
      </c>
      <c r="BG622" s="17"/>
      <c r="BH622" s="17"/>
      <c r="BI622" s="17"/>
      <c r="BJ622" s="17"/>
      <c r="BK622" s="17"/>
      <c r="BL622" s="17"/>
      <c r="BM622" s="17"/>
      <c r="BN622" s="17"/>
      <c r="BO622" s="17" t="s">
        <v>4464</v>
      </c>
      <c r="BP622" s="17"/>
      <c r="BQ622" s="17"/>
      <c r="BR622" s="17"/>
      <c r="BS622" s="17" t="s">
        <v>127</v>
      </c>
      <c r="BT622" s="17"/>
      <c r="BU622" s="17" t="s">
        <v>129</v>
      </c>
      <c r="BV622" s="17"/>
      <c r="BW622" s="17"/>
      <c r="BX622" s="25" t="s">
        <v>5301</v>
      </c>
      <c r="DA622" s="13" t="s">
        <v>10348</v>
      </c>
      <c r="DB622" s="13" t="s">
        <v>10348</v>
      </c>
    </row>
    <row r="623" spans="1:106" s="13" customFormat="1" ht="12.75" customHeight="1" x14ac:dyDescent="0.2">
      <c r="A623" s="13" t="s">
        <v>102</v>
      </c>
      <c r="B623" s="13" t="s">
        <v>103</v>
      </c>
      <c r="D623" s="13" t="s">
        <v>5212</v>
      </c>
      <c r="E623" s="13" t="s">
        <v>471</v>
      </c>
      <c r="F623" s="13" t="s">
        <v>5212</v>
      </c>
      <c r="G623" s="13" t="s">
        <v>229</v>
      </c>
      <c r="H623" s="13" t="s">
        <v>7712</v>
      </c>
      <c r="J623" s="13" t="s">
        <v>106</v>
      </c>
      <c r="W623" s="13">
        <v>473</v>
      </c>
      <c r="X623" s="13">
        <v>473</v>
      </c>
      <c r="Y623" s="13" t="s">
        <v>107</v>
      </c>
      <c r="Z623" s="13" t="s">
        <v>108</v>
      </c>
      <c r="AA623" s="36" t="s">
        <v>107</v>
      </c>
      <c r="AB623" s="13" t="s">
        <v>5302</v>
      </c>
      <c r="AC623" s="13" t="s">
        <v>5302</v>
      </c>
      <c r="AD623" s="13" t="s">
        <v>5302</v>
      </c>
      <c r="AE623" s="35" t="s">
        <v>112</v>
      </c>
      <c r="AF623" s="13" t="s">
        <v>5302</v>
      </c>
      <c r="AG623" s="13" t="s">
        <v>5302</v>
      </c>
      <c r="AH623" s="13" t="s">
        <v>5303</v>
      </c>
      <c r="AL623" s="13" t="s">
        <v>5269</v>
      </c>
      <c r="AN623" s="13">
        <v>329</v>
      </c>
      <c r="AO623" s="13" t="s">
        <v>5304</v>
      </c>
      <c r="AQ623" s="13" t="s">
        <v>5302</v>
      </c>
      <c r="AR623" s="13" t="s">
        <v>5302</v>
      </c>
      <c r="AS623" s="13" t="s">
        <v>116</v>
      </c>
      <c r="AT623" s="13" t="s">
        <v>5271</v>
      </c>
      <c r="AU623" s="13" t="s">
        <v>5246</v>
      </c>
      <c r="AV623" s="13" t="s">
        <v>1127</v>
      </c>
      <c r="AW623" s="26" t="s">
        <v>2447</v>
      </c>
      <c r="AX623" s="26" t="s">
        <v>2448</v>
      </c>
      <c r="AY623" s="13" t="s">
        <v>5271</v>
      </c>
      <c r="AZ623" s="13" t="s">
        <v>5272</v>
      </c>
      <c r="BA623" s="13" t="s">
        <v>5305</v>
      </c>
      <c r="BB623" s="13" t="s">
        <v>5273</v>
      </c>
      <c r="BC623" s="13" t="s">
        <v>5306</v>
      </c>
      <c r="BD623" s="13">
        <f t="shared" si="22"/>
        <v>59</v>
      </c>
      <c r="BE623" s="17" t="s">
        <v>2453</v>
      </c>
      <c r="BF623" s="17" t="s">
        <v>5221</v>
      </c>
      <c r="BG623" s="17" t="s">
        <v>5222</v>
      </c>
      <c r="BH623" s="17"/>
      <c r="BI623" s="17"/>
      <c r="BJ623" s="17" t="s">
        <v>4451</v>
      </c>
      <c r="BK623" s="17"/>
      <c r="BL623" s="17"/>
      <c r="BM623" s="17"/>
      <c r="BN623" s="17"/>
      <c r="BO623" s="17" t="s">
        <v>4464</v>
      </c>
      <c r="BP623" s="17"/>
      <c r="BQ623" s="17"/>
      <c r="BR623" s="17"/>
      <c r="BS623" s="17" t="s">
        <v>127</v>
      </c>
      <c r="BT623" s="17"/>
      <c r="BU623" s="17" t="s">
        <v>129</v>
      </c>
      <c r="BV623" s="17"/>
      <c r="BW623" s="17"/>
      <c r="BX623" s="25" t="s">
        <v>5307</v>
      </c>
      <c r="CA623" s="13" t="s">
        <v>5308</v>
      </c>
      <c r="DA623" s="13" t="s">
        <v>10348</v>
      </c>
      <c r="DB623" s="13" t="s">
        <v>10348</v>
      </c>
    </row>
    <row r="624" spans="1:106" s="13" customFormat="1" ht="12.75" customHeight="1" x14ac:dyDescent="0.2">
      <c r="A624" s="13" t="s">
        <v>102</v>
      </c>
      <c r="B624" s="13" t="s">
        <v>103</v>
      </c>
      <c r="D624" s="13" t="s">
        <v>5212</v>
      </c>
      <c r="E624" s="13" t="s">
        <v>228</v>
      </c>
      <c r="F624" s="13" t="s">
        <v>5212</v>
      </c>
      <c r="G624" s="13" t="s">
        <v>229</v>
      </c>
      <c r="H624" s="13" t="s">
        <v>7712</v>
      </c>
      <c r="J624" s="13" t="s">
        <v>106</v>
      </c>
      <c r="W624" s="13">
        <v>508</v>
      </c>
      <c r="X624" s="13">
        <v>508</v>
      </c>
      <c r="Y624" s="13" t="s">
        <v>107</v>
      </c>
      <c r="Z624" s="13" t="s">
        <v>108</v>
      </c>
      <c r="AA624" s="36" t="s">
        <v>107</v>
      </c>
      <c r="AB624" s="13" t="s">
        <v>5585</v>
      </c>
      <c r="AC624" s="13" t="s">
        <v>5585</v>
      </c>
      <c r="AD624" s="13" t="s">
        <v>5585</v>
      </c>
      <c r="AE624" s="35" t="s">
        <v>112</v>
      </c>
      <c r="AF624" s="13" t="s">
        <v>5585</v>
      </c>
      <c r="AG624" s="13" t="s">
        <v>5585</v>
      </c>
      <c r="AH624" s="13" t="s">
        <v>5586</v>
      </c>
      <c r="AL624" s="13" t="s">
        <v>5587</v>
      </c>
      <c r="AN624" s="13">
        <v>329</v>
      </c>
      <c r="AO624" s="13" t="s">
        <v>5588</v>
      </c>
      <c r="AQ624" s="13" t="s">
        <v>5585</v>
      </c>
      <c r="AR624" s="13" t="s">
        <v>5585</v>
      </c>
      <c r="AS624" s="13" t="s">
        <v>116</v>
      </c>
      <c r="AT624" s="13" t="s">
        <v>5589</v>
      </c>
      <c r="AU624" s="13" t="s">
        <v>5569</v>
      </c>
      <c r="AV624" s="13" t="s">
        <v>5525</v>
      </c>
      <c r="AY624" s="13" t="s">
        <v>5590</v>
      </c>
      <c r="AZ624" s="13" t="s">
        <v>5591</v>
      </c>
      <c r="BA624" s="13" t="s">
        <v>5591</v>
      </c>
      <c r="BB624" s="13" t="s">
        <v>5592</v>
      </c>
      <c r="BC624" s="13" t="s">
        <v>5592</v>
      </c>
      <c r="BD624" s="13">
        <f t="shared" si="22"/>
        <v>47</v>
      </c>
      <c r="BE624" s="17" t="s">
        <v>5528</v>
      </c>
      <c r="BF624" s="17"/>
      <c r="BG624" s="17"/>
      <c r="BH624" s="17"/>
      <c r="BI624" s="17"/>
      <c r="BJ624" s="17" t="s">
        <v>5552</v>
      </c>
      <c r="BK624" s="17"/>
      <c r="BL624" s="17"/>
      <c r="BM624" s="17"/>
      <c r="BN624" s="17" t="s">
        <v>5574</v>
      </c>
      <c r="BO624" s="17"/>
      <c r="BP624" s="17"/>
      <c r="BQ624" s="17"/>
      <c r="BR624" s="17"/>
      <c r="BS624" s="17" t="s">
        <v>127</v>
      </c>
      <c r="BT624" s="17"/>
      <c r="BU624" s="17" t="s">
        <v>129</v>
      </c>
      <c r="BV624" s="17"/>
      <c r="BW624" s="17" t="s">
        <v>4364</v>
      </c>
      <c r="BX624" s="25" t="s">
        <v>5593</v>
      </c>
      <c r="DA624" s="13" t="s">
        <v>10348</v>
      </c>
      <c r="DB624" s="13" t="s">
        <v>10348</v>
      </c>
    </row>
    <row r="625" spans="1:106" s="13" customFormat="1" ht="12.75" customHeight="1" x14ac:dyDescent="0.2">
      <c r="A625" s="13" t="s">
        <v>102</v>
      </c>
      <c r="B625" s="13" t="s">
        <v>103</v>
      </c>
      <c r="D625" s="13" t="s">
        <v>5212</v>
      </c>
      <c r="E625" s="13" t="s">
        <v>228</v>
      </c>
      <c r="F625" s="13" t="s">
        <v>5212</v>
      </c>
      <c r="G625" s="13" t="s">
        <v>229</v>
      </c>
      <c r="H625" s="13" t="s">
        <v>7712</v>
      </c>
      <c r="J625" s="13" t="s">
        <v>106</v>
      </c>
      <c r="W625" s="13">
        <v>509</v>
      </c>
      <c r="X625" s="13">
        <v>509</v>
      </c>
      <c r="Y625" s="13" t="s">
        <v>107</v>
      </c>
      <c r="Z625" s="13" t="s">
        <v>108</v>
      </c>
      <c r="AA625" s="36" t="s">
        <v>107</v>
      </c>
      <c r="AB625" s="13" t="s">
        <v>5594</v>
      </c>
      <c r="AC625" s="13" t="s">
        <v>5594</v>
      </c>
      <c r="AD625" s="13" t="s">
        <v>5594</v>
      </c>
      <c r="AE625" s="35" t="s">
        <v>112</v>
      </c>
      <c r="AF625" s="13" t="s">
        <v>5594</v>
      </c>
      <c r="AG625" s="13" t="s">
        <v>5594</v>
      </c>
      <c r="AH625" s="13" t="s">
        <v>5595</v>
      </c>
      <c r="AL625" s="13" t="s">
        <v>5566</v>
      </c>
      <c r="AN625" s="13">
        <v>329</v>
      </c>
      <c r="AO625" s="13" t="s">
        <v>5596</v>
      </c>
      <c r="AQ625" s="13" t="s">
        <v>5594</v>
      </c>
      <c r="AR625" s="13" t="s">
        <v>5594</v>
      </c>
      <c r="AS625" s="13" t="s">
        <v>116</v>
      </c>
      <c r="AT625" s="13" t="s">
        <v>5568</v>
      </c>
      <c r="AU625" s="13" t="s">
        <v>5569</v>
      </c>
      <c r="AV625" s="13" t="s">
        <v>5525</v>
      </c>
      <c r="AW625" s="26"/>
      <c r="AX625" s="26"/>
      <c r="AY625" s="13" t="s">
        <v>5590</v>
      </c>
      <c r="AZ625" s="13" t="s">
        <v>5597</v>
      </c>
      <c r="BA625" s="13" t="s">
        <v>5597</v>
      </c>
      <c r="BB625" s="13" t="s">
        <v>5598</v>
      </c>
      <c r="BC625" s="13" t="s">
        <v>5598</v>
      </c>
      <c r="BD625" s="13">
        <f t="shared" si="22"/>
        <v>47</v>
      </c>
      <c r="BE625" s="17" t="s">
        <v>5528</v>
      </c>
      <c r="BF625" s="17"/>
      <c r="BG625" s="17"/>
      <c r="BH625" s="17"/>
      <c r="BI625" s="17"/>
      <c r="BJ625" s="17" t="s">
        <v>5542</v>
      </c>
      <c r="BK625" s="17"/>
      <c r="BL625" s="17"/>
      <c r="BM625" s="17"/>
      <c r="BN625" s="17" t="s">
        <v>5574</v>
      </c>
      <c r="BO625" s="17"/>
      <c r="BP625" s="17"/>
      <c r="BQ625" s="17"/>
      <c r="BR625" s="17"/>
      <c r="BS625" s="17" t="s">
        <v>127</v>
      </c>
      <c r="BT625" s="17"/>
      <c r="BU625" s="17" t="s">
        <v>129</v>
      </c>
      <c r="BV625" s="17"/>
      <c r="BW625" s="17" t="s">
        <v>4364</v>
      </c>
      <c r="BX625" s="25" t="s">
        <v>5599</v>
      </c>
      <c r="DA625" s="13" t="s">
        <v>10348</v>
      </c>
      <c r="DB625" s="13" t="s">
        <v>10348</v>
      </c>
    </row>
    <row r="626" spans="1:106" s="13" customFormat="1" ht="12.75" customHeight="1" x14ac:dyDescent="0.2">
      <c r="A626" s="13" t="s">
        <v>102</v>
      </c>
      <c r="B626" s="13" t="s">
        <v>103</v>
      </c>
      <c r="D626" s="13" t="s">
        <v>5212</v>
      </c>
      <c r="E626" s="13" t="s">
        <v>471</v>
      </c>
      <c r="F626" s="13" t="s">
        <v>5212</v>
      </c>
      <c r="G626" s="13" t="s">
        <v>229</v>
      </c>
      <c r="H626" s="13" t="s">
        <v>7712</v>
      </c>
      <c r="J626" s="13" t="s">
        <v>106</v>
      </c>
      <c r="W626" s="13">
        <v>510</v>
      </c>
      <c r="X626" s="13">
        <v>510</v>
      </c>
      <c r="Y626" s="13" t="s">
        <v>107</v>
      </c>
      <c r="Z626" s="13" t="s">
        <v>108</v>
      </c>
      <c r="AA626" s="36" t="s">
        <v>107</v>
      </c>
      <c r="AB626" s="13" t="s">
        <v>5600</v>
      </c>
      <c r="AC626" s="13" t="s">
        <v>5600</v>
      </c>
      <c r="AD626" s="13" t="s">
        <v>5600</v>
      </c>
      <c r="AE626" s="35" t="s">
        <v>112</v>
      </c>
      <c r="AF626" s="13" t="s">
        <v>5600</v>
      </c>
      <c r="AG626" s="13" t="s">
        <v>5600</v>
      </c>
      <c r="AH626" s="13" t="s">
        <v>5601</v>
      </c>
      <c r="AL626" s="13" t="s">
        <v>5602</v>
      </c>
      <c r="AN626" s="13">
        <v>329</v>
      </c>
      <c r="AO626" s="13" t="s">
        <v>5603</v>
      </c>
      <c r="AQ626" s="13" t="s">
        <v>5600</v>
      </c>
      <c r="AR626" s="13" t="s">
        <v>5600</v>
      </c>
      <c r="AS626" s="13" t="s">
        <v>116</v>
      </c>
      <c r="AT626" s="13" t="s">
        <v>5604</v>
      </c>
      <c r="AU626" s="13" t="s">
        <v>5569</v>
      </c>
      <c r="AV626" s="13" t="s">
        <v>5525</v>
      </c>
      <c r="AW626" s="26"/>
      <c r="AX626" s="26"/>
      <c r="AY626" s="13" t="s">
        <v>5605</v>
      </c>
      <c r="AZ626" s="13" t="s">
        <v>5606</v>
      </c>
      <c r="BA626" s="13" t="s">
        <v>5606</v>
      </c>
      <c r="BB626" s="13" t="s">
        <v>5607</v>
      </c>
      <c r="BC626" s="13" t="s">
        <v>5607</v>
      </c>
      <c r="BD626" s="13">
        <f t="shared" si="22"/>
        <v>46</v>
      </c>
      <c r="BE626" s="17" t="s">
        <v>5573</v>
      </c>
      <c r="BF626" s="17"/>
      <c r="BG626" s="17"/>
      <c r="BH626" s="17"/>
      <c r="BI626" s="17"/>
      <c r="BJ626" s="17" t="s">
        <v>5562</v>
      </c>
      <c r="BK626" s="17"/>
      <c r="BL626" s="17"/>
      <c r="BM626" s="17"/>
      <c r="BN626" s="17" t="s">
        <v>5574</v>
      </c>
      <c r="BO626" s="17"/>
      <c r="BP626" s="17"/>
      <c r="BQ626" s="17"/>
      <c r="BR626" s="17"/>
      <c r="BS626" s="17" t="s">
        <v>127</v>
      </c>
      <c r="BT626" s="17"/>
      <c r="BU626" s="17" t="s">
        <v>129</v>
      </c>
      <c r="BV626" s="17"/>
      <c r="BW626" s="17"/>
      <c r="BX626" s="25" t="s">
        <v>5608</v>
      </c>
      <c r="DA626" s="13" t="s">
        <v>10348</v>
      </c>
      <c r="DB626" s="13" t="s">
        <v>10348</v>
      </c>
    </row>
    <row r="627" spans="1:106" s="13" customFormat="1" ht="12.75" customHeight="1" x14ac:dyDescent="0.2">
      <c r="A627" s="13" t="s">
        <v>102</v>
      </c>
      <c r="B627" s="13" t="s">
        <v>103</v>
      </c>
      <c r="D627" s="13" t="s">
        <v>5212</v>
      </c>
      <c r="E627" s="13" t="s">
        <v>471</v>
      </c>
      <c r="F627" s="13" t="s">
        <v>5212</v>
      </c>
      <c r="G627" s="13" t="s">
        <v>229</v>
      </c>
      <c r="H627" s="13" t="s">
        <v>7712</v>
      </c>
      <c r="J627" s="13" t="s">
        <v>106</v>
      </c>
      <c r="W627" s="13">
        <v>511</v>
      </c>
      <c r="X627" s="13">
        <v>511</v>
      </c>
      <c r="Y627" s="13" t="s">
        <v>107</v>
      </c>
      <c r="Z627" s="13" t="s">
        <v>108</v>
      </c>
      <c r="AA627" s="36" t="s">
        <v>107</v>
      </c>
      <c r="AB627" s="13" t="s">
        <v>5609</v>
      </c>
      <c r="AC627" s="13" t="s">
        <v>5609</v>
      </c>
      <c r="AD627" s="13" t="s">
        <v>5609</v>
      </c>
      <c r="AE627" s="35" t="s">
        <v>112</v>
      </c>
      <c r="AF627" s="13" t="s">
        <v>5609</v>
      </c>
      <c r="AG627" s="13" t="s">
        <v>5609</v>
      </c>
      <c r="AH627" s="13" t="s">
        <v>5610</v>
      </c>
      <c r="AL627" s="13" t="s">
        <v>5611</v>
      </c>
      <c r="AN627" s="13">
        <v>329</v>
      </c>
      <c r="AO627" s="13" t="s">
        <v>5612</v>
      </c>
      <c r="AQ627" s="13" t="s">
        <v>5609</v>
      </c>
      <c r="AR627" s="13" t="s">
        <v>5609</v>
      </c>
      <c r="AS627" s="13" t="s">
        <v>116</v>
      </c>
      <c r="AT627" s="13" t="s">
        <v>5611</v>
      </c>
      <c r="AU627" s="13" t="s">
        <v>5611</v>
      </c>
      <c r="AV627" s="13" t="s">
        <v>5525</v>
      </c>
      <c r="AW627" s="26"/>
      <c r="AX627" s="26"/>
      <c r="AY627" s="13" t="s">
        <v>5611</v>
      </c>
      <c r="AZ627" s="13" t="s">
        <v>5613</v>
      </c>
      <c r="BA627" s="13" t="s">
        <v>5613</v>
      </c>
      <c r="BB627" s="13" t="s">
        <v>5614</v>
      </c>
      <c r="BC627" s="13" t="s">
        <v>5614</v>
      </c>
      <c r="BD627" s="13">
        <f t="shared" si="22"/>
        <v>36</v>
      </c>
      <c r="BE627" s="17" t="s">
        <v>5615</v>
      </c>
      <c r="BF627" s="17"/>
      <c r="BG627" s="17"/>
      <c r="BH627" s="17"/>
      <c r="BI627" s="17"/>
      <c r="BJ627" s="17"/>
      <c r="BK627" s="17"/>
      <c r="BL627" s="17"/>
      <c r="BM627" s="17"/>
      <c r="BN627" s="17" t="s">
        <v>5574</v>
      </c>
      <c r="BO627" s="17"/>
      <c r="BP627" s="17"/>
      <c r="BQ627" s="17"/>
      <c r="BR627" s="17"/>
      <c r="BS627" s="17" t="s">
        <v>127</v>
      </c>
      <c r="BT627" s="17"/>
      <c r="BU627" s="17" t="s">
        <v>129</v>
      </c>
      <c r="BV627" s="17"/>
      <c r="BW627" s="17"/>
      <c r="BX627" s="25" t="s">
        <v>5616</v>
      </c>
      <c r="DA627" s="13" t="s">
        <v>10348</v>
      </c>
      <c r="DB627" s="13" t="s">
        <v>10348</v>
      </c>
    </row>
    <row r="628" spans="1:106" s="13" customFormat="1" ht="12.75" customHeight="1" x14ac:dyDescent="0.2">
      <c r="A628" s="13" t="s">
        <v>102</v>
      </c>
      <c r="B628" s="13" t="s">
        <v>103</v>
      </c>
      <c r="D628" s="13" t="s">
        <v>4273</v>
      </c>
      <c r="E628" s="13" t="s">
        <v>4274</v>
      </c>
      <c r="F628" s="13" t="s">
        <v>4273</v>
      </c>
      <c r="H628" s="13" t="s">
        <v>7712</v>
      </c>
      <c r="J628" s="13" t="s">
        <v>106</v>
      </c>
      <c r="W628" s="13">
        <v>519</v>
      </c>
      <c r="X628" s="13">
        <v>519</v>
      </c>
      <c r="Y628" s="13" t="s">
        <v>107</v>
      </c>
      <c r="Z628" s="13" t="s">
        <v>108</v>
      </c>
      <c r="AA628" s="36" t="s">
        <v>107</v>
      </c>
      <c r="AB628" s="13" t="s">
        <v>5675</v>
      </c>
      <c r="AC628" s="13" t="s">
        <v>5675</v>
      </c>
      <c r="AD628" s="13" t="s">
        <v>5675</v>
      </c>
      <c r="AE628" s="35" t="s">
        <v>112</v>
      </c>
      <c r="AF628" s="13" t="s">
        <v>5675</v>
      </c>
      <c r="AG628" s="32" t="s">
        <v>5675</v>
      </c>
      <c r="AH628" s="13" t="s">
        <v>5676</v>
      </c>
      <c r="AL628" s="13" t="s">
        <v>5677</v>
      </c>
      <c r="AN628" s="13">
        <v>329</v>
      </c>
      <c r="AO628" s="13" t="s">
        <v>5678</v>
      </c>
      <c r="AQ628" s="13" t="s">
        <v>5675</v>
      </c>
      <c r="AR628" s="13" t="s">
        <v>5675</v>
      </c>
      <c r="AS628" s="13" t="s">
        <v>116</v>
      </c>
      <c r="AT628" s="13" t="s">
        <v>5679</v>
      </c>
      <c r="AU628" s="13" t="s">
        <v>5680</v>
      </c>
      <c r="AV628" s="13" t="s">
        <v>5658</v>
      </c>
      <c r="AW628" s="26"/>
      <c r="AX628" s="26"/>
      <c r="AY628" s="17" t="s">
        <v>5681</v>
      </c>
      <c r="AZ628" s="13" t="s">
        <v>5682</v>
      </c>
      <c r="BA628" s="13" t="s">
        <v>5682</v>
      </c>
      <c r="BB628" s="13" t="s">
        <v>5683</v>
      </c>
      <c r="BC628" s="13" t="s">
        <v>5684</v>
      </c>
      <c r="BD628" s="13">
        <f t="shared" si="22"/>
        <v>48</v>
      </c>
      <c r="BE628" s="17" t="s">
        <v>5685</v>
      </c>
      <c r="BF628" s="17"/>
      <c r="BG628" s="17"/>
      <c r="BH628" s="17"/>
      <c r="BI628" s="17"/>
      <c r="BJ628" s="17" t="s">
        <v>5663</v>
      </c>
      <c r="BK628" s="17"/>
      <c r="BL628" s="17"/>
      <c r="BM628" s="17"/>
      <c r="BN628" s="17"/>
      <c r="BO628" s="17" t="s">
        <v>5686</v>
      </c>
      <c r="BP628" s="17"/>
      <c r="BQ628" s="17"/>
      <c r="BR628" s="17"/>
      <c r="BS628" s="17" t="s">
        <v>127</v>
      </c>
      <c r="BT628" s="17"/>
      <c r="BU628" s="17" t="s">
        <v>129</v>
      </c>
      <c r="BV628" s="17"/>
      <c r="BW628" s="17"/>
      <c r="BX628" s="13" t="s">
        <v>5687</v>
      </c>
      <c r="BY628" s="13" t="s">
        <v>4286</v>
      </c>
      <c r="CC628" s="13" t="s">
        <v>5665</v>
      </c>
      <c r="DA628" s="13" t="s">
        <v>10348</v>
      </c>
      <c r="DB628" s="13" t="s">
        <v>10348</v>
      </c>
    </row>
    <row r="629" spans="1:106" s="13" customFormat="1" ht="12.75" customHeight="1" x14ac:dyDescent="0.2">
      <c r="A629" s="13" t="s">
        <v>102</v>
      </c>
      <c r="B629" s="13" t="s">
        <v>103</v>
      </c>
      <c r="D629" s="13" t="s">
        <v>4273</v>
      </c>
      <c r="E629" s="13" t="s">
        <v>4274</v>
      </c>
      <c r="F629" s="13" t="s">
        <v>4273</v>
      </c>
      <c r="H629" s="13" t="s">
        <v>7712</v>
      </c>
      <c r="J629" s="13" t="s">
        <v>106</v>
      </c>
      <c r="W629" s="13">
        <v>520</v>
      </c>
      <c r="X629" s="13">
        <v>520</v>
      </c>
      <c r="Y629" s="13" t="s">
        <v>107</v>
      </c>
      <c r="Z629" s="13" t="s">
        <v>108</v>
      </c>
      <c r="AA629" s="36" t="s">
        <v>107</v>
      </c>
      <c r="AB629" s="13" t="s">
        <v>5688</v>
      </c>
      <c r="AC629" s="13" t="s">
        <v>5688</v>
      </c>
      <c r="AD629" s="13" t="s">
        <v>5688</v>
      </c>
      <c r="AE629" s="35" t="s">
        <v>112</v>
      </c>
      <c r="AF629" s="13" t="s">
        <v>5688</v>
      </c>
      <c r="AG629" s="32" t="s">
        <v>5688</v>
      </c>
      <c r="AH629" s="13" t="s">
        <v>5689</v>
      </c>
      <c r="AL629" s="13" t="s">
        <v>5690</v>
      </c>
      <c r="AN629" s="13">
        <v>329</v>
      </c>
      <c r="AO629" s="13" t="s">
        <v>5691</v>
      </c>
      <c r="AQ629" s="13" t="s">
        <v>5688</v>
      </c>
      <c r="AR629" s="13" t="s">
        <v>5688</v>
      </c>
      <c r="AS629" s="13" t="s">
        <v>116</v>
      </c>
      <c r="AT629" s="13" t="s">
        <v>5692</v>
      </c>
      <c r="AU629" s="13" t="s">
        <v>5680</v>
      </c>
      <c r="AV629" s="13" t="s">
        <v>5658</v>
      </c>
      <c r="AW629" s="26"/>
      <c r="AX629" s="26"/>
      <c r="AY629" s="17" t="s">
        <v>5693</v>
      </c>
      <c r="AZ629" s="13" t="s">
        <v>5694</v>
      </c>
      <c r="BA629" s="13" t="s">
        <v>5694</v>
      </c>
      <c r="BB629" s="13" t="s">
        <v>5695</v>
      </c>
      <c r="BC629" s="13" t="s">
        <v>5695</v>
      </c>
      <c r="BD629" s="13">
        <f t="shared" si="22"/>
        <v>51</v>
      </c>
      <c r="BE629" s="17" t="s">
        <v>5685</v>
      </c>
      <c r="BF629" s="17"/>
      <c r="BG629" s="17"/>
      <c r="BH629" s="17"/>
      <c r="BI629" s="17"/>
      <c r="BJ629" s="17" t="s">
        <v>5663</v>
      </c>
      <c r="BK629" s="17"/>
      <c r="BL629" s="17"/>
      <c r="BM629" s="17"/>
      <c r="BN629" s="17"/>
      <c r="BO629" s="17" t="s">
        <v>5696</v>
      </c>
      <c r="BP629" s="17"/>
      <c r="BQ629" s="17"/>
      <c r="BR629" s="17"/>
      <c r="BS629" s="17" t="s">
        <v>127</v>
      </c>
      <c r="BT629" s="17"/>
      <c r="BU629" s="17" t="s">
        <v>129</v>
      </c>
      <c r="BV629" s="17"/>
      <c r="BW629" s="17"/>
      <c r="BX629" s="13" t="s">
        <v>5697</v>
      </c>
      <c r="BY629" s="13" t="s">
        <v>4286</v>
      </c>
      <c r="CC629" s="13" t="s">
        <v>5665</v>
      </c>
      <c r="DA629" s="13" t="s">
        <v>10348</v>
      </c>
      <c r="DB629" s="13" t="s">
        <v>10348</v>
      </c>
    </row>
    <row r="630" spans="1:106" s="13" customFormat="1" ht="12.75" customHeight="1" x14ac:dyDescent="0.2">
      <c r="A630" s="13" t="s">
        <v>102</v>
      </c>
      <c r="B630" s="13" t="s">
        <v>103</v>
      </c>
      <c r="D630" s="13" t="s">
        <v>937</v>
      </c>
      <c r="E630" s="17" t="s">
        <v>228</v>
      </c>
      <c r="F630" s="13" t="s">
        <v>937</v>
      </c>
      <c r="G630" s="17" t="s">
        <v>229</v>
      </c>
      <c r="H630" s="13" t="s">
        <v>7712</v>
      </c>
      <c r="I630" s="17"/>
      <c r="J630" s="13" t="s">
        <v>106</v>
      </c>
      <c r="W630" s="13">
        <v>613</v>
      </c>
      <c r="X630" s="13">
        <v>613</v>
      </c>
      <c r="Y630" s="13" t="s">
        <v>107</v>
      </c>
      <c r="Z630" s="13" t="s">
        <v>108</v>
      </c>
      <c r="AA630" s="37" t="s">
        <v>107</v>
      </c>
      <c r="AB630" s="13" t="s">
        <v>6691</v>
      </c>
      <c r="AC630" s="13" t="s">
        <v>6691</v>
      </c>
      <c r="AD630" s="13" t="s">
        <v>6691</v>
      </c>
      <c r="AE630" s="22" t="s">
        <v>112</v>
      </c>
      <c r="AF630" s="13" t="s">
        <v>6691</v>
      </c>
      <c r="AG630" s="32" t="s">
        <v>6691</v>
      </c>
      <c r="AH630" s="13" t="s">
        <v>6692</v>
      </c>
      <c r="AL630" s="13" t="s">
        <v>6693</v>
      </c>
      <c r="AN630" s="13">
        <v>329</v>
      </c>
      <c r="AO630" s="13" t="s">
        <v>6694</v>
      </c>
      <c r="AQ630" s="13" t="s">
        <v>6691</v>
      </c>
      <c r="AR630" s="13" t="s">
        <v>6691</v>
      </c>
      <c r="AS630" s="13" t="s">
        <v>116</v>
      </c>
      <c r="AT630" s="13" t="s">
        <v>6695</v>
      </c>
      <c r="AU630" s="13" t="s">
        <v>6696</v>
      </c>
      <c r="AV630" s="13" t="s">
        <v>2204</v>
      </c>
      <c r="AW630" s="23" t="s">
        <v>1691</v>
      </c>
      <c r="AX630" s="23" t="s">
        <v>1692</v>
      </c>
      <c r="AY630" s="13" t="s">
        <v>6697</v>
      </c>
      <c r="AZ630" s="13" t="s">
        <v>6698</v>
      </c>
      <c r="BA630" s="13" t="s">
        <v>6698</v>
      </c>
      <c r="BB630" s="13" t="s">
        <v>6699</v>
      </c>
      <c r="BC630" s="13" t="s">
        <v>6700</v>
      </c>
      <c r="BD630" s="16">
        <f t="shared" si="22"/>
        <v>56</v>
      </c>
      <c r="BE630" s="13" t="s">
        <v>1697</v>
      </c>
      <c r="BF630" s="13" t="s">
        <v>951</v>
      </c>
      <c r="BG630" s="13" t="s">
        <v>6505</v>
      </c>
      <c r="BJ630" s="13" t="s">
        <v>6506</v>
      </c>
      <c r="BO630" s="13" t="s">
        <v>6701</v>
      </c>
      <c r="BS630" s="13" t="s">
        <v>127</v>
      </c>
      <c r="BT630" s="13" t="s">
        <v>6702</v>
      </c>
      <c r="BU630" s="13" t="s">
        <v>129</v>
      </c>
      <c r="BX630" s="13" t="s">
        <v>6703</v>
      </c>
      <c r="DA630" s="13" t="s">
        <v>10348</v>
      </c>
      <c r="DB630" s="13" t="s">
        <v>10348</v>
      </c>
    </row>
    <row r="631" spans="1:106" s="13" customFormat="1" ht="12.75" customHeight="1" x14ac:dyDescent="0.2">
      <c r="A631" s="13" t="s">
        <v>102</v>
      </c>
      <c r="B631" s="13" t="s">
        <v>103</v>
      </c>
      <c r="D631" s="13" t="s">
        <v>937</v>
      </c>
      <c r="E631" s="17" t="s">
        <v>228</v>
      </c>
      <c r="F631" s="13" t="s">
        <v>937</v>
      </c>
      <c r="G631" s="17" t="s">
        <v>229</v>
      </c>
      <c r="H631" s="13" t="s">
        <v>7712</v>
      </c>
      <c r="I631" s="17"/>
      <c r="J631" s="13" t="s">
        <v>106</v>
      </c>
      <c r="W631" s="13">
        <v>614</v>
      </c>
      <c r="X631" s="13">
        <v>614</v>
      </c>
      <c r="Y631" s="13" t="s">
        <v>107</v>
      </c>
      <c r="Z631" s="13" t="s">
        <v>108</v>
      </c>
      <c r="AA631" s="37" t="s">
        <v>107</v>
      </c>
      <c r="AB631" s="13" t="s">
        <v>6704</v>
      </c>
      <c r="AC631" s="13" t="s">
        <v>6704</v>
      </c>
      <c r="AD631" s="13" t="s">
        <v>6704</v>
      </c>
      <c r="AE631" s="22" t="s">
        <v>112</v>
      </c>
      <c r="AF631" s="13" t="s">
        <v>6704</v>
      </c>
      <c r="AG631" s="32" t="s">
        <v>6704</v>
      </c>
      <c r="AH631" s="13" t="s">
        <v>6705</v>
      </c>
      <c r="AL631" s="13" t="s">
        <v>6706</v>
      </c>
      <c r="AN631" s="13">
        <v>329</v>
      </c>
      <c r="AO631" s="13" t="s">
        <v>6707</v>
      </c>
      <c r="AQ631" s="13" t="s">
        <v>6704</v>
      </c>
      <c r="AR631" s="13" t="s">
        <v>6704</v>
      </c>
      <c r="AS631" s="13" t="s">
        <v>116</v>
      </c>
      <c r="AT631" s="13" t="s">
        <v>6708</v>
      </c>
      <c r="AU631" s="13" t="s">
        <v>6696</v>
      </c>
      <c r="AV631" s="13" t="s">
        <v>2204</v>
      </c>
      <c r="AW631" s="23" t="s">
        <v>1691</v>
      </c>
      <c r="AX631" s="23" t="s">
        <v>1692</v>
      </c>
      <c r="AY631" s="13" t="s">
        <v>6709</v>
      </c>
      <c r="AZ631" s="13" t="s">
        <v>6710</v>
      </c>
      <c r="BA631" s="13" t="s">
        <v>6710</v>
      </c>
      <c r="BB631" s="13" t="s">
        <v>6711</v>
      </c>
      <c r="BC631" s="13" t="s">
        <v>6712</v>
      </c>
      <c r="BD631" s="16">
        <f t="shared" si="22"/>
        <v>56</v>
      </c>
      <c r="BE631" s="13" t="s">
        <v>1697</v>
      </c>
      <c r="BF631" s="13" t="s">
        <v>951</v>
      </c>
      <c r="BG631" s="13" t="s">
        <v>6505</v>
      </c>
      <c r="BJ631" s="13" t="s">
        <v>6530</v>
      </c>
      <c r="BO631" s="13" t="s">
        <v>6701</v>
      </c>
      <c r="BS631" s="13" t="s">
        <v>127</v>
      </c>
      <c r="BT631" s="13" t="s">
        <v>6702</v>
      </c>
      <c r="BU631" s="13" t="s">
        <v>129</v>
      </c>
      <c r="BX631" s="13" t="s">
        <v>6713</v>
      </c>
      <c r="BY631" s="25"/>
      <c r="DA631" s="13" t="s">
        <v>10348</v>
      </c>
      <c r="DB631" s="13" t="s">
        <v>10348</v>
      </c>
    </row>
    <row r="632" spans="1:106" s="13" customFormat="1" ht="12.75" customHeight="1" x14ac:dyDescent="0.2">
      <c r="A632" s="13" t="s">
        <v>102</v>
      </c>
      <c r="B632" s="13" t="s">
        <v>103</v>
      </c>
      <c r="D632" s="13" t="s">
        <v>937</v>
      </c>
      <c r="E632" s="17" t="s">
        <v>228</v>
      </c>
      <c r="F632" s="13" t="s">
        <v>937</v>
      </c>
      <c r="G632" s="17" t="s">
        <v>229</v>
      </c>
      <c r="H632" s="13" t="s">
        <v>7712</v>
      </c>
      <c r="I632" s="17"/>
      <c r="J632" s="13" t="s">
        <v>106</v>
      </c>
      <c r="W632" s="13">
        <v>615</v>
      </c>
      <c r="X632" s="13">
        <v>615</v>
      </c>
      <c r="Y632" s="13" t="s">
        <v>107</v>
      </c>
      <c r="Z632" s="13" t="s">
        <v>108</v>
      </c>
      <c r="AA632" s="37" t="s">
        <v>107</v>
      </c>
      <c r="AB632" s="13" t="s">
        <v>6714</v>
      </c>
      <c r="AC632" s="13" t="s">
        <v>6714</v>
      </c>
      <c r="AD632" s="13" t="s">
        <v>6714</v>
      </c>
      <c r="AE632" s="22" t="s">
        <v>112</v>
      </c>
      <c r="AF632" s="13" t="s">
        <v>6714</v>
      </c>
      <c r="AG632" s="32" t="s">
        <v>6714</v>
      </c>
      <c r="AH632" s="13" t="s">
        <v>6715</v>
      </c>
      <c r="AL632" s="13" t="s">
        <v>6716</v>
      </c>
      <c r="AN632" s="13">
        <v>329</v>
      </c>
      <c r="AO632" s="13" t="s">
        <v>6717</v>
      </c>
      <c r="AQ632" s="13" t="s">
        <v>6714</v>
      </c>
      <c r="AR632" s="13" t="s">
        <v>6714</v>
      </c>
      <c r="AS632" s="13" t="s">
        <v>116</v>
      </c>
      <c r="AT632" s="13" t="s">
        <v>6718</v>
      </c>
      <c r="AU632" s="13" t="s">
        <v>6696</v>
      </c>
      <c r="AV632" s="13" t="s">
        <v>2204</v>
      </c>
      <c r="AW632" s="23" t="s">
        <v>1691</v>
      </c>
      <c r="AX632" s="23" t="s">
        <v>1692</v>
      </c>
      <c r="AY632" s="13" t="s">
        <v>6719</v>
      </c>
      <c r="AZ632" s="13" t="s">
        <v>6720</v>
      </c>
      <c r="BA632" s="13" t="s">
        <v>6720</v>
      </c>
      <c r="BB632" s="13" t="s">
        <v>6721</v>
      </c>
      <c r="BC632" s="13" t="s">
        <v>6722</v>
      </c>
      <c r="BD632" s="16">
        <f t="shared" si="22"/>
        <v>56</v>
      </c>
      <c r="BE632" s="13" t="s">
        <v>1697</v>
      </c>
      <c r="BF632" s="13" t="s">
        <v>951</v>
      </c>
      <c r="BG632" s="13" t="s">
        <v>6505</v>
      </c>
      <c r="BJ632" s="13" t="s">
        <v>5884</v>
      </c>
      <c r="BO632" s="13" t="s">
        <v>6701</v>
      </c>
      <c r="BS632" s="13" t="s">
        <v>127</v>
      </c>
      <c r="BT632" s="13" t="s">
        <v>6702</v>
      </c>
      <c r="BU632" s="13" t="s">
        <v>129</v>
      </c>
      <c r="BX632" s="13" t="s">
        <v>6723</v>
      </c>
      <c r="BY632" s="25"/>
      <c r="DA632" s="13" t="s">
        <v>10348</v>
      </c>
      <c r="DB632" s="13" t="s">
        <v>10348</v>
      </c>
    </row>
    <row r="633" spans="1:106" s="13" customFormat="1" ht="12.75" customHeight="1" x14ac:dyDescent="0.2">
      <c r="A633" s="13" t="s">
        <v>102</v>
      </c>
      <c r="B633" s="13" t="s">
        <v>103</v>
      </c>
      <c r="D633" s="13" t="s">
        <v>937</v>
      </c>
      <c r="E633" s="17" t="s">
        <v>228</v>
      </c>
      <c r="F633" s="13" t="s">
        <v>937</v>
      </c>
      <c r="G633" s="17" t="s">
        <v>229</v>
      </c>
      <c r="H633" s="13" t="s">
        <v>7712</v>
      </c>
      <c r="I633" s="17"/>
      <c r="J633" s="13" t="s">
        <v>106</v>
      </c>
      <c r="W633" s="13">
        <v>616</v>
      </c>
      <c r="X633" s="13">
        <v>616</v>
      </c>
      <c r="Y633" s="13" t="s">
        <v>107</v>
      </c>
      <c r="Z633" s="13" t="s">
        <v>108</v>
      </c>
      <c r="AA633" s="37" t="s">
        <v>107</v>
      </c>
      <c r="AB633" s="13" t="s">
        <v>6724</v>
      </c>
      <c r="AC633" s="13" t="s">
        <v>6724</v>
      </c>
      <c r="AD633" s="13" t="s">
        <v>6724</v>
      </c>
      <c r="AE633" s="22" t="s">
        <v>112</v>
      </c>
      <c r="AF633" s="13" t="s">
        <v>6724</v>
      </c>
      <c r="AG633" s="32" t="s">
        <v>6724</v>
      </c>
      <c r="AH633" s="13" t="s">
        <v>6725</v>
      </c>
      <c r="AL633" s="13" t="s">
        <v>6726</v>
      </c>
      <c r="AN633" s="13">
        <v>329</v>
      </c>
      <c r="AO633" s="13" t="s">
        <v>6727</v>
      </c>
      <c r="AQ633" s="13" t="s">
        <v>6724</v>
      </c>
      <c r="AR633" s="13" t="s">
        <v>6724</v>
      </c>
      <c r="AS633" s="13" t="s">
        <v>116</v>
      </c>
      <c r="AT633" s="13" t="s">
        <v>6728</v>
      </c>
      <c r="AU633" s="13" t="s">
        <v>6696</v>
      </c>
      <c r="AV633" s="13" t="s">
        <v>2204</v>
      </c>
      <c r="AW633" s="24" t="s">
        <v>1691</v>
      </c>
      <c r="AX633" s="24" t="s">
        <v>1692</v>
      </c>
      <c r="AY633" s="13" t="s">
        <v>6729</v>
      </c>
      <c r="AZ633" s="13" t="s">
        <v>6730</v>
      </c>
      <c r="BA633" s="13" t="s">
        <v>6730</v>
      </c>
      <c r="BB633" s="13" t="s">
        <v>6731</v>
      </c>
      <c r="BC633" s="13" t="s">
        <v>6732</v>
      </c>
      <c r="BD633" s="16">
        <f t="shared" si="22"/>
        <v>56</v>
      </c>
      <c r="BE633" s="13" t="s">
        <v>1697</v>
      </c>
      <c r="BF633" s="13" t="s">
        <v>951</v>
      </c>
      <c r="BG633" s="13" t="s">
        <v>6505</v>
      </c>
      <c r="BJ633" s="13" t="s">
        <v>2241</v>
      </c>
      <c r="BO633" s="13" t="s">
        <v>6701</v>
      </c>
      <c r="BS633" s="13" t="s">
        <v>127</v>
      </c>
      <c r="BT633" s="13" t="s">
        <v>6702</v>
      </c>
      <c r="BU633" s="13" t="s">
        <v>129</v>
      </c>
      <c r="BX633" s="13" t="s">
        <v>6733</v>
      </c>
      <c r="BY633" s="25"/>
      <c r="DA633" s="13" t="s">
        <v>10348</v>
      </c>
      <c r="DB633" s="13" t="s">
        <v>10348</v>
      </c>
    </row>
    <row r="634" spans="1:106" s="13" customFormat="1" ht="12.75" customHeight="1" x14ac:dyDescent="0.2">
      <c r="A634" s="13" t="s">
        <v>102</v>
      </c>
      <c r="B634" s="13" t="s">
        <v>103</v>
      </c>
      <c r="D634" s="13" t="s">
        <v>937</v>
      </c>
      <c r="E634" s="17" t="s">
        <v>228</v>
      </c>
      <c r="F634" s="13" t="s">
        <v>937</v>
      </c>
      <c r="G634" s="17" t="s">
        <v>229</v>
      </c>
      <c r="H634" s="13" t="s">
        <v>7712</v>
      </c>
      <c r="I634" s="17"/>
      <c r="J634" s="13" t="s">
        <v>106</v>
      </c>
      <c r="W634" s="13">
        <v>617</v>
      </c>
      <c r="X634" s="13">
        <v>617</v>
      </c>
      <c r="Y634" s="13" t="s">
        <v>107</v>
      </c>
      <c r="Z634" s="13" t="s">
        <v>108</v>
      </c>
      <c r="AA634" s="37" t="s">
        <v>107</v>
      </c>
      <c r="AB634" s="13" t="s">
        <v>6734</v>
      </c>
      <c r="AC634" s="13" t="s">
        <v>6734</v>
      </c>
      <c r="AD634" s="13" t="s">
        <v>6734</v>
      </c>
      <c r="AE634" s="22" t="s">
        <v>112</v>
      </c>
      <c r="AF634" s="13" t="s">
        <v>6734</v>
      </c>
      <c r="AG634" s="32" t="s">
        <v>6734</v>
      </c>
      <c r="AH634" s="13" t="s">
        <v>6735</v>
      </c>
      <c r="AL634" s="13" t="s">
        <v>6736</v>
      </c>
      <c r="AN634" s="13">
        <v>329</v>
      </c>
      <c r="AO634" s="13" t="s">
        <v>6737</v>
      </c>
      <c r="AQ634" s="13" t="s">
        <v>6734</v>
      </c>
      <c r="AR634" s="13" t="s">
        <v>6734</v>
      </c>
      <c r="AS634" s="13" t="s">
        <v>116</v>
      </c>
      <c r="AT634" s="13" t="s">
        <v>6738</v>
      </c>
      <c r="AU634" s="13" t="s">
        <v>6696</v>
      </c>
      <c r="AV634" s="13" t="s">
        <v>2204</v>
      </c>
      <c r="AW634" s="24" t="s">
        <v>1691</v>
      </c>
      <c r="AX634" s="24" t="s">
        <v>1692</v>
      </c>
      <c r="AY634" s="13" t="s">
        <v>6739</v>
      </c>
      <c r="AZ634" s="13" t="s">
        <v>6740</v>
      </c>
      <c r="BA634" s="13" t="s">
        <v>6740</v>
      </c>
      <c r="BB634" s="13" t="s">
        <v>6741</v>
      </c>
      <c r="BC634" s="13" t="s">
        <v>6742</v>
      </c>
      <c r="BD634" s="16">
        <f t="shared" si="22"/>
        <v>56</v>
      </c>
      <c r="BE634" s="13" t="s">
        <v>1697</v>
      </c>
      <c r="BF634" s="13" t="s">
        <v>951</v>
      </c>
      <c r="BG634" s="13" t="s">
        <v>6505</v>
      </c>
      <c r="BJ634" s="13" t="s">
        <v>5663</v>
      </c>
      <c r="BO634" s="13" t="s">
        <v>6701</v>
      </c>
      <c r="BS634" s="13" t="s">
        <v>127</v>
      </c>
      <c r="BT634" s="13" t="s">
        <v>6702</v>
      </c>
      <c r="BU634" s="13" t="s">
        <v>129</v>
      </c>
      <c r="BX634" s="13" t="s">
        <v>6743</v>
      </c>
      <c r="BY634" s="25"/>
      <c r="DA634" s="13" t="s">
        <v>10348</v>
      </c>
      <c r="DB634" s="13" t="s">
        <v>10348</v>
      </c>
    </row>
    <row r="635" spans="1:106" s="13" customFormat="1" ht="12.75" customHeight="1" x14ac:dyDescent="0.2">
      <c r="A635" s="13" t="s">
        <v>102</v>
      </c>
      <c r="B635" s="13" t="s">
        <v>103</v>
      </c>
      <c r="D635" s="13" t="s">
        <v>937</v>
      </c>
      <c r="E635" s="17" t="s">
        <v>228</v>
      </c>
      <c r="F635" s="13" t="s">
        <v>937</v>
      </c>
      <c r="G635" s="17" t="s">
        <v>229</v>
      </c>
      <c r="H635" s="13" t="s">
        <v>7712</v>
      </c>
      <c r="I635" s="17"/>
      <c r="J635" s="13" t="s">
        <v>106</v>
      </c>
      <c r="W635" s="13">
        <v>618</v>
      </c>
      <c r="X635" s="13">
        <v>618</v>
      </c>
      <c r="Y635" s="13" t="s">
        <v>107</v>
      </c>
      <c r="Z635" s="13" t="s">
        <v>108</v>
      </c>
      <c r="AA635" s="37" t="s">
        <v>107</v>
      </c>
      <c r="AB635" s="13" t="s">
        <v>6744</v>
      </c>
      <c r="AC635" s="13" t="s">
        <v>6744</v>
      </c>
      <c r="AD635" s="13" t="s">
        <v>6744</v>
      </c>
      <c r="AE635" s="22" t="s">
        <v>112</v>
      </c>
      <c r="AF635" s="13" t="s">
        <v>6744</v>
      </c>
      <c r="AG635" s="32" t="s">
        <v>6744</v>
      </c>
      <c r="AH635" s="13" t="s">
        <v>6745</v>
      </c>
      <c r="AL635" s="13" t="s">
        <v>6746</v>
      </c>
      <c r="AN635" s="13">
        <v>329</v>
      </c>
      <c r="AO635" s="13" t="s">
        <v>6747</v>
      </c>
      <c r="AQ635" s="13" t="s">
        <v>6744</v>
      </c>
      <c r="AR635" s="13" t="s">
        <v>6744</v>
      </c>
      <c r="AS635" s="13" t="s">
        <v>116</v>
      </c>
      <c r="AT635" s="13" t="s">
        <v>6748</v>
      </c>
      <c r="AU635" s="13" t="s">
        <v>6696</v>
      </c>
      <c r="AV635" s="13" t="s">
        <v>2204</v>
      </c>
      <c r="AW635" s="23" t="s">
        <v>1691</v>
      </c>
      <c r="AX635" s="23" t="s">
        <v>1692</v>
      </c>
      <c r="AY635" s="13" t="s">
        <v>6749</v>
      </c>
      <c r="AZ635" s="13" t="s">
        <v>6750</v>
      </c>
      <c r="BA635" s="13" t="s">
        <v>6750</v>
      </c>
      <c r="BB635" s="13" t="s">
        <v>6751</v>
      </c>
      <c r="BC635" s="13" t="s">
        <v>6752</v>
      </c>
      <c r="BD635" s="16">
        <f t="shared" si="22"/>
        <v>56</v>
      </c>
      <c r="BE635" s="13" t="s">
        <v>1697</v>
      </c>
      <c r="BF635" s="13" t="s">
        <v>951</v>
      </c>
      <c r="BG635" s="13" t="s">
        <v>6505</v>
      </c>
      <c r="BJ635" s="13" t="s">
        <v>6679</v>
      </c>
      <c r="BO635" s="13" t="s">
        <v>6701</v>
      </c>
      <c r="BS635" s="13" t="s">
        <v>127</v>
      </c>
      <c r="BT635" s="13" t="s">
        <v>6702</v>
      </c>
      <c r="BU635" s="13" t="s">
        <v>129</v>
      </c>
      <c r="BX635" s="13" t="s">
        <v>6753</v>
      </c>
      <c r="BY635" s="25"/>
      <c r="DA635" s="13" t="s">
        <v>10348</v>
      </c>
      <c r="DB635" s="13" t="s">
        <v>10348</v>
      </c>
    </row>
    <row r="636" spans="1:106" s="13" customFormat="1" ht="12.75" customHeight="1" x14ac:dyDescent="0.2">
      <c r="A636" s="13" t="s">
        <v>102</v>
      </c>
      <c r="B636" s="13" t="s">
        <v>103</v>
      </c>
      <c r="D636" s="13" t="s">
        <v>937</v>
      </c>
      <c r="E636" s="17" t="s">
        <v>228</v>
      </c>
      <c r="F636" s="13" t="s">
        <v>937</v>
      </c>
      <c r="G636" s="17" t="s">
        <v>229</v>
      </c>
      <c r="H636" s="13" t="s">
        <v>7712</v>
      </c>
      <c r="I636" s="17"/>
      <c r="J636" s="13" t="s">
        <v>106</v>
      </c>
      <c r="W636" s="13">
        <v>619</v>
      </c>
      <c r="X636" s="13">
        <v>619</v>
      </c>
      <c r="Y636" s="13" t="s">
        <v>107</v>
      </c>
      <c r="Z636" s="13" t="s">
        <v>108</v>
      </c>
      <c r="AA636" s="37" t="s">
        <v>107</v>
      </c>
      <c r="AB636" s="13" t="s">
        <v>6754</v>
      </c>
      <c r="AC636" s="13" t="s">
        <v>6754</v>
      </c>
      <c r="AD636" s="13" t="s">
        <v>6754</v>
      </c>
      <c r="AE636" s="22" t="s">
        <v>112</v>
      </c>
      <c r="AF636" s="13" t="s">
        <v>6754</v>
      </c>
      <c r="AG636" s="32" t="s">
        <v>6754</v>
      </c>
      <c r="AH636" s="13" t="s">
        <v>6755</v>
      </c>
      <c r="AL636" s="13" t="s">
        <v>6756</v>
      </c>
      <c r="AN636" s="13">
        <v>329</v>
      </c>
      <c r="AO636" s="13" t="s">
        <v>6757</v>
      </c>
      <c r="AQ636" s="13" t="s">
        <v>6754</v>
      </c>
      <c r="AR636" s="13" t="s">
        <v>6754</v>
      </c>
      <c r="AS636" s="13" t="s">
        <v>116</v>
      </c>
      <c r="AT636" s="13" t="s">
        <v>6758</v>
      </c>
      <c r="AU636" s="13" t="s">
        <v>6759</v>
      </c>
      <c r="AV636" s="13" t="s">
        <v>2204</v>
      </c>
      <c r="AW636" s="23" t="s">
        <v>1691</v>
      </c>
      <c r="AX636" s="23" t="s">
        <v>1692</v>
      </c>
      <c r="AY636" s="13" t="s">
        <v>6739</v>
      </c>
      <c r="AZ636" s="13" t="s">
        <v>6760</v>
      </c>
      <c r="BA636" s="13" t="s">
        <v>6760</v>
      </c>
      <c r="BB636" s="13" t="s">
        <v>6761</v>
      </c>
      <c r="BC636" s="13" t="s">
        <v>6762</v>
      </c>
      <c r="BD636" s="16">
        <f t="shared" si="22"/>
        <v>55</v>
      </c>
      <c r="BE636" s="13" t="s">
        <v>1697</v>
      </c>
      <c r="BF636" s="13" t="s">
        <v>951</v>
      </c>
      <c r="BG636" s="13" t="s">
        <v>6505</v>
      </c>
      <c r="BJ636" s="13" t="s">
        <v>5663</v>
      </c>
      <c r="BO636" s="13" t="s">
        <v>6763</v>
      </c>
      <c r="BS636" s="13" t="s">
        <v>127</v>
      </c>
      <c r="BT636" s="13" t="s">
        <v>6702</v>
      </c>
      <c r="BU636" s="13" t="s">
        <v>129</v>
      </c>
      <c r="BX636" s="13" t="s">
        <v>6764</v>
      </c>
      <c r="BY636" s="25"/>
      <c r="DA636" s="13" t="s">
        <v>10348</v>
      </c>
      <c r="DB636" s="13" t="s">
        <v>10348</v>
      </c>
    </row>
    <row r="637" spans="1:106" s="13" customFormat="1" ht="12.75" customHeight="1" x14ac:dyDescent="0.2">
      <c r="A637" s="13" t="s">
        <v>102</v>
      </c>
      <c r="B637" s="13" t="s">
        <v>103</v>
      </c>
      <c r="D637" s="13" t="s">
        <v>937</v>
      </c>
      <c r="E637" s="17" t="s">
        <v>228</v>
      </c>
      <c r="F637" s="13" t="s">
        <v>937</v>
      </c>
      <c r="G637" s="17" t="s">
        <v>229</v>
      </c>
      <c r="H637" s="13" t="s">
        <v>7712</v>
      </c>
      <c r="I637" s="17"/>
      <c r="J637" s="13" t="s">
        <v>106</v>
      </c>
      <c r="W637" s="13">
        <v>620</v>
      </c>
      <c r="X637" s="13">
        <v>620</v>
      </c>
      <c r="Y637" s="13" t="s">
        <v>107</v>
      </c>
      <c r="Z637" s="13" t="s">
        <v>108</v>
      </c>
      <c r="AA637" s="37" t="s">
        <v>107</v>
      </c>
      <c r="AB637" s="13" t="s">
        <v>6765</v>
      </c>
      <c r="AC637" s="13" t="s">
        <v>6765</v>
      </c>
      <c r="AD637" s="13" t="s">
        <v>6765</v>
      </c>
      <c r="AE637" s="22" t="s">
        <v>112</v>
      </c>
      <c r="AF637" s="13" t="s">
        <v>6765</v>
      </c>
      <c r="AG637" s="32" t="s">
        <v>6765</v>
      </c>
      <c r="AH637" s="13" t="s">
        <v>6766</v>
      </c>
      <c r="AL637" s="13" t="s">
        <v>6767</v>
      </c>
      <c r="AN637" s="13">
        <v>329</v>
      </c>
      <c r="AO637" s="13" t="s">
        <v>6768</v>
      </c>
      <c r="AQ637" s="13" t="s">
        <v>6765</v>
      </c>
      <c r="AR637" s="13" t="s">
        <v>6765</v>
      </c>
      <c r="AS637" s="13" t="s">
        <v>116</v>
      </c>
      <c r="AT637" s="13" t="s">
        <v>6769</v>
      </c>
      <c r="AU637" s="13" t="s">
        <v>6759</v>
      </c>
      <c r="AV637" s="13" t="s">
        <v>2204</v>
      </c>
      <c r="AW637" s="23" t="s">
        <v>1691</v>
      </c>
      <c r="AX637" s="23" t="s">
        <v>1692</v>
      </c>
      <c r="AY637" s="13" t="s">
        <v>6770</v>
      </c>
      <c r="AZ637" s="13" t="s">
        <v>6771</v>
      </c>
      <c r="BA637" s="13" t="s">
        <v>6771</v>
      </c>
      <c r="BB637" s="13" t="s">
        <v>6772</v>
      </c>
      <c r="BC637" s="13" t="s">
        <v>6773</v>
      </c>
      <c r="BD637" s="16">
        <f t="shared" si="22"/>
        <v>60</v>
      </c>
      <c r="BE637" s="13" t="s">
        <v>1697</v>
      </c>
      <c r="BF637" s="13" t="s">
        <v>951</v>
      </c>
      <c r="BG637" s="13" t="s">
        <v>6505</v>
      </c>
      <c r="BJ637" s="13" t="s">
        <v>6636</v>
      </c>
      <c r="BO637" s="13" t="s">
        <v>6701</v>
      </c>
      <c r="BS637" s="13" t="s">
        <v>127</v>
      </c>
      <c r="BT637" s="13" t="s">
        <v>6702</v>
      </c>
      <c r="BU637" s="13" t="s">
        <v>129</v>
      </c>
      <c r="BX637" s="13" t="s">
        <v>6774</v>
      </c>
      <c r="BY637" s="25"/>
      <c r="DA637" s="13" t="s">
        <v>10348</v>
      </c>
      <c r="DB637" s="13" t="s">
        <v>10348</v>
      </c>
    </row>
    <row r="638" spans="1:106" s="13" customFormat="1" ht="12.75" customHeight="1" x14ac:dyDescent="0.2">
      <c r="A638" s="13" t="s">
        <v>102</v>
      </c>
      <c r="B638" s="13" t="s">
        <v>103</v>
      </c>
      <c r="D638" s="13" t="s">
        <v>937</v>
      </c>
      <c r="E638" s="17" t="s">
        <v>228</v>
      </c>
      <c r="F638" s="13" t="s">
        <v>937</v>
      </c>
      <c r="G638" s="17" t="s">
        <v>229</v>
      </c>
      <c r="H638" s="13" t="s">
        <v>820</v>
      </c>
      <c r="I638" s="17"/>
      <c r="J638" s="13" t="s">
        <v>106</v>
      </c>
      <c r="W638" s="13">
        <v>637</v>
      </c>
      <c r="X638" s="13">
        <v>637</v>
      </c>
      <c r="Y638" s="13" t="s">
        <v>107</v>
      </c>
      <c r="Z638" s="13" t="s">
        <v>108</v>
      </c>
      <c r="AA638" s="37" t="s">
        <v>107</v>
      </c>
      <c r="AB638" s="13" t="s">
        <v>6942</v>
      </c>
      <c r="AC638" s="13" t="s">
        <v>6942</v>
      </c>
      <c r="AD638" s="13" t="s">
        <v>6942</v>
      </c>
      <c r="AE638" s="22" t="s">
        <v>112</v>
      </c>
      <c r="AF638" s="13" t="s">
        <v>6942</v>
      </c>
      <c r="AG638" s="32" t="s">
        <v>6942</v>
      </c>
      <c r="AH638" s="13" t="s">
        <v>6943</v>
      </c>
      <c r="AL638" s="13" t="s">
        <v>6944</v>
      </c>
      <c r="AN638" s="13">
        <v>329</v>
      </c>
      <c r="AO638" s="13" t="s">
        <v>6945</v>
      </c>
      <c r="AQ638" s="13" t="s">
        <v>6942</v>
      </c>
      <c r="AR638" s="13" t="s">
        <v>6942</v>
      </c>
      <c r="AS638" s="13" t="s">
        <v>116</v>
      </c>
      <c r="AT638" s="13" t="s">
        <v>6946</v>
      </c>
      <c r="AU638" s="13" t="s">
        <v>6947</v>
      </c>
      <c r="AV638" s="13" t="s">
        <v>2204</v>
      </c>
      <c r="AW638" s="23" t="s">
        <v>1691</v>
      </c>
      <c r="AX638" s="23" t="s">
        <v>1692</v>
      </c>
      <c r="AY638" s="13" t="s">
        <v>6948</v>
      </c>
      <c r="AZ638" s="13" t="s">
        <v>6949</v>
      </c>
      <c r="BA638" s="13" t="s">
        <v>6949</v>
      </c>
      <c r="BB638" s="13" t="s">
        <v>6950</v>
      </c>
      <c r="BC638" s="13" t="s">
        <v>6951</v>
      </c>
      <c r="BD638" s="16">
        <f t="shared" si="22"/>
        <v>57</v>
      </c>
      <c r="BE638" s="13" t="s">
        <v>1697</v>
      </c>
      <c r="BF638" s="13" t="s">
        <v>951</v>
      </c>
      <c r="BG638" s="13" t="s">
        <v>6505</v>
      </c>
      <c r="BJ638" s="13" t="s">
        <v>6506</v>
      </c>
      <c r="BO638" s="13" t="s">
        <v>6952</v>
      </c>
      <c r="BS638" s="13" t="s">
        <v>127</v>
      </c>
      <c r="BT638" s="13" t="s">
        <v>6953</v>
      </c>
      <c r="BU638" s="13" t="s">
        <v>129</v>
      </c>
      <c r="BX638" s="13" t="s">
        <v>6954</v>
      </c>
      <c r="DA638" s="13" t="s">
        <v>10348</v>
      </c>
      <c r="DB638" s="13" t="s">
        <v>10348</v>
      </c>
    </row>
    <row r="639" spans="1:106" s="13" customFormat="1" ht="12.75" customHeight="1" x14ac:dyDescent="0.2">
      <c r="A639" s="13" t="s">
        <v>102</v>
      </c>
      <c r="B639" s="13" t="s">
        <v>103</v>
      </c>
      <c r="D639" s="13" t="s">
        <v>937</v>
      </c>
      <c r="E639" s="17" t="s">
        <v>228</v>
      </c>
      <c r="F639" s="13" t="s">
        <v>937</v>
      </c>
      <c r="G639" s="17" t="s">
        <v>229</v>
      </c>
      <c r="H639" s="13" t="s">
        <v>820</v>
      </c>
      <c r="I639" s="17"/>
      <c r="J639" s="13" t="s">
        <v>106</v>
      </c>
      <c r="W639" s="13">
        <v>638</v>
      </c>
      <c r="X639" s="13">
        <v>638</v>
      </c>
      <c r="Y639" s="13" t="s">
        <v>107</v>
      </c>
      <c r="Z639" s="13" t="s">
        <v>108</v>
      </c>
      <c r="AA639" s="37" t="s">
        <v>107</v>
      </c>
      <c r="AB639" s="13" t="s">
        <v>6955</v>
      </c>
      <c r="AC639" s="13" t="s">
        <v>6955</v>
      </c>
      <c r="AD639" s="13" t="s">
        <v>6955</v>
      </c>
      <c r="AE639" s="22" t="s">
        <v>112</v>
      </c>
      <c r="AF639" s="13" t="s">
        <v>6955</v>
      </c>
      <c r="AG639" s="32" t="s">
        <v>6955</v>
      </c>
      <c r="AH639" s="13" t="s">
        <v>6956</v>
      </c>
      <c r="AL639" s="13" t="s">
        <v>6957</v>
      </c>
      <c r="AN639" s="13">
        <v>329</v>
      </c>
      <c r="AO639" s="13" t="s">
        <v>6958</v>
      </c>
      <c r="AQ639" s="13" t="s">
        <v>6955</v>
      </c>
      <c r="AR639" s="13" t="s">
        <v>6955</v>
      </c>
      <c r="AS639" s="13" t="s">
        <v>116</v>
      </c>
      <c r="AT639" s="13" t="s">
        <v>6959</v>
      </c>
      <c r="AU639" s="13" t="s">
        <v>6947</v>
      </c>
      <c r="AV639" s="13" t="s">
        <v>2204</v>
      </c>
      <c r="AW639" s="24" t="s">
        <v>1691</v>
      </c>
      <c r="AX639" s="24" t="s">
        <v>1692</v>
      </c>
      <c r="AY639" s="13" t="s">
        <v>6960</v>
      </c>
      <c r="AZ639" s="13" t="s">
        <v>6961</v>
      </c>
      <c r="BA639" s="13" t="s">
        <v>6961</v>
      </c>
      <c r="BB639" s="13" t="s">
        <v>6962</v>
      </c>
      <c r="BC639" s="13" t="s">
        <v>6963</v>
      </c>
      <c r="BD639" s="16">
        <f t="shared" si="22"/>
        <v>57</v>
      </c>
      <c r="BE639" s="13" t="s">
        <v>1697</v>
      </c>
      <c r="BF639" s="13" t="s">
        <v>951</v>
      </c>
      <c r="BG639" s="13" t="s">
        <v>6505</v>
      </c>
      <c r="BJ639" s="13" t="s">
        <v>6796</v>
      </c>
      <c r="BO639" s="13" t="s">
        <v>6952</v>
      </c>
      <c r="BS639" s="13" t="s">
        <v>127</v>
      </c>
      <c r="BT639" s="13" t="s">
        <v>6953</v>
      </c>
      <c r="BU639" s="13" t="s">
        <v>129</v>
      </c>
      <c r="BX639" s="13" t="s">
        <v>6964</v>
      </c>
      <c r="BY639" s="25"/>
      <c r="DA639" s="13" t="s">
        <v>10348</v>
      </c>
      <c r="DB639" s="13" t="s">
        <v>10348</v>
      </c>
    </row>
    <row r="640" spans="1:106" s="13" customFormat="1" ht="12.75" customHeight="1" x14ac:dyDescent="0.2">
      <c r="A640" s="13" t="s">
        <v>102</v>
      </c>
      <c r="B640" s="13" t="s">
        <v>103</v>
      </c>
      <c r="D640" s="13" t="s">
        <v>937</v>
      </c>
      <c r="E640" s="17" t="s">
        <v>228</v>
      </c>
      <c r="F640" s="13" t="s">
        <v>937</v>
      </c>
      <c r="G640" s="17" t="s">
        <v>229</v>
      </c>
      <c r="H640" s="13" t="s">
        <v>820</v>
      </c>
      <c r="I640" s="17"/>
      <c r="J640" s="13" t="s">
        <v>106</v>
      </c>
      <c r="W640" s="13">
        <v>639</v>
      </c>
      <c r="X640" s="13">
        <v>639</v>
      </c>
      <c r="Y640" s="13" t="s">
        <v>107</v>
      </c>
      <c r="Z640" s="13" t="s">
        <v>108</v>
      </c>
      <c r="AA640" s="37" t="s">
        <v>107</v>
      </c>
      <c r="AB640" s="13" t="s">
        <v>6965</v>
      </c>
      <c r="AC640" s="13" t="s">
        <v>6965</v>
      </c>
      <c r="AD640" s="13" t="s">
        <v>6965</v>
      </c>
      <c r="AE640" s="22" t="s">
        <v>112</v>
      </c>
      <c r="AF640" s="13" t="s">
        <v>6965</v>
      </c>
      <c r="AG640" s="32" t="s">
        <v>6965</v>
      </c>
      <c r="AH640" s="13" t="s">
        <v>6966</v>
      </c>
      <c r="AL640" s="13" t="s">
        <v>6967</v>
      </c>
      <c r="AN640" s="13">
        <v>329</v>
      </c>
      <c r="AO640" s="13" t="s">
        <v>6968</v>
      </c>
      <c r="AQ640" s="13" t="s">
        <v>6965</v>
      </c>
      <c r="AR640" s="13" t="s">
        <v>6965</v>
      </c>
      <c r="AS640" s="13" t="s">
        <v>116</v>
      </c>
      <c r="AT640" s="13" t="s">
        <v>6969</v>
      </c>
      <c r="AU640" s="13" t="s">
        <v>6947</v>
      </c>
      <c r="AV640" s="13" t="s">
        <v>2204</v>
      </c>
      <c r="AW640" s="23" t="s">
        <v>1691</v>
      </c>
      <c r="AX640" s="23" t="s">
        <v>1692</v>
      </c>
      <c r="AY640" s="13" t="s">
        <v>6970</v>
      </c>
      <c r="AZ640" s="13" t="s">
        <v>6971</v>
      </c>
      <c r="BA640" s="13" t="s">
        <v>6971</v>
      </c>
      <c r="BB640" s="13" t="s">
        <v>6972</v>
      </c>
      <c r="BC640" s="13" t="s">
        <v>6973</v>
      </c>
      <c r="BD640" s="16">
        <f t="shared" si="22"/>
        <v>57</v>
      </c>
      <c r="BE640" s="13" t="s">
        <v>1697</v>
      </c>
      <c r="BF640" s="13" t="s">
        <v>951</v>
      </c>
      <c r="BG640" s="13" t="s">
        <v>6505</v>
      </c>
      <c r="BJ640" s="13" t="s">
        <v>6530</v>
      </c>
      <c r="BO640" s="13" t="s">
        <v>6952</v>
      </c>
      <c r="BS640" s="13" t="s">
        <v>127</v>
      </c>
      <c r="BT640" s="13" t="s">
        <v>6953</v>
      </c>
      <c r="BU640" s="13" t="s">
        <v>129</v>
      </c>
      <c r="BX640" s="13" t="s">
        <v>6974</v>
      </c>
      <c r="BY640" s="25"/>
      <c r="DA640" s="13" t="s">
        <v>10348</v>
      </c>
      <c r="DB640" s="13" t="s">
        <v>10348</v>
      </c>
    </row>
    <row r="641" spans="1:106" s="13" customFormat="1" ht="12.75" customHeight="1" x14ac:dyDescent="0.2">
      <c r="A641" s="13" t="s">
        <v>102</v>
      </c>
      <c r="B641" s="13" t="s">
        <v>103</v>
      </c>
      <c r="D641" s="13" t="s">
        <v>937</v>
      </c>
      <c r="E641" s="17" t="s">
        <v>228</v>
      </c>
      <c r="F641" s="13" t="s">
        <v>937</v>
      </c>
      <c r="G641" s="17" t="s">
        <v>229</v>
      </c>
      <c r="H641" s="13" t="s">
        <v>820</v>
      </c>
      <c r="I641" s="17"/>
      <c r="J641" s="13" t="s">
        <v>106</v>
      </c>
      <c r="W641" s="13">
        <v>640</v>
      </c>
      <c r="X641" s="13">
        <v>640</v>
      </c>
      <c r="Y641" s="13" t="s">
        <v>107</v>
      </c>
      <c r="Z641" s="13" t="s">
        <v>108</v>
      </c>
      <c r="AA641" s="37" t="s">
        <v>107</v>
      </c>
      <c r="AB641" s="13" t="s">
        <v>6975</v>
      </c>
      <c r="AC641" s="13" t="s">
        <v>6975</v>
      </c>
      <c r="AD641" s="13" t="s">
        <v>6975</v>
      </c>
      <c r="AE641" s="22" t="s">
        <v>112</v>
      </c>
      <c r="AF641" s="13" t="s">
        <v>6975</v>
      </c>
      <c r="AG641" s="32" t="s">
        <v>6975</v>
      </c>
      <c r="AH641" s="13" t="s">
        <v>6976</v>
      </c>
      <c r="AL641" s="13" t="s">
        <v>6977</v>
      </c>
      <c r="AN641" s="13">
        <v>329</v>
      </c>
      <c r="AO641" s="13" t="s">
        <v>6978</v>
      </c>
      <c r="AQ641" s="13" t="s">
        <v>6975</v>
      </c>
      <c r="AR641" s="13" t="s">
        <v>6975</v>
      </c>
      <c r="AS641" s="13" t="s">
        <v>116</v>
      </c>
      <c r="AT641" s="13" t="s">
        <v>6979</v>
      </c>
      <c r="AU641" s="13" t="s">
        <v>6947</v>
      </c>
      <c r="AV641" s="13" t="s">
        <v>2204</v>
      </c>
      <c r="AW641" s="23" t="s">
        <v>1691</v>
      </c>
      <c r="AX641" s="23" t="s">
        <v>1692</v>
      </c>
      <c r="AY641" s="13" t="s">
        <v>6980</v>
      </c>
      <c r="AZ641" s="13" t="s">
        <v>6981</v>
      </c>
      <c r="BA641" s="13" t="s">
        <v>6981</v>
      </c>
      <c r="BB641" s="13" t="s">
        <v>6982</v>
      </c>
      <c r="BC641" s="13" t="s">
        <v>6983</v>
      </c>
      <c r="BD641" s="16">
        <f t="shared" si="22"/>
        <v>57</v>
      </c>
      <c r="BE641" s="13" t="s">
        <v>1697</v>
      </c>
      <c r="BF641" s="13" t="s">
        <v>951</v>
      </c>
      <c r="BG641" s="13" t="s">
        <v>6505</v>
      </c>
      <c r="BJ641" s="13" t="s">
        <v>5884</v>
      </c>
      <c r="BO641" s="13" t="s">
        <v>6952</v>
      </c>
      <c r="BS641" s="13" t="s">
        <v>127</v>
      </c>
      <c r="BT641" s="13" t="s">
        <v>6953</v>
      </c>
      <c r="BU641" s="13" t="s">
        <v>129</v>
      </c>
      <c r="BX641" s="13" t="s">
        <v>6984</v>
      </c>
      <c r="BY641" s="25"/>
      <c r="DA641" s="13" t="s">
        <v>10348</v>
      </c>
      <c r="DB641" s="13" t="s">
        <v>10348</v>
      </c>
    </row>
    <row r="642" spans="1:106" s="13" customFormat="1" ht="12.75" customHeight="1" x14ac:dyDescent="0.2">
      <c r="A642" s="13" t="s">
        <v>102</v>
      </c>
      <c r="B642" s="13" t="s">
        <v>103</v>
      </c>
      <c r="D642" s="13" t="s">
        <v>937</v>
      </c>
      <c r="E642" s="17" t="s">
        <v>228</v>
      </c>
      <c r="F642" s="13" t="s">
        <v>937</v>
      </c>
      <c r="G642" s="17" t="s">
        <v>229</v>
      </c>
      <c r="H642" s="13" t="s">
        <v>820</v>
      </c>
      <c r="I642" s="17"/>
      <c r="J642" s="13" t="s">
        <v>106</v>
      </c>
      <c r="W642" s="13">
        <v>641</v>
      </c>
      <c r="X642" s="13">
        <v>641</v>
      </c>
      <c r="Y642" s="13" t="s">
        <v>107</v>
      </c>
      <c r="Z642" s="13" t="s">
        <v>108</v>
      </c>
      <c r="AA642" s="37" t="s">
        <v>107</v>
      </c>
      <c r="AB642" s="13" t="s">
        <v>6985</v>
      </c>
      <c r="AC642" s="13" t="s">
        <v>6985</v>
      </c>
      <c r="AD642" s="13" t="s">
        <v>6985</v>
      </c>
      <c r="AE642" s="22" t="s">
        <v>112</v>
      </c>
      <c r="AF642" s="13" t="s">
        <v>6985</v>
      </c>
      <c r="AG642" s="32" t="s">
        <v>6985</v>
      </c>
      <c r="AH642" s="13" t="s">
        <v>6986</v>
      </c>
      <c r="AL642" s="13" t="s">
        <v>6987</v>
      </c>
      <c r="AN642" s="13">
        <v>329</v>
      </c>
      <c r="AO642" s="13" t="s">
        <v>6988</v>
      </c>
      <c r="AQ642" s="13" t="s">
        <v>6985</v>
      </c>
      <c r="AR642" s="13" t="s">
        <v>6985</v>
      </c>
      <c r="AS642" s="13" t="s">
        <v>116</v>
      </c>
      <c r="AT642" s="13" t="s">
        <v>6989</v>
      </c>
      <c r="AU642" s="13" t="s">
        <v>6947</v>
      </c>
      <c r="AV642" s="13" t="s">
        <v>2204</v>
      </c>
      <c r="AW642" s="23" t="s">
        <v>1691</v>
      </c>
      <c r="AX642" s="23" t="s">
        <v>1692</v>
      </c>
      <c r="AY642" s="13" t="s">
        <v>6990</v>
      </c>
      <c r="AZ642" s="13" t="s">
        <v>6991</v>
      </c>
      <c r="BA642" s="13" t="s">
        <v>6991</v>
      </c>
      <c r="BB642" s="13" t="s">
        <v>6992</v>
      </c>
      <c r="BC642" s="13" t="s">
        <v>6993</v>
      </c>
      <c r="BD642" s="16">
        <f t="shared" ref="BD642:BD673" si="23">LEN(SUBSTITUTE(BC642, ", "," "))</f>
        <v>57</v>
      </c>
      <c r="BE642" s="13" t="s">
        <v>1697</v>
      </c>
      <c r="BF642" s="13" t="s">
        <v>951</v>
      </c>
      <c r="BG642" s="13" t="s">
        <v>6505</v>
      </c>
      <c r="BJ642" s="13" t="s">
        <v>2241</v>
      </c>
      <c r="BO642" s="13" t="s">
        <v>6952</v>
      </c>
      <c r="BS642" s="13" t="s">
        <v>127</v>
      </c>
      <c r="BT642" s="13" t="s">
        <v>6953</v>
      </c>
      <c r="BU642" s="13" t="s">
        <v>129</v>
      </c>
      <c r="BX642" s="13" t="s">
        <v>6994</v>
      </c>
      <c r="BY642" s="25"/>
      <c r="DA642" s="13" t="s">
        <v>10348</v>
      </c>
      <c r="DB642" s="13" t="s">
        <v>10348</v>
      </c>
    </row>
    <row r="643" spans="1:106" s="13" customFormat="1" ht="12.75" customHeight="1" x14ac:dyDescent="0.2">
      <c r="A643" s="13" t="s">
        <v>102</v>
      </c>
      <c r="B643" s="13" t="s">
        <v>103</v>
      </c>
      <c r="D643" s="13" t="s">
        <v>937</v>
      </c>
      <c r="E643" s="17" t="s">
        <v>228</v>
      </c>
      <c r="F643" s="13" t="s">
        <v>937</v>
      </c>
      <c r="G643" s="17" t="s">
        <v>229</v>
      </c>
      <c r="H643" s="13" t="s">
        <v>820</v>
      </c>
      <c r="I643" s="17"/>
      <c r="J643" s="13" t="s">
        <v>106</v>
      </c>
      <c r="W643" s="13">
        <v>642</v>
      </c>
      <c r="X643" s="13">
        <v>642</v>
      </c>
      <c r="Y643" s="13" t="s">
        <v>107</v>
      </c>
      <c r="Z643" s="13" t="s">
        <v>108</v>
      </c>
      <c r="AA643" s="37" t="s">
        <v>107</v>
      </c>
      <c r="AB643" s="13" t="s">
        <v>6995</v>
      </c>
      <c r="AC643" s="13" t="s">
        <v>6995</v>
      </c>
      <c r="AD643" s="13" t="s">
        <v>6995</v>
      </c>
      <c r="AE643" s="22" t="s">
        <v>112</v>
      </c>
      <c r="AF643" s="13" t="s">
        <v>6995</v>
      </c>
      <c r="AG643" s="32" t="s">
        <v>6995</v>
      </c>
      <c r="AH643" s="13" t="s">
        <v>6996</v>
      </c>
      <c r="AL643" s="13" t="s">
        <v>6997</v>
      </c>
      <c r="AN643" s="13">
        <v>329</v>
      </c>
      <c r="AO643" s="13" t="s">
        <v>6998</v>
      </c>
      <c r="AQ643" s="13" t="s">
        <v>6995</v>
      </c>
      <c r="AR643" s="13" t="s">
        <v>6995</v>
      </c>
      <c r="AS643" s="13" t="s">
        <v>116</v>
      </c>
      <c r="AT643" s="13" t="s">
        <v>6999</v>
      </c>
      <c r="AU643" s="13" t="s">
        <v>6947</v>
      </c>
      <c r="AV643" s="13" t="s">
        <v>2204</v>
      </c>
      <c r="AW643" s="23" t="s">
        <v>1691</v>
      </c>
      <c r="AX643" s="23" t="s">
        <v>1692</v>
      </c>
      <c r="AY643" s="13" t="s">
        <v>7000</v>
      </c>
      <c r="AZ643" s="13" t="s">
        <v>7001</v>
      </c>
      <c r="BA643" s="13" t="s">
        <v>7001</v>
      </c>
      <c r="BB643" s="13" t="s">
        <v>7002</v>
      </c>
      <c r="BC643" s="13" t="s">
        <v>7003</v>
      </c>
      <c r="BD643" s="16">
        <f t="shared" si="23"/>
        <v>57</v>
      </c>
      <c r="BE643" s="13" t="s">
        <v>1697</v>
      </c>
      <c r="BF643" s="13" t="s">
        <v>951</v>
      </c>
      <c r="BG643" s="13" t="s">
        <v>6505</v>
      </c>
      <c r="BJ643" s="13" t="s">
        <v>6572</v>
      </c>
      <c r="BO643" s="13" t="s">
        <v>6952</v>
      </c>
      <c r="BS643" s="13" t="s">
        <v>127</v>
      </c>
      <c r="BT643" s="13" t="s">
        <v>6953</v>
      </c>
      <c r="BU643" s="13" t="s">
        <v>129</v>
      </c>
      <c r="BX643" s="13" t="s">
        <v>7004</v>
      </c>
      <c r="BY643" s="25"/>
      <c r="DA643" s="13" t="s">
        <v>10348</v>
      </c>
      <c r="DB643" s="13" t="s">
        <v>10348</v>
      </c>
    </row>
    <row r="644" spans="1:106" s="13" customFormat="1" ht="12.75" customHeight="1" x14ac:dyDescent="0.2">
      <c r="A644" s="13" t="s">
        <v>102</v>
      </c>
      <c r="B644" s="13" t="s">
        <v>103</v>
      </c>
      <c r="D644" s="13" t="s">
        <v>937</v>
      </c>
      <c r="E644" s="17" t="s">
        <v>228</v>
      </c>
      <c r="F644" s="13" t="s">
        <v>937</v>
      </c>
      <c r="G644" s="17" t="s">
        <v>229</v>
      </c>
      <c r="H644" s="13" t="s">
        <v>820</v>
      </c>
      <c r="I644" s="17"/>
      <c r="J644" s="13" t="s">
        <v>106</v>
      </c>
      <c r="W644" s="13">
        <v>643</v>
      </c>
      <c r="X644" s="13">
        <v>643</v>
      </c>
      <c r="Y644" s="13" t="s">
        <v>107</v>
      </c>
      <c r="Z644" s="13" t="s">
        <v>108</v>
      </c>
      <c r="AA644" s="37" t="s">
        <v>107</v>
      </c>
      <c r="AB644" s="13" t="s">
        <v>7005</v>
      </c>
      <c r="AC644" s="13" t="s">
        <v>7005</v>
      </c>
      <c r="AD644" s="13" t="s">
        <v>7005</v>
      </c>
      <c r="AE644" s="22" t="s">
        <v>112</v>
      </c>
      <c r="AF644" s="13" t="s">
        <v>7005</v>
      </c>
      <c r="AG644" s="32" t="s">
        <v>7005</v>
      </c>
      <c r="AH644" s="13" t="s">
        <v>7006</v>
      </c>
      <c r="AL644" s="13" t="s">
        <v>7007</v>
      </c>
      <c r="AN644" s="13">
        <v>329</v>
      </c>
      <c r="AO644" s="13" t="s">
        <v>7008</v>
      </c>
      <c r="AQ644" s="13" t="s">
        <v>7005</v>
      </c>
      <c r="AR644" s="13" t="s">
        <v>7005</v>
      </c>
      <c r="AS644" s="13" t="s">
        <v>116</v>
      </c>
      <c r="AT644" s="13" t="s">
        <v>7009</v>
      </c>
      <c r="AU644" s="13" t="s">
        <v>6947</v>
      </c>
      <c r="AV644" s="13" t="s">
        <v>2204</v>
      </c>
      <c r="AW644" s="24" t="s">
        <v>1691</v>
      </c>
      <c r="AX644" s="24" t="s">
        <v>1692</v>
      </c>
      <c r="AY644" s="13" t="s">
        <v>7010</v>
      </c>
      <c r="AZ644" s="13" t="s">
        <v>7011</v>
      </c>
      <c r="BA644" s="13" t="s">
        <v>7011</v>
      </c>
      <c r="BB644" s="13" t="s">
        <v>7012</v>
      </c>
      <c r="BC644" s="13" t="s">
        <v>7013</v>
      </c>
      <c r="BD644" s="16">
        <f t="shared" si="23"/>
        <v>57</v>
      </c>
      <c r="BE644" s="13" t="s">
        <v>1697</v>
      </c>
      <c r="BF644" s="13" t="s">
        <v>951</v>
      </c>
      <c r="BG644" s="13" t="s">
        <v>6505</v>
      </c>
      <c r="BJ644" s="13" t="s">
        <v>6583</v>
      </c>
      <c r="BO644" s="13" t="s">
        <v>6952</v>
      </c>
      <c r="BS644" s="13" t="s">
        <v>127</v>
      </c>
      <c r="BT644" s="13" t="s">
        <v>6953</v>
      </c>
      <c r="BU644" s="13" t="s">
        <v>129</v>
      </c>
      <c r="BX644" s="13" t="s">
        <v>7014</v>
      </c>
      <c r="BY644" s="25"/>
      <c r="DA644" s="13" t="s">
        <v>10348</v>
      </c>
      <c r="DB644" s="13" t="s">
        <v>10348</v>
      </c>
    </row>
    <row r="645" spans="1:106" s="13" customFormat="1" ht="12.75" customHeight="1" x14ac:dyDescent="0.2">
      <c r="A645" s="13" t="s">
        <v>102</v>
      </c>
      <c r="B645" s="13" t="s">
        <v>103</v>
      </c>
      <c r="D645" s="13" t="s">
        <v>937</v>
      </c>
      <c r="E645" s="17" t="s">
        <v>228</v>
      </c>
      <c r="F645" s="13" t="s">
        <v>937</v>
      </c>
      <c r="G645" s="17" t="s">
        <v>229</v>
      </c>
      <c r="H645" s="13" t="s">
        <v>820</v>
      </c>
      <c r="I645" s="17"/>
      <c r="J645" s="13" t="s">
        <v>106</v>
      </c>
      <c r="W645" s="13">
        <v>644</v>
      </c>
      <c r="X645" s="13">
        <v>644</v>
      </c>
      <c r="Y645" s="13" t="s">
        <v>107</v>
      </c>
      <c r="Z645" s="13" t="s">
        <v>108</v>
      </c>
      <c r="AA645" s="37" t="s">
        <v>107</v>
      </c>
      <c r="AB645" s="13" t="s">
        <v>7015</v>
      </c>
      <c r="AC645" s="13" t="s">
        <v>7015</v>
      </c>
      <c r="AD645" s="13" t="s">
        <v>7015</v>
      </c>
      <c r="AE645" s="22" t="s">
        <v>112</v>
      </c>
      <c r="AF645" s="13" t="s">
        <v>7015</v>
      </c>
      <c r="AG645" s="32" t="s">
        <v>7015</v>
      </c>
      <c r="AH645" s="13" t="s">
        <v>7016</v>
      </c>
      <c r="AL645" s="13" t="s">
        <v>7017</v>
      </c>
      <c r="AN645" s="13">
        <v>329</v>
      </c>
      <c r="AO645" s="13" t="s">
        <v>7018</v>
      </c>
      <c r="AQ645" s="13" t="s">
        <v>7015</v>
      </c>
      <c r="AR645" s="13" t="s">
        <v>7015</v>
      </c>
      <c r="AS645" s="13" t="s">
        <v>116</v>
      </c>
      <c r="AT645" s="13" t="s">
        <v>7019</v>
      </c>
      <c r="AU645" s="13" t="s">
        <v>6947</v>
      </c>
      <c r="AV645" s="13" t="s">
        <v>2204</v>
      </c>
      <c r="AW645" s="24" t="s">
        <v>1691</v>
      </c>
      <c r="AX645" s="24" t="s">
        <v>1692</v>
      </c>
      <c r="AY645" s="13" t="s">
        <v>7020</v>
      </c>
      <c r="AZ645" s="13" t="s">
        <v>7021</v>
      </c>
      <c r="BA645" s="13" t="s">
        <v>7021</v>
      </c>
      <c r="BB645" s="13" t="s">
        <v>7022</v>
      </c>
      <c r="BC645" s="13" t="s">
        <v>7023</v>
      </c>
      <c r="BD645" s="16">
        <f t="shared" si="23"/>
        <v>57</v>
      </c>
      <c r="BE645" s="13" t="s">
        <v>1697</v>
      </c>
      <c r="BF645" s="13" t="s">
        <v>951</v>
      </c>
      <c r="BG645" s="13" t="s">
        <v>6505</v>
      </c>
      <c r="BJ645" s="13" t="s">
        <v>6857</v>
      </c>
      <c r="BO645" s="13" t="s">
        <v>6952</v>
      </c>
      <c r="BS645" s="13" t="s">
        <v>127</v>
      </c>
      <c r="BT645" s="13" t="s">
        <v>6953</v>
      </c>
      <c r="BU645" s="13" t="s">
        <v>129</v>
      </c>
      <c r="BX645" s="13" t="s">
        <v>7024</v>
      </c>
      <c r="BY645" s="25"/>
      <c r="DA645" s="13" t="s">
        <v>10348</v>
      </c>
      <c r="DB645" s="13" t="s">
        <v>10348</v>
      </c>
    </row>
    <row r="646" spans="1:106" s="13" customFormat="1" ht="12.75" customHeight="1" x14ac:dyDescent="0.2">
      <c r="A646" s="13" t="s">
        <v>102</v>
      </c>
      <c r="B646" s="13" t="s">
        <v>103</v>
      </c>
      <c r="D646" s="13" t="s">
        <v>937</v>
      </c>
      <c r="E646" s="17" t="s">
        <v>228</v>
      </c>
      <c r="F646" s="13" t="s">
        <v>937</v>
      </c>
      <c r="G646" s="17" t="s">
        <v>229</v>
      </c>
      <c r="H646" s="13" t="s">
        <v>820</v>
      </c>
      <c r="I646" s="17"/>
      <c r="J646" s="13" t="s">
        <v>106</v>
      </c>
      <c r="W646" s="13">
        <v>645</v>
      </c>
      <c r="X646" s="13">
        <v>645</v>
      </c>
      <c r="Y646" s="13" t="s">
        <v>107</v>
      </c>
      <c r="Z646" s="13" t="s">
        <v>108</v>
      </c>
      <c r="AA646" s="37" t="s">
        <v>107</v>
      </c>
      <c r="AB646" s="13" t="s">
        <v>7025</v>
      </c>
      <c r="AC646" s="13" t="s">
        <v>7025</v>
      </c>
      <c r="AD646" s="13" t="s">
        <v>7025</v>
      </c>
      <c r="AE646" s="22" t="s">
        <v>112</v>
      </c>
      <c r="AF646" s="13" t="s">
        <v>7025</v>
      </c>
      <c r="AG646" s="32" t="s">
        <v>7025</v>
      </c>
      <c r="AH646" s="13" t="s">
        <v>7026</v>
      </c>
      <c r="AL646" s="13" t="s">
        <v>7027</v>
      </c>
      <c r="AN646" s="13">
        <v>329</v>
      </c>
      <c r="AO646" s="13" t="s">
        <v>7028</v>
      </c>
      <c r="AQ646" s="13" t="s">
        <v>7025</v>
      </c>
      <c r="AR646" s="13" t="s">
        <v>7025</v>
      </c>
      <c r="AS646" s="13" t="s">
        <v>116</v>
      </c>
      <c r="AT646" s="13" t="s">
        <v>7029</v>
      </c>
      <c r="AU646" s="13" t="s">
        <v>6947</v>
      </c>
      <c r="AV646" s="13" t="s">
        <v>2204</v>
      </c>
      <c r="AW646" s="24" t="s">
        <v>1691</v>
      </c>
      <c r="AX646" s="24" t="s">
        <v>1692</v>
      </c>
      <c r="AY646" s="13" t="s">
        <v>7030</v>
      </c>
      <c r="AZ646" s="13" t="s">
        <v>7031</v>
      </c>
      <c r="BA646" s="13" t="s">
        <v>7031</v>
      </c>
      <c r="BB646" s="13" t="s">
        <v>7032</v>
      </c>
      <c r="BC646" s="13" t="s">
        <v>7033</v>
      </c>
      <c r="BD646" s="16">
        <f t="shared" si="23"/>
        <v>57</v>
      </c>
      <c r="BE646" s="13" t="s">
        <v>1697</v>
      </c>
      <c r="BF646" s="13" t="s">
        <v>951</v>
      </c>
      <c r="BG646" s="13" t="s">
        <v>6505</v>
      </c>
      <c r="BJ646" s="13" t="s">
        <v>2211</v>
      </c>
      <c r="BO646" s="13" t="s">
        <v>6952</v>
      </c>
      <c r="BS646" s="13" t="s">
        <v>127</v>
      </c>
      <c r="BT646" s="13" t="s">
        <v>6953</v>
      </c>
      <c r="BU646" s="13" t="s">
        <v>129</v>
      </c>
      <c r="BX646" s="13" t="s">
        <v>7034</v>
      </c>
      <c r="BY646" s="25"/>
      <c r="DA646" s="13" t="s">
        <v>10348</v>
      </c>
      <c r="DB646" s="13" t="s">
        <v>10348</v>
      </c>
    </row>
    <row r="647" spans="1:106" s="13" customFormat="1" ht="12.75" customHeight="1" x14ac:dyDescent="0.2">
      <c r="A647" s="13" t="s">
        <v>102</v>
      </c>
      <c r="B647" s="13" t="s">
        <v>103</v>
      </c>
      <c r="D647" s="13" t="s">
        <v>937</v>
      </c>
      <c r="E647" s="17" t="s">
        <v>228</v>
      </c>
      <c r="F647" s="13" t="s">
        <v>937</v>
      </c>
      <c r="G647" s="17" t="s">
        <v>229</v>
      </c>
      <c r="H647" s="13" t="s">
        <v>820</v>
      </c>
      <c r="I647" s="17"/>
      <c r="J647" s="13" t="s">
        <v>106</v>
      </c>
      <c r="W647" s="13">
        <v>646</v>
      </c>
      <c r="X647" s="13">
        <v>646</v>
      </c>
      <c r="Y647" s="13" t="s">
        <v>107</v>
      </c>
      <c r="Z647" s="13" t="s">
        <v>108</v>
      </c>
      <c r="AA647" s="37" t="s">
        <v>107</v>
      </c>
      <c r="AB647" s="13" t="s">
        <v>7035</v>
      </c>
      <c r="AC647" s="13" t="s">
        <v>7035</v>
      </c>
      <c r="AD647" s="13" t="s">
        <v>7035</v>
      </c>
      <c r="AE647" s="20" t="s">
        <v>112</v>
      </c>
      <c r="AF647" s="13" t="s">
        <v>7035</v>
      </c>
      <c r="AG647" s="32" t="s">
        <v>7035</v>
      </c>
      <c r="AH647" s="34" t="s">
        <v>7036</v>
      </c>
      <c r="AL647" s="13" t="s">
        <v>7037</v>
      </c>
      <c r="AN647" s="13">
        <v>329</v>
      </c>
      <c r="AO647" s="13" t="s">
        <v>7038</v>
      </c>
      <c r="AQ647" s="13" t="s">
        <v>7035</v>
      </c>
      <c r="AR647" s="13" t="s">
        <v>7035</v>
      </c>
      <c r="AS647" s="13" t="s">
        <v>116</v>
      </c>
      <c r="AT647" s="13" t="s">
        <v>7039</v>
      </c>
      <c r="AU647" s="13" t="s">
        <v>6947</v>
      </c>
      <c r="AV647" s="13" t="s">
        <v>2204</v>
      </c>
      <c r="AW647" s="24" t="s">
        <v>1691</v>
      </c>
      <c r="AX647" s="24" t="s">
        <v>1692</v>
      </c>
      <c r="AY647" s="13" t="s">
        <v>7040</v>
      </c>
      <c r="AZ647" s="13" t="s">
        <v>7041</v>
      </c>
      <c r="BA647" s="13" t="s">
        <v>7041</v>
      </c>
      <c r="BB647" s="13" t="s">
        <v>7042</v>
      </c>
      <c r="BC647" s="13" t="s">
        <v>7043</v>
      </c>
      <c r="BD647" s="16">
        <f t="shared" si="23"/>
        <v>57</v>
      </c>
      <c r="BE647" s="13" t="s">
        <v>1697</v>
      </c>
      <c r="BF647" s="13" t="s">
        <v>951</v>
      </c>
      <c r="BG647" s="13" t="s">
        <v>6505</v>
      </c>
      <c r="BJ647" s="13" t="s">
        <v>5663</v>
      </c>
      <c r="BO647" s="13" t="s">
        <v>6952</v>
      </c>
      <c r="BS647" s="13" t="s">
        <v>127</v>
      </c>
      <c r="BT647" s="13" t="s">
        <v>6953</v>
      </c>
      <c r="BU647" s="13" t="s">
        <v>129</v>
      </c>
      <c r="BX647" s="13" t="s">
        <v>7044</v>
      </c>
      <c r="BY647" s="25"/>
      <c r="DA647" s="13" t="s">
        <v>10348</v>
      </c>
      <c r="DB647" s="13" t="s">
        <v>10348</v>
      </c>
    </row>
    <row r="648" spans="1:106" s="13" customFormat="1" ht="12.75" customHeight="1" x14ac:dyDescent="0.2">
      <c r="A648" s="13" t="s">
        <v>102</v>
      </c>
      <c r="B648" s="13" t="s">
        <v>103</v>
      </c>
      <c r="D648" s="13" t="s">
        <v>937</v>
      </c>
      <c r="E648" s="17" t="s">
        <v>228</v>
      </c>
      <c r="F648" s="13" t="s">
        <v>937</v>
      </c>
      <c r="G648" s="17" t="s">
        <v>229</v>
      </c>
      <c r="H648" s="13" t="s">
        <v>820</v>
      </c>
      <c r="I648" s="17"/>
      <c r="J648" s="13" t="s">
        <v>106</v>
      </c>
      <c r="W648" s="13">
        <v>647</v>
      </c>
      <c r="X648" s="13">
        <v>647</v>
      </c>
      <c r="Y648" s="13" t="s">
        <v>107</v>
      </c>
      <c r="Z648" s="13" t="s">
        <v>108</v>
      </c>
      <c r="AA648" s="37" t="s">
        <v>107</v>
      </c>
      <c r="AB648" s="13" t="s">
        <v>7045</v>
      </c>
      <c r="AC648" s="13" t="s">
        <v>7045</v>
      </c>
      <c r="AD648" s="13" t="s">
        <v>7045</v>
      </c>
      <c r="AE648" s="20" t="s">
        <v>112</v>
      </c>
      <c r="AF648" s="13" t="s">
        <v>7045</v>
      </c>
      <c r="AG648" s="32" t="s">
        <v>7045</v>
      </c>
      <c r="AH648" s="34" t="s">
        <v>7046</v>
      </c>
      <c r="AL648" s="13" t="s">
        <v>7047</v>
      </c>
      <c r="AN648" s="13">
        <v>329</v>
      </c>
      <c r="AO648" s="13" t="s">
        <v>7048</v>
      </c>
      <c r="AQ648" s="13" t="s">
        <v>7045</v>
      </c>
      <c r="AR648" s="13" t="s">
        <v>7045</v>
      </c>
      <c r="AS648" s="13" t="s">
        <v>116</v>
      </c>
      <c r="AT648" s="13" t="s">
        <v>7049</v>
      </c>
      <c r="AU648" s="13" t="s">
        <v>6947</v>
      </c>
      <c r="AV648" s="13" t="s">
        <v>2204</v>
      </c>
      <c r="AW648" s="24" t="s">
        <v>1691</v>
      </c>
      <c r="AX648" s="24" t="s">
        <v>1692</v>
      </c>
      <c r="AY648" s="13" t="s">
        <v>7050</v>
      </c>
      <c r="AZ648" s="13" t="s">
        <v>7051</v>
      </c>
      <c r="BA648" s="13" t="s">
        <v>7051</v>
      </c>
      <c r="BB648" s="13" t="s">
        <v>7052</v>
      </c>
      <c r="BC648" s="13" t="s">
        <v>7053</v>
      </c>
      <c r="BD648" s="16">
        <f t="shared" si="23"/>
        <v>57</v>
      </c>
      <c r="BE648" s="13" t="s">
        <v>1697</v>
      </c>
      <c r="BF648" s="13" t="s">
        <v>951</v>
      </c>
      <c r="BG648" s="13" t="s">
        <v>6505</v>
      </c>
      <c r="BJ648" s="13" t="s">
        <v>6636</v>
      </c>
      <c r="BO648" s="13" t="s">
        <v>6952</v>
      </c>
      <c r="BS648" s="13" t="s">
        <v>127</v>
      </c>
      <c r="BT648" s="13" t="s">
        <v>6953</v>
      </c>
      <c r="BU648" s="13" t="s">
        <v>129</v>
      </c>
      <c r="BX648" s="13" t="s">
        <v>7054</v>
      </c>
      <c r="BY648" s="25"/>
      <c r="DA648" s="13" t="s">
        <v>10348</v>
      </c>
      <c r="DB648" s="13" t="s">
        <v>10348</v>
      </c>
    </row>
    <row r="649" spans="1:106" s="13" customFormat="1" ht="12.75" customHeight="1" x14ac:dyDescent="0.2">
      <c r="A649" s="13" t="s">
        <v>102</v>
      </c>
      <c r="B649" s="13" t="s">
        <v>103</v>
      </c>
      <c r="D649" s="13" t="s">
        <v>937</v>
      </c>
      <c r="E649" s="17" t="s">
        <v>228</v>
      </c>
      <c r="F649" s="13" t="s">
        <v>937</v>
      </c>
      <c r="G649" s="17" t="s">
        <v>229</v>
      </c>
      <c r="H649" s="13" t="s">
        <v>820</v>
      </c>
      <c r="I649" s="17"/>
      <c r="J649" s="13" t="s">
        <v>106</v>
      </c>
      <c r="W649" s="13">
        <v>648</v>
      </c>
      <c r="X649" s="13">
        <v>648</v>
      </c>
      <c r="Y649" s="13" t="s">
        <v>107</v>
      </c>
      <c r="Z649" s="13" t="s">
        <v>108</v>
      </c>
      <c r="AA649" s="37" t="s">
        <v>107</v>
      </c>
      <c r="AB649" s="13" t="s">
        <v>7055</v>
      </c>
      <c r="AC649" s="13" t="s">
        <v>7055</v>
      </c>
      <c r="AD649" s="13" t="s">
        <v>7055</v>
      </c>
      <c r="AE649" s="20" t="s">
        <v>112</v>
      </c>
      <c r="AF649" s="13" t="s">
        <v>7055</v>
      </c>
      <c r="AG649" s="32" t="s">
        <v>7055</v>
      </c>
      <c r="AH649" s="34" t="s">
        <v>7056</v>
      </c>
      <c r="AL649" s="13" t="s">
        <v>7057</v>
      </c>
      <c r="AN649" s="13">
        <v>329</v>
      </c>
      <c r="AO649" s="13" t="s">
        <v>7058</v>
      </c>
      <c r="AQ649" s="13" t="s">
        <v>7055</v>
      </c>
      <c r="AR649" s="13" t="s">
        <v>7055</v>
      </c>
      <c r="AS649" s="13" t="s">
        <v>116</v>
      </c>
      <c r="AT649" s="13" t="s">
        <v>7059</v>
      </c>
      <c r="AU649" s="13" t="s">
        <v>6947</v>
      </c>
      <c r="AV649" s="13" t="s">
        <v>2204</v>
      </c>
      <c r="AW649" s="24" t="s">
        <v>1691</v>
      </c>
      <c r="AX649" s="24" t="s">
        <v>1692</v>
      </c>
      <c r="AY649" s="13" t="s">
        <v>7060</v>
      </c>
      <c r="AZ649" s="13" t="s">
        <v>7061</v>
      </c>
      <c r="BA649" s="13" t="s">
        <v>7061</v>
      </c>
      <c r="BB649" s="13" t="s">
        <v>7062</v>
      </c>
      <c r="BC649" s="13" t="s">
        <v>7063</v>
      </c>
      <c r="BD649" s="16">
        <f t="shared" si="23"/>
        <v>57</v>
      </c>
      <c r="BE649" s="13" t="s">
        <v>1697</v>
      </c>
      <c r="BF649" s="13" t="s">
        <v>951</v>
      </c>
      <c r="BG649" s="13" t="s">
        <v>6505</v>
      </c>
      <c r="BJ649" s="13" t="s">
        <v>6647</v>
      </c>
      <c r="BO649" s="13" t="s">
        <v>6952</v>
      </c>
      <c r="BS649" s="13" t="s">
        <v>127</v>
      </c>
      <c r="BT649" s="13" t="s">
        <v>6953</v>
      </c>
      <c r="BU649" s="13" t="s">
        <v>129</v>
      </c>
      <c r="BX649" s="13" t="s">
        <v>7064</v>
      </c>
      <c r="BY649" s="25"/>
      <c r="DA649" s="13" t="s">
        <v>10348</v>
      </c>
      <c r="DB649" s="13" t="s">
        <v>10348</v>
      </c>
    </row>
    <row r="650" spans="1:106" s="13" customFormat="1" ht="12.75" customHeight="1" x14ac:dyDescent="0.2">
      <c r="A650" s="13" t="s">
        <v>102</v>
      </c>
      <c r="B650" s="13" t="s">
        <v>103</v>
      </c>
      <c r="D650" s="13" t="s">
        <v>937</v>
      </c>
      <c r="E650" s="17" t="s">
        <v>228</v>
      </c>
      <c r="F650" s="13" t="s">
        <v>937</v>
      </c>
      <c r="G650" s="17" t="s">
        <v>229</v>
      </c>
      <c r="H650" s="13" t="s">
        <v>820</v>
      </c>
      <c r="I650" s="17"/>
      <c r="J650" s="13" t="s">
        <v>106</v>
      </c>
      <c r="W650" s="13">
        <v>649</v>
      </c>
      <c r="X650" s="13">
        <v>649</v>
      </c>
      <c r="Y650" s="13" t="s">
        <v>107</v>
      </c>
      <c r="Z650" s="13" t="s">
        <v>108</v>
      </c>
      <c r="AA650" s="37" t="s">
        <v>107</v>
      </c>
      <c r="AB650" s="13" t="s">
        <v>7065</v>
      </c>
      <c r="AC650" s="13" t="s">
        <v>7065</v>
      </c>
      <c r="AD650" s="13" t="s">
        <v>7065</v>
      </c>
      <c r="AE650" s="20" t="s">
        <v>112</v>
      </c>
      <c r="AF650" s="13" t="s">
        <v>7065</v>
      </c>
      <c r="AG650" s="32" t="s">
        <v>7065</v>
      </c>
      <c r="AH650" s="34" t="s">
        <v>7066</v>
      </c>
      <c r="AL650" s="13" t="s">
        <v>7067</v>
      </c>
      <c r="AN650" s="13">
        <v>329</v>
      </c>
      <c r="AO650" s="13" t="s">
        <v>7068</v>
      </c>
      <c r="AQ650" s="13" t="s">
        <v>7065</v>
      </c>
      <c r="AR650" s="13" t="s">
        <v>7065</v>
      </c>
      <c r="AS650" s="13" t="s">
        <v>116</v>
      </c>
      <c r="AT650" s="13" t="s">
        <v>7069</v>
      </c>
      <c r="AU650" s="13" t="s">
        <v>6947</v>
      </c>
      <c r="AV650" s="13" t="s">
        <v>2204</v>
      </c>
      <c r="AW650" s="24" t="s">
        <v>1691</v>
      </c>
      <c r="AX650" s="24" t="s">
        <v>1692</v>
      </c>
      <c r="AY650" s="13" t="s">
        <v>7070</v>
      </c>
      <c r="AZ650" s="13" t="s">
        <v>7071</v>
      </c>
      <c r="BA650" s="13" t="s">
        <v>7071</v>
      </c>
      <c r="BB650" s="13" t="s">
        <v>7072</v>
      </c>
      <c r="BC650" s="13" t="s">
        <v>7073</v>
      </c>
      <c r="BD650" s="16">
        <f t="shared" si="23"/>
        <v>57</v>
      </c>
      <c r="BE650" s="13" t="s">
        <v>1697</v>
      </c>
      <c r="BF650" s="13" t="s">
        <v>951</v>
      </c>
      <c r="BG650" s="13" t="s">
        <v>6505</v>
      </c>
      <c r="BJ650" s="13" t="s">
        <v>2080</v>
      </c>
      <c r="BO650" s="13" t="s">
        <v>6952</v>
      </c>
      <c r="BS650" s="13" t="s">
        <v>127</v>
      </c>
      <c r="BT650" s="13" t="s">
        <v>6953</v>
      </c>
      <c r="BU650" s="13" t="s">
        <v>129</v>
      </c>
      <c r="BX650" s="13" t="s">
        <v>7074</v>
      </c>
      <c r="BY650" s="25"/>
      <c r="DA650" s="13" t="s">
        <v>10348</v>
      </c>
      <c r="DB650" s="13" t="s">
        <v>10348</v>
      </c>
    </row>
    <row r="651" spans="1:106" s="13" customFormat="1" ht="12.75" customHeight="1" x14ac:dyDescent="0.2">
      <c r="A651" s="13" t="s">
        <v>102</v>
      </c>
      <c r="B651" s="13" t="s">
        <v>103</v>
      </c>
      <c r="D651" s="13" t="s">
        <v>937</v>
      </c>
      <c r="E651" s="17" t="s">
        <v>228</v>
      </c>
      <c r="F651" s="13" t="s">
        <v>937</v>
      </c>
      <c r="G651" s="17" t="s">
        <v>229</v>
      </c>
      <c r="H651" s="13" t="s">
        <v>820</v>
      </c>
      <c r="I651" s="17"/>
      <c r="J651" s="13" t="s">
        <v>106</v>
      </c>
      <c r="W651" s="13">
        <v>650</v>
      </c>
      <c r="X651" s="13">
        <v>650</v>
      </c>
      <c r="Y651" s="13" t="s">
        <v>107</v>
      </c>
      <c r="Z651" s="13" t="s">
        <v>108</v>
      </c>
      <c r="AA651" s="37" t="s">
        <v>107</v>
      </c>
      <c r="AB651" s="13" t="s">
        <v>7075</v>
      </c>
      <c r="AC651" s="13" t="s">
        <v>7075</v>
      </c>
      <c r="AD651" s="13" t="s">
        <v>7075</v>
      </c>
      <c r="AE651" s="20" t="s">
        <v>112</v>
      </c>
      <c r="AF651" s="13" t="s">
        <v>7075</v>
      </c>
      <c r="AG651" s="32" t="s">
        <v>7075</v>
      </c>
      <c r="AH651" s="34" t="s">
        <v>7076</v>
      </c>
      <c r="AL651" s="13" t="s">
        <v>7077</v>
      </c>
      <c r="AN651" s="13">
        <v>329</v>
      </c>
      <c r="AO651" s="13" t="s">
        <v>7078</v>
      </c>
      <c r="AQ651" s="13" t="s">
        <v>7075</v>
      </c>
      <c r="AR651" s="13" t="s">
        <v>7075</v>
      </c>
      <c r="AS651" s="13" t="s">
        <v>116</v>
      </c>
      <c r="AT651" s="13" t="s">
        <v>7079</v>
      </c>
      <c r="AU651" s="13" t="s">
        <v>6947</v>
      </c>
      <c r="AV651" s="13" t="s">
        <v>2204</v>
      </c>
      <c r="AW651" s="24" t="s">
        <v>1691</v>
      </c>
      <c r="AX651" s="24" t="s">
        <v>1692</v>
      </c>
      <c r="AY651" s="13" t="s">
        <v>7080</v>
      </c>
      <c r="AZ651" s="13" t="s">
        <v>7081</v>
      </c>
      <c r="BA651" s="13" t="s">
        <v>7081</v>
      </c>
      <c r="BB651" s="13" t="s">
        <v>7082</v>
      </c>
      <c r="BC651" s="13" t="s">
        <v>7083</v>
      </c>
      <c r="BD651" s="16">
        <f t="shared" si="23"/>
        <v>57</v>
      </c>
      <c r="BE651" s="13" t="s">
        <v>1697</v>
      </c>
      <c r="BF651" s="13" t="s">
        <v>951</v>
      </c>
      <c r="BG651" s="13" t="s">
        <v>6505</v>
      </c>
      <c r="BJ651" s="13" t="s">
        <v>6679</v>
      </c>
      <c r="BO651" s="13" t="s">
        <v>6952</v>
      </c>
      <c r="BS651" s="13" t="s">
        <v>127</v>
      </c>
      <c r="BT651" s="13" t="s">
        <v>6953</v>
      </c>
      <c r="BU651" s="13" t="s">
        <v>129</v>
      </c>
      <c r="BX651" s="13" t="s">
        <v>7084</v>
      </c>
      <c r="BY651" s="25"/>
      <c r="DA651" s="13" t="s">
        <v>10348</v>
      </c>
      <c r="DB651" s="13" t="s">
        <v>10348</v>
      </c>
    </row>
    <row r="652" spans="1:106" s="13" customFormat="1" ht="12.75" customHeight="1" x14ac:dyDescent="0.2">
      <c r="A652" s="13" t="s">
        <v>102</v>
      </c>
      <c r="B652" s="13" t="s">
        <v>103</v>
      </c>
      <c r="D652" s="13" t="s">
        <v>937</v>
      </c>
      <c r="E652" s="17" t="s">
        <v>228</v>
      </c>
      <c r="F652" s="13" t="s">
        <v>937</v>
      </c>
      <c r="G652" s="17" t="s">
        <v>229</v>
      </c>
      <c r="H652" s="13" t="s">
        <v>820</v>
      </c>
      <c r="I652" s="17"/>
      <c r="J652" s="13" t="s">
        <v>106</v>
      </c>
      <c r="W652" s="13">
        <v>651</v>
      </c>
      <c r="X652" s="13">
        <v>651</v>
      </c>
      <c r="Y652" s="13" t="s">
        <v>107</v>
      </c>
      <c r="Z652" s="13" t="s">
        <v>108</v>
      </c>
      <c r="AA652" s="37" t="s">
        <v>107</v>
      </c>
      <c r="AB652" s="13" t="s">
        <v>7085</v>
      </c>
      <c r="AC652" s="13" t="s">
        <v>7085</v>
      </c>
      <c r="AD652" s="13" t="s">
        <v>7085</v>
      </c>
      <c r="AE652" s="20" t="s">
        <v>112</v>
      </c>
      <c r="AF652" s="13" t="s">
        <v>7085</v>
      </c>
      <c r="AG652" s="32" t="s">
        <v>7085</v>
      </c>
      <c r="AH652" s="34" t="s">
        <v>7086</v>
      </c>
      <c r="AL652" s="13" t="s">
        <v>7087</v>
      </c>
      <c r="AN652" s="13">
        <v>329</v>
      </c>
      <c r="AO652" s="13" t="s">
        <v>7088</v>
      </c>
      <c r="AQ652" s="13" t="s">
        <v>7085</v>
      </c>
      <c r="AR652" s="13" t="s">
        <v>7085</v>
      </c>
      <c r="AS652" s="13" t="s">
        <v>116</v>
      </c>
      <c r="AT652" s="13" t="s">
        <v>7089</v>
      </c>
      <c r="AU652" s="13" t="s">
        <v>6947</v>
      </c>
      <c r="AV652" s="13" t="s">
        <v>2204</v>
      </c>
      <c r="AW652" s="24" t="s">
        <v>1691</v>
      </c>
      <c r="AX652" s="24" t="s">
        <v>1692</v>
      </c>
      <c r="AY652" s="13" t="s">
        <v>7090</v>
      </c>
      <c r="AZ652" s="13" t="s">
        <v>7091</v>
      </c>
      <c r="BA652" s="13" t="s">
        <v>7091</v>
      </c>
      <c r="BB652" s="13" t="s">
        <v>7092</v>
      </c>
      <c r="BC652" s="13" t="s">
        <v>7093</v>
      </c>
      <c r="BD652" s="16">
        <f t="shared" si="23"/>
        <v>57</v>
      </c>
      <c r="BE652" s="13" t="s">
        <v>1697</v>
      </c>
      <c r="BF652" s="13" t="s">
        <v>951</v>
      </c>
      <c r="BG652" s="13" t="s">
        <v>6505</v>
      </c>
      <c r="BJ652" s="13" t="s">
        <v>5942</v>
      </c>
      <c r="BO652" s="13" t="s">
        <v>6952</v>
      </c>
      <c r="BS652" s="13" t="s">
        <v>127</v>
      </c>
      <c r="BT652" s="13" t="s">
        <v>6953</v>
      </c>
      <c r="BU652" s="13" t="s">
        <v>129</v>
      </c>
      <c r="BX652" s="13" t="s">
        <v>7094</v>
      </c>
      <c r="BY652" s="25"/>
      <c r="DA652" s="13" t="s">
        <v>10348</v>
      </c>
      <c r="DB652" s="13" t="s">
        <v>10348</v>
      </c>
    </row>
    <row r="653" spans="1:106" s="13" customFormat="1" ht="12.75" customHeight="1" x14ac:dyDescent="0.2">
      <c r="A653" s="13" t="s">
        <v>102</v>
      </c>
      <c r="B653" s="13" t="s">
        <v>103</v>
      </c>
      <c r="D653" s="13" t="s">
        <v>937</v>
      </c>
      <c r="E653" s="17" t="s">
        <v>228</v>
      </c>
      <c r="F653" s="13" t="s">
        <v>937</v>
      </c>
      <c r="G653" s="17" t="s">
        <v>229</v>
      </c>
      <c r="H653" s="13" t="s">
        <v>820</v>
      </c>
      <c r="I653" s="17"/>
      <c r="J653" s="13" t="s">
        <v>106</v>
      </c>
      <c r="W653" s="13">
        <v>652</v>
      </c>
      <c r="X653" s="13">
        <v>652</v>
      </c>
      <c r="Y653" s="13" t="s">
        <v>107</v>
      </c>
      <c r="Z653" s="13" t="s">
        <v>108</v>
      </c>
      <c r="AA653" s="37" t="s">
        <v>107</v>
      </c>
      <c r="AB653" s="13" t="s">
        <v>7095</v>
      </c>
      <c r="AC653" s="13" t="s">
        <v>7095</v>
      </c>
      <c r="AD653" s="13" t="s">
        <v>7095</v>
      </c>
      <c r="AE653" s="20" t="s">
        <v>112</v>
      </c>
      <c r="AF653" s="13" t="s">
        <v>7095</v>
      </c>
      <c r="AG653" s="32" t="s">
        <v>7095</v>
      </c>
      <c r="AH653" s="34" t="s">
        <v>7096</v>
      </c>
      <c r="AL653" s="13" t="s">
        <v>7097</v>
      </c>
      <c r="AN653" s="13">
        <v>329</v>
      </c>
      <c r="AO653" s="13" t="s">
        <v>7098</v>
      </c>
      <c r="AQ653" s="13" t="s">
        <v>7095</v>
      </c>
      <c r="AR653" s="13" t="s">
        <v>7095</v>
      </c>
      <c r="AS653" s="13" t="s">
        <v>116</v>
      </c>
      <c r="AT653" s="13" t="s">
        <v>7099</v>
      </c>
      <c r="AU653" s="13" t="s">
        <v>7100</v>
      </c>
      <c r="AV653" s="13" t="s">
        <v>7101</v>
      </c>
      <c r="AW653" s="24" t="s">
        <v>1691</v>
      </c>
      <c r="AX653" s="24" t="s">
        <v>1692</v>
      </c>
      <c r="AY653" s="13" t="s">
        <v>7102</v>
      </c>
      <c r="AZ653" s="13" t="s">
        <v>7103</v>
      </c>
      <c r="BA653" s="13" t="s">
        <v>7103</v>
      </c>
      <c r="BB653" s="13" t="s">
        <v>7104</v>
      </c>
      <c r="BC653" s="13" t="s">
        <v>7104</v>
      </c>
      <c r="BD653" s="16">
        <f t="shared" si="23"/>
        <v>55</v>
      </c>
      <c r="BE653" s="13" t="s">
        <v>1697</v>
      </c>
      <c r="BF653" s="13" t="s">
        <v>2453</v>
      </c>
      <c r="BH653" s="25" t="s">
        <v>2598</v>
      </c>
      <c r="BJ653" s="13" t="s">
        <v>1725</v>
      </c>
      <c r="BO653" s="13" t="s">
        <v>7105</v>
      </c>
      <c r="BS653" s="13" t="s">
        <v>127</v>
      </c>
      <c r="BU653" s="13" t="s">
        <v>129</v>
      </c>
      <c r="BX653" s="13" t="s">
        <v>7106</v>
      </c>
      <c r="DA653" s="13" t="s">
        <v>10348</v>
      </c>
      <c r="DB653" s="13" t="s">
        <v>10348</v>
      </c>
    </row>
    <row r="654" spans="1:106" s="13" customFormat="1" ht="12.75" customHeight="1" x14ac:dyDescent="0.2">
      <c r="A654" s="13" t="s">
        <v>102</v>
      </c>
      <c r="B654" s="13" t="s">
        <v>103</v>
      </c>
      <c r="D654" s="13" t="s">
        <v>937</v>
      </c>
      <c r="E654" s="17" t="s">
        <v>228</v>
      </c>
      <c r="F654" s="13" t="s">
        <v>937</v>
      </c>
      <c r="G654" s="17" t="s">
        <v>229</v>
      </c>
      <c r="H654" s="13" t="s">
        <v>820</v>
      </c>
      <c r="I654" s="17"/>
      <c r="J654" s="13" t="s">
        <v>106</v>
      </c>
      <c r="W654" s="13">
        <v>653</v>
      </c>
      <c r="X654" s="13">
        <v>653</v>
      </c>
      <c r="Y654" s="13" t="s">
        <v>107</v>
      </c>
      <c r="Z654" s="13" t="s">
        <v>108</v>
      </c>
      <c r="AA654" s="37" t="s">
        <v>107</v>
      </c>
      <c r="AB654" s="13" t="s">
        <v>7107</v>
      </c>
      <c r="AC654" s="13" t="s">
        <v>7107</v>
      </c>
      <c r="AD654" s="13" t="s">
        <v>7107</v>
      </c>
      <c r="AE654" s="20" t="s">
        <v>112</v>
      </c>
      <c r="AF654" s="13" t="s">
        <v>7107</v>
      </c>
      <c r="AG654" s="32" t="s">
        <v>7107</v>
      </c>
      <c r="AH654" s="34" t="s">
        <v>7108</v>
      </c>
      <c r="AL654" s="13" t="s">
        <v>7109</v>
      </c>
      <c r="AN654" s="13">
        <v>329</v>
      </c>
      <c r="AO654" s="13" t="s">
        <v>7110</v>
      </c>
      <c r="AQ654" s="13" t="s">
        <v>7107</v>
      </c>
      <c r="AR654" s="13" t="s">
        <v>7107</v>
      </c>
      <c r="AS654" s="13" t="s">
        <v>116</v>
      </c>
      <c r="AT654" s="13" t="s">
        <v>7111</v>
      </c>
      <c r="AU654" s="13" t="s">
        <v>7100</v>
      </c>
      <c r="AV654" s="13" t="s">
        <v>7101</v>
      </c>
      <c r="AW654" s="24" t="s">
        <v>1691</v>
      </c>
      <c r="AX654" s="24" t="s">
        <v>1692</v>
      </c>
      <c r="AY654" s="13" t="s">
        <v>7112</v>
      </c>
      <c r="AZ654" s="13" t="s">
        <v>7113</v>
      </c>
      <c r="BA654" s="13" t="s">
        <v>7113</v>
      </c>
      <c r="BB654" s="13" t="s">
        <v>7114</v>
      </c>
      <c r="BC654" s="13" t="s">
        <v>7114</v>
      </c>
      <c r="BD654" s="16">
        <f t="shared" si="23"/>
        <v>55</v>
      </c>
      <c r="BE654" s="13" t="s">
        <v>1697</v>
      </c>
      <c r="BF654" s="13" t="s">
        <v>2453</v>
      </c>
      <c r="BH654" s="25" t="s">
        <v>4738</v>
      </c>
      <c r="BJ654" s="13" t="s">
        <v>1798</v>
      </c>
      <c r="BO654" s="13" t="s">
        <v>7105</v>
      </c>
      <c r="BS654" s="13" t="s">
        <v>127</v>
      </c>
      <c r="BU654" s="13" t="s">
        <v>129</v>
      </c>
      <c r="BX654" s="13" t="s">
        <v>7115</v>
      </c>
      <c r="DA654" s="13" t="s">
        <v>10348</v>
      </c>
      <c r="DB654" s="13" t="s">
        <v>10348</v>
      </c>
    </row>
    <row r="655" spans="1:106" s="13" customFormat="1" ht="12.75" customHeight="1" x14ac:dyDescent="0.2">
      <c r="A655" s="13" t="s">
        <v>102</v>
      </c>
      <c r="B655" s="13" t="s">
        <v>103</v>
      </c>
      <c r="D655" s="13" t="s">
        <v>937</v>
      </c>
      <c r="E655" s="17" t="s">
        <v>228</v>
      </c>
      <c r="F655" s="13" t="s">
        <v>937</v>
      </c>
      <c r="G655" s="17" t="s">
        <v>229</v>
      </c>
      <c r="H655" s="13" t="s">
        <v>820</v>
      </c>
      <c r="I655" s="17"/>
      <c r="J655" s="13" t="s">
        <v>106</v>
      </c>
      <c r="W655" s="13">
        <v>654</v>
      </c>
      <c r="X655" s="13">
        <v>654</v>
      </c>
      <c r="Y655" s="13" t="s">
        <v>107</v>
      </c>
      <c r="Z655" s="13" t="s">
        <v>108</v>
      </c>
      <c r="AA655" s="37" t="s">
        <v>107</v>
      </c>
      <c r="AB655" s="13" t="s">
        <v>7116</v>
      </c>
      <c r="AC655" s="13" t="s">
        <v>7116</v>
      </c>
      <c r="AD655" s="13" t="s">
        <v>7116</v>
      </c>
      <c r="AE655" s="20" t="s">
        <v>112</v>
      </c>
      <c r="AF655" s="13" t="s">
        <v>7116</v>
      </c>
      <c r="AG655" s="32" t="s">
        <v>7116</v>
      </c>
      <c r="AH655" s="34" t="s">
        <v>7117</v>
      </c>
      <c r="AL655" s="13" t="s">
        <v>7118</v>
      </c>
      <c r="AN655" s="13">
        <v>329</v>
      </c>
      <c r="AO655" s="13" t="s">
        <v>7119</v>
      </c>
      <c r="AQ655" s="13" t="s">
        <v>7116</v>
      </c>
      <c r="AR655" s="13" t="s">
        <v>7116</v>
      </c>
      <c r="AS655" s="13" t="s">
        <v>116</v>
      </c>
      <c r="AT655" s="13" t="s">
        <v>7120</v>
      </c>
      <c r="AU655" s="13" t="s">
        <v>2041</v>
      </c>
      <c r="AV655" s="13" t="s">
        <v>2017</v>
      </c>
      <c r="AW655" s="24" t="s">
        <v>1691</v>
      </c>
      <c r="AX655" s="24" t="s">
        <v>1692</v>
      </c>
      <c r="AY655" s="13" t="s">
        <v>7121</v>
      </c>
      <c r="AZ655" s="13" t="s">
        <v>7122</v>
      </c>
      <c r="BA655" s="13" t="s">
        <v>7122</v>
      </c>
      <c r="BB655" s="13" t="s">
        <v>7123</v>
      </c>
      <c r="BC655" s="13" t="s">
        <v>7124</v>
      </c>
      <c r="BD655" s="16">
        <f t="shared" si="23"/>
        <v>58</v>
      </c>
      <c r="BE655" s="13" t="s">
        <v>1697</v>
      </c>
      <c r="BF655" s="13" t="s">
        <v>2021</v>
      </c>
      <c r="BG655" s="13" t="s">
        <v>7125</v>
      </c>
      <c r="BJ655" s="13" t="s">
        <v>2090</v>
      </c>
      <c r="BK655" s="13" t="s">
        <v>7126</v>
      </c>
      <c r="BO655" s="13" t="s">
        <v>7127</v>
      </c>
      <c r="BS655" s="13" t="s">
        <v>127</v>
      </c>
      <c r="BT655" s="13" t="s">
        <v>2167</v>
      </c>
      <c r="BU655" s="13" t="s">
        <v>129</v>
      </c>
      <c r="BX655" s="13" t="s">
        <v>7128</v>
      </c>
      <c r="DA655" s="13" t="s">
        <v>10348</v>
      </c>
      <c r="DB655" s="13" t="s">
        <v>10348</v>
      </c>
    </row>
    <row r="656" spans="1:106" s="13" customFormat="1" ht="12.75" customHeight="1" x14ac:dyDescent="0.2">
      <c r="A656" s="13" t="s">
        <v>102</v>
      </c>
      <c r="B656" s="13" t="s">
        <v>103</v>
      </c>
      <c r="D656" s="13" t="s">
        <v>937</v>
      </c>
      <c r="E656" s="17" t="s">
        <v>228</v>
      </c>
      <c r="F656" s="13" t="s">
        <v>937</v>
      </c>
      <c r="G656" s="17" t="s">
        <v>229</v>
      </c>
      <c r="H656" s="13" t="s">
        <v>820</v>
      </c>
      <c r="I656" s="17"/>
      <c r="J656" s="13" t="s">
        <v>106</v>
      </c>
      <c r="W656" s="13">
        <v>655</v>
      </c>
      <c r="X656" s="13">
        <v>655</v>
      </c>
      <c r="Y656" s="13" t="s">
        <v>107</v>
      </c>
      <c r="Z656" s="13" t="s">
        <v>108</v>
      </c>
      <c r="AA656" s="37" t="s">
        <v>107</v>
      </c>
      <c r="AB656" s="13" t="s">
        <v>7129</v>
      </c>
      <c r="AC656" s="13" t="s">
        <v>7129</v>
      </c>
      <c r="AD656" s="13" t="s">
        <v>7129</v>
      </c>
      <c r="AE656" s="20" t="s">
        <v>112</v>
      </c>
      <c r="AF656" s="13" t="s">
        <v>7129</v>
      </c>
      <c r="AG656" s="32" t="s">
        <v>7129</v>
      </c>
      <c r="AH656" s="34" t="s">
        <v>7130</v>
      </c>
      <c r="AL656" s="13" t="s">
        <v>7131</v>
      </c>
      <c r="AN656" s="13">
        <v>329</v>
      </c>
      <c r="AO656" s="13" t="s">
        <v>7132</v>
      </c>
      <c r="AQ656" s="13" t="s">
        <v>7129</v>
      </c>
      <c r="AR656" s="13" t="s">
        <v>7129</v>
      </c>
      <c r="AS656" s="13" t="s">
        <v>116</v>
      </c>
      <c r="AT656" s="13" t="s">
        <v>7133</v>
      </c>
      <c r="AU656" s="13" t="s">
        <v>2041</v>
      </c>
      <c r="AV656" s="13" t="s">
        <v>2017</v>
      </c>
      <c r="AW656" s="24" t="s">
        <v>1691</v>
      </c>
      <c r="AX656" s="24" t="s">
        <v>1692</v>
      </c>
      <c r="AY656" s="13" t="s">
        <v>7134</v>
      </c>
      <c r="AZ656" s="13" t="s">
        <v>7135</v>
      </c>
      <c r="BA656" s="13" t="s">
        <v>7135</v>
      </c>
      <c r="BB656" s="13" t="s">
        <v>7136</v>
      </c>
      <c r="BC656" s="13" t="s">
        <v>7137</v>
      </c>
      <c r="BD656" s="16">
        <f t="shared" si="23"/>
        <v>59</v>
      </c>
      <c r="BE656" s="13" t="s">
        <v>1697</v>
      </c>
      <c r="BF656" s="13" t="s">
        <v>2021</v>
      </c>
      <c r="BG656" s="13" t="s">
        <v>7125</v>
      </c>
      <c r="BJ656" s="13" t="s">
        <v>7138</v>
      </c>
      <c r="BK656" s="13" t="s">
        <v>7139</v>
      </c>
      <c r="BO656" s="13" t="s">
        <v>7127</v>
      </c>
      <c r="BS656" s="13" t="s">
        <v>127</v>
      </c>
      <c r="BT656" s="13" t="s">
        <v>2167</v>
      </c>
      <c r="BU656" s="13" t="s">
        <v>129</v>
      </c>
      <c r="BX656" s="13" t="s">
        <v>7140</v>
      </c>
      <c r="DA656" s="13" t="s">
        <v>10348</v>
      </c>
      <c r="DB656" s="13" t="s">
        <v>10348</v>
      </c>
    </row>
    <row r="657" spans="1:106" s="13" customFormat="1" ht="12.75" customHeight="1" x14ac:dyDescent="0.2">
      <c r="A657" s="13" t="s">
        <v>102</v>
      </c>
      <c r="B657" s="13" t="s">
        <v>103</v>
      </c>
      <c r="D657" s="13" t="s">
        <v>937</v>
      </c>
      <c r="E657" s="17" t="s">
        <v>228</v>
      </c>
      <c r="F657" s="13" t="s">
        <v>937</v>
      </c>
      <c r="G657" s="17" t="s">
        <v>229</v>
      </c>
      <c r="H657" s="13" t="s">
        <v>820</v>
      </c>
      <c r="I657" s="17"/>
      <c r="J657" s="13" t="s">
        <v>106</v>
      </c>
      <c r="W657" s="13">
        <v>656</v>
      </c>
      <c r="X657" s="13">
        <v>656</v>
      </c>
      <c r="Y657" s="13" t="s">
        <v>107</v>
      </c>
      <c r="Z657" s="13" t="s">
        <v>108</v>
      </c>
      <c r="AA657" s="37" t="s">
        <v>107</v>
      </c>
      <c r="AB657" s="13" t="s">
        <v>7141</v>
      </c>
      <c r="AC657" s="13" t="s">
        <v>7141</v>
      </c>
      <c r="AD657" s="13" t="s">
        <v>7141</v>
      </c>
      <c r="AE657" s="20" t="s">
        <v>112</v>
      </c>
      <c r="AF657" s="13" t="s">
        <v>7141</v>
      </c>
      <c r="AG657" s="32" t="s">
        <v>7141</v>
      </c>
      <c r="AH657" s="34" t="s">
        <v>7142</v>
      </c>
      <c r="AL657" s="13" t="s">
        <v>7143</v>
      </c>
      <c r="AN657" s="13">
        <v>329</v>
      </c>
      <c r="AO657" s="13" t="s">
        <v>7144</v>
      </c>
      <c r="AQ657" s="13" t="s">
        <v>7141</v>
      </c>
      <c r="AR657" s="13" t="s">
        <v>7141</v>
      </c>
      <c r="AS657" s="13" t="s">
        <v>116</v>
      </c>
      <c r="AT657" s="13" t="s">
        <v>7145</v>
      </c>
      <c r="AU657" s="13" t="s">
        <v>2041</v>
      </c>
      <c r="AV657" s="13" t="s">
        <v>2017</v>
      </c>
      <c r="AW657" s="24" t="s">
        <v>1691</v>
      </c>
      <c r="AX657" s="24" t="s">
        <v>1692</v>
      </c>
      <c r="AY657" s="13" t="s">
        <v>7146</v>
      </c>
      <c r="AZ657" s="13" t="s">
        <v>7147</v>
      </c>
      <c r="BA657" s="13" t="s">
        <v>7147</v>
      </c>
      <c r="BB657" s="13" t="s">
        <v>7148</v>
      </c>
      <c r="BC657" s="13" t="s">
        <v>7149</v>
      </c>
      <c r="BD657" s="16">
        <f t="shared" si="23"/>
        <v>58</v>
      </c>
      <c r="BE657" s="13" t="s">
        <v>1697</v>
      </c>
      <c r="BF657" s="13" t="s">
        <v>2021</v>
      </c>
      <c r="BG657" s="13" t="s">
        <v>7125</v>
      </c>
      <c r="BJ657" s="13" t="s">
        <v>7150</v>
      </c>
      <c r="BK657" s="13" t="s">
        <v>7126</v>
      </c>
      <c r="BO657" s="13" t="s">
        <v>7127</v>
      </c>
      <c r="BS657" s="13" t="s">
        <v>127</v>
      </c>
      <c r="BT657" s="13" t="s">
        <v>2167</v>
      </c>
      <c r="BU657" s="13" t="s">
        <v>129</v>
      </c>
      <c r="BX657" s="13" t="s">
        <v>7151</v>
      </c>
      <c r="DA657" s="13" t="s">
        <v>10348</v>
      </c>
      <c r="DB657" s="13" t="s">
        <v>10348</v>
      </c>
    </row>
    <row r="658" spans="1:106" s="13" customFormat="1" ht="12.75" customHeight="1" x14ac:dyDescent="0.2">
      <c r="A658" s="13" t="s">
        <v>102</v>
      </c>
      <c r="B658" s="13" t="s">
        <v>103</v>
      </c>
      <c r="D658" s="13" t="s">
        <v>937</v>
      </c>
      <c r="E658" s="17" t="s">
        <v>228</v>
      </c>
      <c r="F658" s="13" t="s">
        <v>937</v>
      </c>
      <c r="G658" s="17" t="s">
        <v>229</v>
      </c>
      <c r="H658" s="13" t="s">
        <v>820</v>
      </c>
      <c r="I658" s="17"/>
      <c r="J658" s="13" t="s">
        <v>106</v>
      </c>
      <c r="W658" s="13">
        <v>657</v>
      </c>
      <c r="X658" s="13">
        <v>657</v>
      </c>
      <c r="Y658" s="13" t="s">
        <v>107</v>
      </c>
      <c r="Z658" s="13" t="s">
        <v>108</v>
      </c>
      <c r="AA658" s="37" t="s">
        <v>107</v>
      </c>
      <c r="AB658" s="13" t="s">
        <v>7152</v>
      </c>
      <c r="AC658" s="13" t="s">
        <v>7152</v>
      </c>
      <c r="AD658" s="13" t="s">
        <v>7152</v>
      </c>
      <c r="AE658" s="20" t="s">
        <v>112</v>
      </c>
      <c r="AF658" s="13" t="s">
        <v>7152</v>
      </c>
      <c r="AG658" s="32" t="s">
        <v>7152</v>
      </c>
      <c r="AH658" s="34" t="s">
        <v>7153</v>
      </c>
      <c r="AL658" s="13" t="s">
        <v>7154</v>
      </c>
      <c r="AN658" s="13">
        <v>329</v>
      </c>
      <c r="AO658" s="13" t="s">
        <v>7155</v>
      </c>
      <c r="AQ658" s="13" t="s">
        <v>7152</v>
      </c>
      <c r="AR658" s="13" t="s">
        <v>7152</v>
      </c>
      <c r="AS658" s="13" t="s">
        <v>116</v>
      </c>
      <c r="AT658" s="13" t="s">
        <v>7156</v>
      </c>
      <c r="AU658" s="13" t="s">
        <v>2041</v>
      </c>
      <c r="AV658" s="13" t="s">
        <v>2017</v>
      </c>
      <c r="AW658" s="24" t="s">
        <v>1691</v>
      </c>
      <c r="AX658" s="24" t="s">
        <v>1692</v>
      </c>
      <c r="AY658" s="13" t="s">
        <v>7157</v>
      </c>
      <c r="AZ658" s="13" t="s">
        <v>7158</v>
      </c>
      <c r="BA658" s="13" t="s">
        <v>7158</v>
      </c>
      <c r="BB658" s="13" t="s">
        <v>7159</v>
      </c>
      <c r="BC658" s="13" t="s">
        <v>7160</v>
      </c>
      <c r="BD658" s="16">
        <f t="shared" si="23"/>
        <v>58</v>
      </c>
      <c r="BE658" s="13" t="s">
        <v>1697</v>
      </c>
      <c r="BF658" s="13" t="s">
        <v>2021</v>
      </c>
      <c r="BG658" s="13" t="s">
        <v>7125</v>
      </c>
      <c r="BJ658" s="13" t="s">
        <v>7161</v>
      </c>
      <c r="BK658" s="13" t="s">
        <v>7162</v>
      </c>
      <c r="BO658" s="13" t="s">
        <v>7127</v>
      </c>
      <c r="BS658" s="13" t="s">
        <v>127</v>
      </c>
      <c r="BT658" s="13" t="s">
        <v>2167</v>
      </c>
      <c r="BU658" s="13" t="s">
        <v>129</v>
      </c>
      <c r="BX658" s="13" t="s">
        <v>7163</v>
      </c>
      <c r="DA658" s="13" t="s">
        <v>10348</v>
      </c>
      <c r="DB658" s="13" t="s">
        <v>10348</v>
      </c>
    </row>
    <row r="659" spans="1:106" s="13" customFormat="1" ht="12.75" customHeight="1" x14ac:dyDescent="0.2">
      <c r="A659" s="13" t="s">
        <v>102</v>
      </c>
      <c r="B659" s="13" t="s">
        <v>103</v>
      </c>
      <c r="D659" s="13" t="s">
        <v>937</v>
      </c>
      <c r="E659" s="17" t="s">
        <v>228</v>
      </c>
      <c r="F659" s="13" t="s">
        <v>937</v>
      </c>
      <c r="G659" s="17" t="s">
        <v>229</v>
      </c>
      <c r="H659" s="13" t="s">
        <v>820</v>
      </c>
      <c r="I659" s="17"/>
      <c r="J659" s="13" t="s">
        <v>106</v>
      </c>
      <c r="W659" s="13">
        <v>658</v>
      </c>
      <c r="X659" s="13">
        <v>658</v>
      </c>
      <c r="Y659" s="13" t="s">
        <v>107</v>
      </c>
      <c r="Z659" s="13" t="s">
        <v>108</v>
      </c>
      <c r="AA659" s="37" t="s">
        <v>107</v>
      </c>
      <c r="AB659" s="13" t="s">
        <v>7164</v>
      </c>
      <c r="AC659" s="13" t="s">
        <v>7164</v>
      </c>
      <c r="AD659" s="13" t="s">
        <v>7164</v>
      </c>
      <c r="AE659" s="20" t="s">
        <v>112</v>
      </c>
      <c r="AF659" s="13" t="s">
        <v>7164</v>
      </c>
      <c r="AG659" s="32" t="s">
        <v>7164</v>
      </c>
      <c r="AH659" s="34" t="s">
        <v>7165</v>
      </c>
      <c r="AL659" s="13" t="s">
        <v>7166</v>
      </c>
      <c r="AN659" s="13">
        <v>329</v>
      </c>
      <c r="AO659" s="13" t="s">
        <v>7167</v>
      </c>
      <c r="AQ659" s="13" t="s">
        <v>7164</v>
      </c>
      <c r="AR659" s="13" t="s">
        <v>7164</v>
      </c>
      <c r="AS659" s="13" t="s">
        <v>116</v>
      </c>
      <c r="AT659" s="13" t="s">
        <v>7168</v>
      </c>
      <c r="AU659" s="13" t="s">
        <v>2041</v>
      </c>
      <c r="AV659" s="13" t="s">
        <v>2017</v>
      </c>
      <c r="AW659" s="24" t="s">
        <v>1691</v>
      </c>
      <c r="AX659" s="24" t="s">
        <v>1692</v>
      </c>
      <c r="AY659" s="13" t="s">
        <v>7169</v>
      </c>
      <c r="AZ659" s="13" t="s">
        <v>7170</v>
      </c>
      <c r="BA659" s="13" t="s">
        <v>7170</v>
      </c>
      <c r="BB659" s="13" t="s">
        <v>7171</v>
      </c>
      <c r="BC659" s="13" t="s">
        <v>7172</v>
      </c>
      <c r="BD659" s="16">
        <f t="shared" si="23"/>
        <v>60</v>
      </c>
      <c r="BE659" s="13" t="s">
        <v>1697</v>
      </c>
      <c r="BF659" s="13" t="s">
        <v>2021</v>
      </c>
      <c r="BG659" s="13" t="s">
        <v>7125</v>
      </c>
      <c r="BJ659" s="13" t="s">
        <v>7173</v>
      </c>
      <c r="BK659" s="13" t="s">
        <v>7174</v>
      </c>
      <c r="BO659" s="13" t="s">
        <v>7127</v>
      </c>
      <c r="BS659" s="13" t="s">
        <v>127</v>
      </c>
      <c r="BT659" s="13" t="s">
        <v>2167</v>
      </c>
      <c r="BU659" s="13" t="s">
        <v>129</v>
      </c>
      <c r="BX659" s="13" t="s">
        <v>7175</v>
      </c>
      <c r="DA659" s="13" t="s">
        <v>10348</v>
      </c>
      <c r="DB659" s="13" t="s">
        <v>10348</v>
      </c>
    </row>
    <row r="660" spans="1:106" s="13" customFormat="1" ht="12.75" customHeight="1" x14ac:dyDescent="0.2">
      <c r="A660" s="13" t="s">
        <v>102</v>
      </c>
      <c r="B660" s="13" t="s">
        <v>103</v>
      </c>
      <c r="D660" s="13" t="s">
        <v>937</v>
      </c>
      <c r="E660" s="17" t="s">
        <v>228</v>
      </c>
      <c r="F660" s="13" t="s">
        <v>937</v>
      </c>
      <c r="G660" s="17" t="s">
        <v>229</v>
      </c>
      <c r="H660" s="13" t="s">
        <v>820</v>
      </c>
      <c r="I660" s="17"/>
      <c r="J660" s="13" t="s">
        <v>106</v>
      </c>
      <c r="W660" s="13">
        <v>659</v>
      </c>
      <c r="X660" s="13">
        <v>659</v>
      </c>
      <c r="Y660" s="13" t="s">
        <v>107</v>
      </c>
      <c r="Z660" s="13" t="s">
        <v>108</v>
      </c>
      <c r="AA660" s="37" t="s">
        <v>107</v>
      </c>
      <c r="AB660" s="13" t="s">
        <v>7176</v>
      </c>
      <c r="AC660" s="13" t="s">
        <v>7176</v>
      </c>
      <c r="AD660" s="13" t="s">
        <v>7176</v>
      </c>
      <c r="AE660" s="20" t="s">
        <v>112</v>
      </c>
      <c r="AF660" s="13" t="s">
        <v>7176</v>
      </c>
      <c r="AG660" s="32" t="s">
        <v>7176</v>
      </c>
      <c r="AH660" s="34" t="s">
        <v>7177</v>
      </c>
      <c r="AL660" s="13" t="s">
        <v>7178</v>
      </c>
      <c r="AN660" s="13">
        <v>329</v>
      </c>
      <c r="AO660" s="13" t="s">
        <v>7179</v>
      </c>
      <c r="AQ660" s="13" t="s">
        <v>7176</v>
      </c>
      <c r="AR660" s="13" t="s">
        <v>7176</v>
      </c>
      <c r="AS660" s="13" t="s">
        <v>116</v>
      </c>
      <c r="AT660" s="13" t="s">
        <v>7180</v>
      </c>
      <c r="AU660" s="13" t="s">
        <v>2041</v>
      </c>
      <c r="AV660" s="13" t="s">
        <v>2017</v>
      </c>
      <c r="AW660" s="24" t="s">
        <v>1691</v>
      </c>
      <c r="AX660" s="24" t="s">
        <v>1692</v>
      </c>
      <c r="AY660" s="13" t="s">
        <v>7181</v>
      </c>
      <c r="AZ660" s="13" t="s">
        <v>7182</v>
      </c>
      <c r="BA660" s="13" t="s">
        <v>7182</v>
      </c>
      <c r="BB660" s="13" t="s">
        <v>7183</v>
      </c>
      <c r="BC660" s="13" t="s">
        <v>7184</v>
      </c>
      <c r="BD660" s="16">
        <f t="shared" si="23"/>
        <v>59</v>
      </c>
      <c r="BE660" s="13" t="s">
        <v>1697</v>
      </c>
      <c r="BF660" s="13" t="s">
        <v>2021</v>
      </c>
      <c r="BG660" s="13" t="s">
        <v>7125</v>
      </c>
      <c r="BJ660" s="13" t="s">
        <v>7185</v>
      </c>
      <c r="BK660" s="13" t="s">
        <v>7186</v>
      </c>
      <c r="BO660" s="13" t="s">
        <v>7127</v>
      </c>
      <c r="BS660" s="13" t="s">
        <v>127</v>
      </c>
      <c r="BT660" s="13" t="s">
        <v>2167</v>
      </c>
      <c r="BU660" s="13" t="s">
        <v>129</v>
      </c>
      <c r="BX660" s="13" t="s">
        <v>7187</v>
      </c>
      <c r="DA660" s="13" t="s">
        <v>10348</v>
      </c>
      <c r="DB660" s="13" t="s">
        <v>10348</v>
      </c>
    </row>
    <row r="661" spans="1:106" s="13" customFormat="1" ht="12.75" customHeight="1" x14ac:dyDescent="0.2">
      <c r="A661" s="13" t="s">
        <v>102</v>
      </c>
      <c r="B661" s="13" t="s">
        <v>103</v>
      </c>
      <c r="D661" s="13" t="s">
        <v>937</v>
      </c>
      <c r="E661" s="17" t="s">
        <v>228</v>
      </c>
      <c r="F661" s="13" t="s">
        <v>937</v>
      </c>
      <c r="G661" s="17" t="s">
        <v>229</v>
      </c>
      <c r="H661" s="13" t="s">
        <v>820</v>
      </c>
      <c r="I661" s="17"/>
      <c r="J661" s="13" t="s">
        <v>106</v>
      </c>
      <c r="W661" s="13">
        <v>660</v>
      </c>
      <c r="X661" s="13">
        <v>660</v>
      </c>
      <c r="Y661" s="13" t="s">
        <v>107</v>
      </c>
      <c r="Z661" s="13" t="s">
        <v>108</v>
      </c>
      <c r="AA661" s="37" t="s">
        <v>107</v>
      </c>
      <c r="AB661" s="13" t="s">
        <v>7188</v>
      </c>
      <c r="AC661" s="13" t="s">
        <v>7188</v>
      </c>
      <c r="AD661" s="13" t="s">
        <v>7188</v>
      </c>
      <c r="AE661" s="20" t="s">
        <v>112</v>
      </c>
      <c r="AF661" s="13" t="s">
        <v>7188</v>
      </c>
      <c r="AG661" s="32" t="s">
        <v>7188</v>
      </c>
      <c r="AH661" s="34" t="s">
        <v>7189</v>
      </c>
      <c r="AL661" s="13" t="s">
        <v>7190</v>
      </c>
      <c r="AN661" s="13">
        <v>329</v>
      </c>
      <c r="AO661" s="13" t="s">
        <v>7191</v>
      </c>
      <c r="AQ661" s="13" t="s">
        <v>7188</v>
      </c>
      <c r="AR661" s="13" t="s">
        <v>7188</v>
      </c>
      <c r="AS661" s="13" t="s">
        <v>116</v>
      </c>
      <c r="AT661" s="13" t="s">
        <v>7192</v>
      </c>
      <c r="AU661" s="13" t="s">
        <v>2041</v>
      </c>
      <c r="AV661" s="13" t="s">
        <v>2017</v>
      </c>
      <c r="AW661" s="24" t="s">
        <v>1691</v>
      </c>
      <c r="AX661" s="24" t="s">
        <v>1692</v>
      </c>
      <c r="AY661" s="13" t="s">
        <v>7193</v>
      </c>
      <c r="AZ661" s="13" t="s">
        <v>7194</v>
      </c>
      <c r="BA661" s="13" t="s">
        <v>7194</v>
      </c>
      <c r="BB661" s="13" t="s">
        <v>7195</v>
      </c>
      <c r="BC661" s="13" t="s">
        <v>7196</v>
      </c>
      <c r="BD661" s="16">
        <f t="shared" si="23"/>
        <v>48</v>
      </c>
      <c r="BE661" s="13" t="s">
        <v>1697</v>
      </c>
      <c r="BF661" s="13" t="s">
        <v>2021</v>
      </c>
      <c r="BJ661" s="13" t="s">
        <v>2090</v>
      </c>
      <c r="BK661" s="13" t="s">
        <v>7197</v>
      </c>
      <c r="BO661" s="13" t="s">
        <v>7198</v>
      </c>
      <c r="BS661" s="13" t="s">
        <v>127</v>
      </c>
      <c r="BT661" s="13" t="s">
        <v>2167</v>
      </c>
      <c r="BU661" s="13" t="s">
        <v>129</v>
      </c>
      <c r="BX661" s="13" t="s">
        <v>7199</v>
      </c>
      <c r="DA661" s="13" t="s">
        <v>10348</v>
      </c>
      <c r="DB661" s="13" t="s">
        <v>10348</v>
      </c>
    </row>
    <row r="662" spans="1:106" s="13" customFormat="1" ht="12.75" customHeight="1" x14ac:dyDescent="0.2">
      <c r="A662" s="13" t="s">
        <v>102</v>
      </c>
      <c r="B662" s="13" t="s">
        <v>103</v>
      </c>
      <c r="D662" s="13" t="s">
        <v>937</v>
      </c>
      <c r="E662" s="17" t="s">
        <v>228</v>
      </c>
      <c r="F662" s="13" t="s">
        <v>937</v>
      </c>
      <c r="G662" s="17" t="s">
        <v>229</v>
      </c>
      <c r="H662" s="13" t="s">
        <v>820</v>
      </c>
      <c r="I662" s="17"/>
      <c r="J662" s="13" t="s">
        <v>106</v>
      </c>
      <c r="W662" s="13">
        <v>661</v>
      </c>
      <c r="X662" s="13">
        <v>661</v>
      </c>
      <c r="Y662" s="13" t="s">
        <v>107</v>
      </c>
      <c r="Z662" s="13" t="s">
        <v>108</v>
      </c>
      <c r="AA662" s="37" t="s">
        <v>107</v>
      </c>
      <c r="AB662" s="13" t="s">
        <v>7200</v>
      </c>
      <c r="AC662" s="13" t="s">
        <v>7200</v>
      </c>
      <c r="AD662" s="13" t="s">
        <v>7200</v>
      </c>
      <c r="AE662" s="20" t="s">
        <v>112</v>
      </c>
      <c r="AF662" s="13" t="s">
        <v>7200</v>
      </c>
      <c r="AG662" s="32" t="s">
        <v>7200</v>
      </c>
      <c r="AH662" s="34" t="s">
        <v>7201</v>
      </c>
      <c r="AL662" s="13" t="s">
        <v>7202</v>
      </c>
      <c r="AN662" s="13">
        <v>329</v>
      </c>
      <c r="AO662" s="13" t="s">
        <v>7203</v>
      </c>
      <c r="AQ662" s="13" t="s">
        <v>7200</v>
      </c>
      <c r="AR662" s="13" t="s">
        <v>7200</v>
      </c>
      <c r="AS662" s="13" t="s">
        <v>116</v>
      </c>
      <c r="AT662" s="13" t="s">
        <v>7204</v>
      </c>
      <c r="AU662" s="13" t="s">
        <v>2041</v>
      </c>
      <c r="AV662" s="13" t="s">
        <v>2017</v>
      </c>
      <c r="AW662" s="24" t="s">
        <v>1691</v>
      </c>
      <c r="AX662" s="24" t="s">
        <v>1692</v>
      </c>
      <c r="AY662" s="13" t="s">
        <v>7205</v>
      </c>
      <c r="AZ662" s="13" t="s">
        <v>7206</v>
      </c>
      <c r="BA662" s="13" t="s">
        <v>7206</v>
      </c>
      <c r="BB662" s="13" t="s">
        <v>7207</v>
      </c>
      <c r="BC662" s="13" t="s">
        <v>7208</v>
      </c>
      <c r="BD662" s="16">
        <f t="shared" si="23"/>
        <v>48</v>
      </c>
      <c r="BE662" s="13" t="s">
        <v>1697</v>
      </c>
      <c r="BF662" s="13" t="s">
        <v>2021</v>
      </c>
      <c r="BJ662" s="13" t="s">
        <v>2046</v>
      </c>
      <c r="BK662" s="13" t="s">
        <v>7209</v>
      </c>
      <c r="BO662" s="13" t="s">
        <v>7198</v>
      </c>
      <c r="BS662" s="13" t="s">
        <v>127</v>
      </c>
      <c r="BT662" s="13" t="s">
        <v>2167</v>
      </c>
      <c r="BU662" s="13" t="s">
        <v>129</v>
      </c>
      <c r="BX662" s="13" t="s">
        <v>7210</v>
      </c>
      <c r="DA662" s="13" t="s">
        <v>10348</v>
      </c>
      <c r="DB662" s="13" t="s">
        <v>10348</v>
      </c>
    </row>
    <row r="663" spans="1:106" s="13" customFormat="1" ht="12.75" customHeight="1" x14ac:dyDescent="0.2">
      <c r="A663" s="13" t="s">
        <v>102</v>
      </c>
      <c r="B663" s="13" t="s">
        <v>103</v>
      </c>
      <c r="D663" s="13" t="s">
        <v>937</v>
      </c>
      <c r="E663" s="17" t="s">
        <v>228</v>
      </c>
      <c r="F663" s="13" t="s">
        <v>937</v>
      </c>
      <c r="G663" s="17" t="s">
        <v>229</v>
      </c>
      <c r="H663" s="13" t="s">
        <v>820</v>
      </c>
      <c r="I663" s="17"/>
      <c r="J663" s="13" t="s">
        <v>106</v>
      </c>
      <c r="W663" s="13">
        <v>662</v>
      </c>
      <c r="X663" s="13">
        <v>662</v>
      </c>
      <c r="Y663" s="13" t="s">
        <v>107</v>
      </c>
      <c r="Z663" s="13" t="s">
        <v>108</v>
      </c>
      <c r="AA663" s="37" t="s">
        <v>107</v>
      </c>
      <c r="AB663" s="13" t="s">
        <v>7211</v>
      </c>
      <c r="AC663" s="13" t="s">
        <v>7211</v>
      </c>
      <c r="AD663" s="13" t="s">
        <v>7211</v>
      </c>
      <c r="AE663" s="20" t="s">
        <v>112</v>
      </c>
      <c r="AF663" s="13" t="s">
        <v>7211</v>
      </c>
      <c r="AG663" s="32" t="s">
        <v>7211</v>
      </c>
      <c r="AH663" s="34" t="s">
        <v>7212</v>
      </c>
      <c r="AL663" s="13" t="s">
        <v>7213</v>
      </c>
      <c r="AN663" s="13">
        <v>329</v>
      </c>
      <c r="AO663" s="13" t="s">
        <v>7214</v>
      </c>
      <c r="AQ663" s="13" t="s">
        <v>7211</v>
      </c>
      <c r="AR663" s="13" t="s">
        <v>7211</v>
      </c>
      <c r="AS663" s="13" t="s">
        <v>116</v>
      </c>
      <c r="AT663" s="13" t="s">
        <v>7215</v>
      </c>
      <c r="AU663" s="13" t="s">
        <v>2041</v>
      </c>
      <c r="AV663" s="13" t="s">
        <v>2017</v>
      </c>
      <c r="AW663" s="24" t="s">
        <v>1691</v>
      </c>
      <c r="AX663" s="24" t="s">
        <v>1692</v>
      </c>
      <c r="AY663" s="13" t="s">
        <v>7216</v>
      </c>
      <c r="AZ663" s="13" t="s">
        <v>7217</v>
      </c>
      <c r="BA663" s="13" t="s">
        <v>7217</v>
      </c>
      <c r="BB663" s="13" t="s">
        <v>7218</v>
      </c>
      <c r="BC663" s="13" t="s">
        <v>7219</v>
      </c>
      <c r="BD663" s="16">
        <f t="shared" si="23"/>
        <v>50</v>
      </c>
      <c r="BE663" s="13" t="s">
        <v>1697</v>
      </c>
      <c r="BF663" s="13" t="s">
        <v>2021</v>
      </c>
      <c r="BJ663" s="13" t="s">
        <v>2070</v>
      </c>
      <c r="BK663" s="13" t="s">
        <v>7220</v>
      </c>
      <c r="BO663" s="13" t="s">
        <v>7198</v>
      </c>
      <c r="BS663" s="13" t="s">
        <v>127</v>
      </c>
      <c r="BT663" s="13" t="s">
        <v>2167</v>
      </c>
      <c r="BU663" s="13" t="s">
        <v>129</v>
      </c>
      <c r="BX663" s="13" t="s">
        <v>7221</v>
      </c>
      <c r="DA663" s="13" t="s">
        <v>10348</v>
      </c>
      <c r="DB663" s="13" t="s">
        <v>10348</v>
      </c>
    </row>
    <row r="664" spans="1:106" s="13" customFormat="1" ht="12.75" customHeight="1" x14ac:dyDescent="0.2">
      <c r="A664" s="13" t="s">
        <v>102</v>
      </c>
      <c r="B664" s="13" t="s">
        <v>103</v>
      </c>
      <c r="D664" s="13" t="s">
        <v>937</v>
      </c>
      <c r="E664" s="17" t="s">
        <v>228</v>
      </c>
      <c r="F664" s="13" t="s">
        <v>937</v>
      </c>
      <c r="G664" s="17" t="s">
        <v>229</v>
      </c>
      <c r="H664" s="13" t="s">
        <v>820</v>
      </c>
      <c r="I664" s="17"/>
      <c r="J664" s="13" t="s">
        <v>106</v>
      </c>
      <c r="W664" s="13">
        <v>663</v>
      </c>
      <c r="X664" s="13">
        <v>663</v>
      </c>
      <c r="Y664" s="13" t="s">
        <v>107</v>
      </c>
      <c r="Z664" s="13" t="s">
        <v>108</v>
      </c>
      <c r="AA664" s="37" t="s">
        <v>107</v>
      </c>
      <c r="AB664" s="13" t="s">
        <v>7222</v>
      </c>
      <c r="AC664" s="13" t="s">
        <v>7222</v>
      </c>
      <c r="AD664" s="13" t="s">
        <v>7222</v>
      </c>
      <c r="AE664" s="20" t="s">
        <v>112</v>
      </c>
      <c r="AF664" s="13" t="s">
        <v>7222</v>
      </c>
      <c r="AG664" s="32" t="s">
        <v>7222</v>
      </c>
      <c r="AH664" s="34" t="s">
        <v>7223</v>
      </c>
      <c r="AL664" s="13" t="s">
        <v>7224</v>
      </c>
      <c r="AN664" s="13">
        <v>329</v>
      </c>
      <c r="AO664" s="13" t="s">
        <v>7225</v>
      </c>
      <c r="AQ664" s="13" t="s">
        <v>7222</v>
      </c>
      <c r="AR664" s="13" t="s">
        <v>7222</v>
      </c>
      <c r="AS664" s="13" t="s">
        <v>116</v>
      </c>
      <c r="AT664" s="13" t="s">
        <v>7226</v>
      </c>
      <c r="AU664" s="13" t="s">
        <v>2041</v>
      </c>
      <c r="AV664" s="13" t="s">
        <v>2017</v>
      </c>
      <c r="AW664" s="24" t="s">
        <v>1691</v>
      </c>
      <c r="AX664" s="24" t="s">
        <v>1692</v>
      </c>
      <c r="AY664" s="13" t="s">
        <v>7227</v>
      </c>
      <c r="AZ664" s="13" t="s">
        <v>7228</v>
      </c>
      <c r="BA664" s="13" t="s">
        <v>7228</v>
      </c>
      <c r="BB664" s="13" t="s">
        <v>7229</v>
      </c>
      <c r="BC664" s="13" t="s">
        <v>7230</v>
      </c>
      <c r="BD664" s="16">
        <f t="shared" si="23"/>
        <v>49</v>
      </c>
      <c r="BE664" s="13" t="s">
        <v>1697</v>
      </c>
      <c r="BF664" s="13" t="s">
        <v>2021</v>
      </c>
      <c r="BJ664" s="13" t="s">
        <v>2080</v>
      </c>
      <c r="BK664" s="13" t="s">
        <v>7231</v>
      </c>
      <c r="BO664" s="13" t="s">
        <v>7198</v>
      </c>
      <c r="BS664" s="13" t="s">
        <v>127</v>
      </c>
      <c r="BT664" s="13" t="s">
        <v>2167</v>
      </c>
      <c r="BU664" s="13" t="s">
        <v>129</v>
      </c>
      <c r="BX664" s="13" t="s">
        <v>7232</v>
      </c>
      <c r="DA664" s="13" t="s">
        <v>10348</v>
      </c>
      <c r="DB664" s="13" t="s">
        <v>10348</v>
      </c>
    </row>
    <row r="665" spans="1:106" s="13" customFormat="1" ht="12.75" customHeight="1" x14ac:dyDescent="0.2">
      <c r="A665" s="13" t="s">
        <v>102</v>
      </c>
      <c r="B665" s="13" t="s">
        <v>103</v>
      </c>
      <c r="D665" s="13" t="s">
        <v>937</v>
      </c>
      <c r="E665" s="17" t="s">
        <v>228</v>
      </c>
      <c r="F665" s="13" t="s">
        <v>937</v>
      </c>
      <c r="G665" s="17" t="s">
        <v>229</v>
      </c>
      <c r="H665" s="13" t="s">
        <v>820</v>
      </c>
      <c r="I665" s="17"/>
      <c r="J665" s="13" t="s">
        <v>106</v>
      </c>
      <c r="W665" s="13">
        <v>664</v>
      </c>
      <c r="X665" s="13">
        <v>664</v>
      </c>
      <c r="Y665" s="13" t="s">
        <v>107</v>
      </c>
      <c r="Z665" s="13" t="s">
        <v>108</v>
      </c>
      <c r="AA665" s="37" t="s">
        <v>107</v>
      </c>
      <c r="AB665" s="13" t="s">
        <v>7233</v>
      </c>
      <c r="AC665" s="13" t="s">
        <v>7233</v>
      </c>
      <c r="AD665" s="13" t="s">
        <v>7233</v>
      </c>
      <c r="AE665" s="20" t="s">
        <v>112</v>
      </c>
      <c r="AF665" s="13" t="s">
        <v>7233</v>
      </c>
      <c r="AG665" s="32" t="s">
        <v>7233</v>
      </c>
      <c r="AH665" s="34" t="s">
        <v>7234</v>
      </c>
      <c r="AL665" s="13" t="s">
        <v>7235</v>
      </c>
      <c r="AN665" s="13">
        <v>329</v>
      </c>
      <c r="AO665" s="13" t="s">
        <v>7236</v>
      </c>
      <c r="AQ665" s="13" t="s">
        <v>7233</v>
      </c>
      <c r="AR665" s="13" t="s">
        <v>7233</v>
      </c>
      <c r="AS665" s="13" t="s">
        <v>116</v>
      </c>
      <c r="AT665" s="13" t="s">
        <v>7237</v>
      </c>
      <c r="AU665" s="13" t="s">
        <v>2041</v>
      </c>
      <c r="AV665" s="13" t="s">
        <v>2017</v>
      </c>
      <c r="AW665" s="24" t="s">
        <v>1691</v>
      </c>
      <c r="AX665" s="24" t="s">
        <v>1692</v>
      </c>
      <c r="AY665" s="13" t="s">
        <v>7238</v>
      </c>
      <c r="AZ665" s="13" t="s">
        <v>7239</v>
      </c>
      <c r="BA665" s="13" t="s">
        <v>7239</v>
      </c>
      <c r="BB665" s="13" t="s">
        <v>7240</v>
      </c>
      <c r="BC665" s="13" t="s">
        <v>7241</v>
      </c>
      <c r="BD665" s="16">
        <f t="shared" si="23"/>
        <v>49</v>
      </c>
      <c r="BE665" s="13" t="s">
        <v>1697</v>
      </c>
      <c r="BF665" s="13" t="s">
        <v>2021</v>
      </c>
      <c r="BJ665" s="13" t="s">
        <v>7138</v>
      </c>
      <c r="BK665" s="13" t="s">
        <v>7139</v>
      </c>
      <c r="BO665" s="13" t="s">
        <v>7198</v>
      </c>
      <c r="BS665" s="13" t="s">
        <v>127</v>
      </c>
      <c r="BT665" s="13" t="s">
        <v>2167</v>
      </c>
      <c r="BU665" s="13" t="s">
        <v>129</v>
      </c>
      <c r="BX665" s="13" t="s">
        <v>7242</v>
      </c>
      <c r="DA665" s="13" t="s">
        <v>10348</v>
      </c>
      <c r="DB665" s="13" t="s">
        <v>10348</v>
      </c>
    </row>
    <row r="666" spans="1:106" s="13" customFormat="1" ht="12.75" customHeight="1" x14ac:dyDescent="0.2">
      <c r="A666" s="13" t="s">
        <v>102</v>
      </c>
      <c r="B666" s="13" t="s">
        <v>103</v>
      </c>
      <c r="D666" s="13" t="s">
        <v>937</v>
      </c>
      <c r="E666" s="17" t="s">
        <v>228</v>
      </c>
      <c r="F666" s="13" t="s">
        <v>937</v>
      </c>
      <c r="G666" s="17" t="s">
        <v>229</v>
      </c>
      <c r="H666" s="13" t="s">
        <v>820</v>
      </c>
      <c r="I666" s="17"/>
      <c r="J666" s="13" t="s">
        <v>106</v>
      </c>
      <c r="W666" s="13">
        <v>665</v>
      </c>
      <c r="X666" s="13">
        <v>665</v>
      </c>
      <c r="Y666" s="13" t="s">
        <v>107</v>
      </c>
      <c r="Z666" s="13" t="s">
        <v>108</v>
      </c>
      <c r="AA666" s="37" t="s">
        <v>107</v>
      </c>
      <c r="AB666" s="13" t="s">
        <v>7243</v>
      </c>
      <c r="AC666" s="13" t="s">
        <v>7243</v>
      </c>
      <c r="AD666" s="13" t="s">
        <v>7243</v>
      </c>
      <c r="AE666" s="20" t="s">
        <v>112</v>
      </c>
      <c r="AF666" s="13" t="s">
        <v>7243</v>
      </c>
      <c r="AG666" s="32" t="s">
        <v>7243</v>
      </c>
      <c r="AH666" s="34" t="s">
        <v>7244</v>
      </c>
      <c r="AL666" s="13" t="s">
        <v>7245</v>
      </c>
      <c r="AN666" s="13">
        <v>329</v>
      </c>
      <c r="AO666" s="13" t="s">
        <v>7246</v>
      </c>
      <c r="AQ666" s="13" t="s">
        <v>7243</v>
      </c>
      <c r="AR666" s="13" t="s">
        <v>7243</v>
      </c>
      <c r="AS666" s="13" t="s">
        <v>116</v>
      </c>
      <c r="AT666" s="13" t="s">
        <v>7247</v>
      </c>
      <c r="AU666" s="13" t="s">
        <v>7247</v>
      </c>
      <c r="AV666" s="13" t="s">
        <v>7248</v>
      </c>
      <c r="AW666" s="24" t="s">
        <v>7249</v>
      </c>
      <c r="AX666" s="24" t="s">
        <v>7250</v>
      </c>
      <c r="AY666" s="13" t="s">
        <v>7251</v>
      </c>
      <c r="AZ666" s="13" t="s">
        <v>7252</v>
      </c>
      <c r="BA666" s="13" t="s">
        <v>7252</v>
      </c>
      <c r="BB666" s="13" t="s">
        <v>7253</v>
      </c>
      <c r="BC666" s="13" t="s">
        <v>7254</v>
      </c>
      <c r="BD666" s="16">
        <f t="shared" si="23"/>
        <v>59</v>
      </c>
      <c r="BE666" s="13" t="s">
        <v>7255</v>
      </c>
      <c r="BG666" s="13" t="s">
        <v>7256</v>
      </c>
      <c r="BJ666" s="13" t="s">
        <v>7257</v>
      </c>
      <c r="BK666" s="13" t="s">
        <v>7258</v>
      </c>
      <c r="BO666" s="13" t="s">
        <v>7259</v>
      </c>
      <c r="BS666" s="13" t="s">
        <v>127</v>
      </c>
      <c r="BT666" s="13" t="s">
        <v>7260</v>
      </c>
      <c r="BU666" s="13" t="s">
        <v>129</v>
      </c>
      <c r="BX666" s="13" t="s">
        <v>7261</v>
      </c>
      <c r="DA666" s="13" t="s">
        <v>10348</v>
      </c>
      <c r="DB666" s="13" t="s">
        <v>10348</v>
      </c>
    </row>
    <row r="667" spans="1:106" s="13" customFormat="1" ht="12.75" customHeight="1" x14ac:dyDescent="0.2">
      <c r="A667" s="13" t="s">
        <v>102</v>
      </c>
      <c r="B667" s="13" t="s">
        <v>103</v>
      </c>
      <c r="D667" s="13" t="s">
        <v>937</v>
      </c>
      <c r="E667" s="17" t="s">
        <v>228</v>
      </c>
      <c r="F667" s="13" t="s">
        <v>937</v>
      </c>
      <c r="G667" s="17" t="s">
        <v>229</v>
      </c>
      <c r="H667" s="13" t="s">
        <v>820</v>
      </c>
      <c r="I667" s="17"/>
      <c r="J667" s="13" t="s">
        <v>106</v>
      </c>
      <c r="W667" s="13">
        <v>666</v>
      </c>
      <c r="X667" s="13">
        <v>666</v>
      </c>
      <c r="Y667" s="13" t="s">
        <v>107</v>
      </c>
      <c r="Z667" s="13" t="s">
        <v>108</v>
      </c>
      <c r="AA667" s="37" t="s">
        <v>107</v>
      </c>
      <c r="AB667" s="13" t="s">
        <v>7262</v>
      </c>
      <c r="AC667" s="13" t="s">
        <v>7262</v>
      </c>
      <c r="AD667" s="13" t="s">
        <v>7262</v>
      </c>
      <c r="AE667" s="20" t="s">
        <v>112</v>
      </c>
      <c r="AF667" s="13" t="s">
        <v>7262</v>
      </c>
      <c r="AG667" s="32" t="s">
        <v>7262</v>
      </c>
      <c r="AH667" s="34" t="s">
        <v>7263</v>
      </c>
      <c r="AL667" s="13" t="s">
        <v>7264</v>
      </c>
      <c r="AN667" s="13">
        <v>329</v>
      </c>
      <c r="AO667" s="13" t="s">
        <v>7265</v>
      </c>
      <c r="AQ667" s="13" t="s">
        <v>7262</v>
      </c>
      <c r="AR667" s="13" t="s">
        <v>7262</v>
      </c>
      <c r="AS667" s="13" t="s">
        <v>116</v>
      </c>
      <c r="AT667" s="13" t="s">
        <v>7266</v>
      </c>
      <c r="AU667" s="13" t="s">
        <v>7267</v>
      </c>
      <c r="AV667" s="13" t="s">
        <v>2204</v>
      </c>
      <c r="AW667" s="24" t="s">
        <v>1691</v>
      </c>
      <c r="AX667" s="24" t="s">
        <v>1692</v>
      </c>
      <c r="AY667" s="13" t="s">
        <v>7268</v>
      </c>
      <c r="AZ667" s="13" t="s">
        <v>7269</v>
      </c>
      <c r="BA667" s="13" t="s">
        <v>7269</v>
      </c>
      <c r="BB667" s="13" t="s">
        <v>7270</v>
      </c>
      <c r="BC667" s="13" t="s">
        <v>7270</v>
      </c>
      <c r="BD667" s="16">
        <f t="shared" si="23"/>
        <v>54</v>
      </c>
      <c r="BE667" s="13" t="s">
        <v>1697</v>
      </c>
      <c r="BF667" s="13" t="s">
        <v>951</v>
      </c>
      <c r="BG667" s="13" t="s">
        <v>7271</v>
      </c>
      <c r="BJ667" s="13" t="s">
        <v>7257</v>
      </c>
      <c r="BO667" s="13" t="s">
        <v>7272</v>
      </c>
      <c r="BS667" s="13" t="s">
        <v>127</v>
      </c>
      <c r="BU667" s="13" t="s">
        <v>129</v>
      </c>
      <c r="BX667" s="13" t="s">
        <v>7273</v>
      </c>
      <c r="DA667" s="13" t="s">
        <v>10348</v>
      </c>
      <c r="DB667" s="13" t="s">
        <v>10348</v>
      </c>
    </row>
    <row r="668" spans="1:106" s="13" customFormat="1" ht="12.75" customHeight="1" x14ac:dyDescent="0.2">
      <c r="A668" s="13" t="s">
        <v>102</v>
      </c>
      <c r="B668" s="13" t="s">
        <v>103</v>
      </c>
      <c r="D668" s="13" t="s">
        <v>937</v>
      </c>
      <c r="E668" s="17" t="s">
        <v>228</v>
      </c>
      <c r="F668" s="13" t="s">
        <v>937</v>
      </c>
      <c r="G668" s="17" t="s">
        <v>229</v>
      </c>
      <c r="H668" s="13" t="s">
        <v>820</v>
      </c>
      <c r="I668" s="17"/>
      <c r="J668" s="13" t="s">
        <v>106</v>
      </c>
      <c r="W668" s="13">
        <v>667</v>
      </c>
      <c r="X668" s="13">
        <v>667</v>
      </c>
      <c r="Y668" s="13" t="s">
        <v>107</v>
      </c>
      <c r="Z668" s="13" t="s">
        <v>108</v>
      </c>
      <c r="AA668" s="37" t="s">
        <v>107</v>
      </c>
      <c r="AB668" s="13" t="s">
        <v>7274</v>
      </c>
      <c r="AC668" s="13" t="s">
        <v>7274</v>
      </c>
      <c r="AD668" s="13" t="s">
        <v>7274</v>
      </c>
      <c r="AE668" s="20" t="s">
        <v>112</v>
      </c>
      <c r="AF668" s="13" t="s">
        <v>7274</v>
      </c>
      <c r="AG668" s="32" t="s">
        <v>7274</v>
      </c>
      <c r="AH668" s="34" t="s">
        <v>7275</v>
      </c>
      <c r="AL668" s="13" t="s">
        <v>7276</v>
      </c>
      <c r="AN668" s="13">
        <v>329</v>
      </c>
      <c r="AO668" s="13" t="s">
        <v>7277</v>
      </c>
      <c r="AQ668" s="13" t="s">
        <v>7274</v>
      </c>
      <c r="AR668" s="13" t="s">
        <v>7274</v>
      </c>
      <c r="AS668" s="13" t="s">
        <v>116</v>
      </c>
      <c r="AT668" s="13" t="s">
        <v>7278</v>
      </c>
      <c r="AU668" s="13" t="s">
        <v>7267</v>
      </c>
      <c r="AV668" s="13" t="s">
        <v>2204</v>
      </c>
      <c r="AW668" s="24" t="s">
        <v>1691</v>
      </c>
      <c r="AX668" s="24" t="s">
        <v>1692</v>
      </c>
      <c r="AY668" s="13" t="s">
        <v>7279</v>
      </c>
      <c r="AZ668" s="13" t="s">
        <v>7280</v>
      </c>
      <c r="BA668" s="13" t="s">
        <v>7280</v>
      </c>
      <c r="BB668" s="13" t="s">
        <v>7281</v>
      </c>
      <c r="BC668" s="13" t="s">
        <v>7281</v>
      </c>
      <c r="BD668" s="16">
        <f t="shared" si="23"/>
        <v>54</v>
      </c>
      <c r="BE668" s="13" t="s">
        <v>1697</v>
      </c>
      <c r="BF668" s="13" t="s">
        <v>951</v>
      </c>
      <c r="BG668" s="13" t="s">
        <v>7271</v>
      </c>
      <c r="BJ668" s="13" t="s">
        <v>7282</v>
      </c>
      <c r="BO668" s="13" t="s">
        <v>7272</v>
      </c>
      <c r="BS668" s="13" t="s">
        <v>127</v>
      </c>
      <c r="BU668" s="13" t="s">
        <v>129</v>
      </c>
      <c r="BX668" s="13" t="s">
        <v>7283</v>
      </c>
      <c r="BY668" s="25"/>
      <c r="DA668" s="13" t="s">
        <v>10348</v>
      </c>
      <c r="DB668" s="13" t="s">
        <v>10348</v>
      </c>
    </row>
    <row r="669" spans="1:106" s="13" customFormat="1" ht="12.75" customHeight="1" x14ac:dyDescent="0.2">
      <c r="A669" s="13" t="s">
        <v>102</v>
      </c>
      <c r="B669" s="13" t="s">
        <v>103</v>
      </c>
      <c r="D669" s="13" t="s">
        <v>937</v>
      </c>
      <c r="E669" s="17" t="s">
        <v>228</v>
      </c>
      <c r="F669" s="13" t="s">
        <v>937</v>
      </c>
      <c r="G669" s="17" t="s">
        <v>229</v>
      </c>
      <c r="H669" s="13" t="s">
        <v>820</v>
      </c>
      <c r="I669" s="17"/>
      <c r="J669" s="13" t="s">
        <v>106</v>
      </c>
      <c r="W669" s="13">
        <v>668</v>
      </c>
      <c r="X669" s="13">
        <v>668</v>
      </c>
      <c r="Y669" s="13" t="s">
        <v>107</v>
      </c>
      <c r="Z669" s="13" t="s">
        <v>108</v>
      </c>
      <c r="AA669" s="37" t="s">
        <v>107</v>
      </c>
      <c r="AB669" s="13" t="s">
        <v>7284</v>
      </c>
      <c r="AC669" s="13" t="s">
        <v>7284</v>
      </c>
      <c r="AD669" s="13" t="s">
        <v>7284</v>
      </c>
      <c r="AE669" s="20" t="s">
        <v>112</v>
      </c>
      <c r="AF669" s="13" t="s">
        <v>7284</v>
      </c>
      <c r="AG669" s="32" t="s">
        <v>7284</v>
      </c>
      <c r="AH669" s="34" t="s">
        <v>7285</v>
      </c>
      <c r="AL669" s="13" t="s">
        <v>7286</v>
      </c>
      <c r="AN669" s="13">
        <v>329</v>
      </c>
      <c r="AO669" s="13" t="s">
        <v>7287</v>
      </c>
      <c r="AQ669" s="13" t="s">
        <v>7284</v>
      </c>
      <c r="AR669" s="13" t="s">
        <v>7284</v>
      </c>
      <c r="AS669" s="13" t="s">
        <v>116</v>
      </c>
      <c r="AT669" s="13" t="s">
        <v>7288</v>
      </c>
      <c r="AU669" s="13" t="s">
        <v>7267</v>
      </c>
      <c r="AV669" s="13" t="s">
        <v>2204</v>
      </c>
      <c r="AW669" s="24" t="s">
        <v>1691</v>
      </c>
      <c r="AX669" s="24" t="s">
        <v>1692</v>
      </c>
      <c r="AY669" s="13" t="s">
        <v>7289</v>
      </c>
      <c r="AZ669" s="13" t="s">
        <v>7290</v>
      </c>
      <c r="BA669" s="13" t="s">
        <v>7290</v>
      </c>
      <c r="BB669" s="13" t="s">
        <v>7291</v>
      </c>
      <c r="BC669" s="13" t="s">
        <v>7291</v>
      </c>
      <c r="BD669" s="16">
        <f t="shared" si="23"/>
        <v>54</v>
      </c>
      <c r="BE669" s="13" t="s">
        <v>1697</v>
      </c>
      <c r="BF669" s="13" t="s">
        <v>951</v>
      </c>
      <c r="BG669" s="13" t="s">
        <v>7271</v>
      </c>
      <c r="BJ669" s="13" t="s">
        <v>7292</v>
      </c>
      <c r="BO669" s="13" t="s">
        <v>7272</v>
      </c>
      <c r="BS669" s="13" t="s">
        <v>127</v>
      </c>
      <c r="BU669" s="13" t="s">
        <v>129</v>
      </c>
      <c r="BX669" s="13" t="s">
        <v>7293</v>
      </c>
      <c r="BY669" s="25"/>
      <c r="DA669" s="13" t="s">
        <v>10348</v>
      </c>
      <c r="DB669" s="13" t="s">
        <v>10348</v>
      </c>
    </row>
    <row r="670" spans="1:106" s="13" customFormat="1" ht="12.75" customHeight="1" x14ac:dyDescent="0.2">
      <c r="A670" s="13" t="s">
        <v>102</v>
      </c>
      <c r="B670" s="13" t="s">
        <v>103</v>
      </c>
      <c r="D670" s="13" t="s">
        <v>937</v>
      </c>
      <c r="E670" s="17" t="s">
        <v>228</v>
      </c>
      <c r="F670" s="13" t="s">
        <v>937</v>
      </c>
      <c r="G670" s="17" t="s">
        <v>229</v>
      </c>
      <c r="H670" s="13" t="s">
        <v>820</v>
      </c>
      <c r="I670" s="17"/>
      <c r="J670" s="13" t="s">
        <v>106</v>
      </c>
      <c r="W670" s="13">
        <v>669</v>
      </c>
      <c r="X670" s="13">
        <v>669</v>
      </c>
      <c r="Y670" s="13" t="s">
        <v>107</v>
      </c>
      <c r="Z670" s="13" t="s">
        <v>108</v>
      </c>
      <c r="AA670" s="37" t="s">
        <v>107</v>
      </c>
      <c r="AB670" s="13" t="s">
        <v>7294</v>
      </c>
      <c r="AC670" s="13" t="s">
        <v>7294</v>
      </c>
      <c r="AD670" s="13" t="s">
        <v>7294</v>
      </c>
      <c r="AE670" s="20" t="s">
        <v>112</v>
      </c>
      <c r="AF670" s="13" t="s">
        <v>7294</v>
      </c>
      <c r="AG670" s="32" t="s">
        <v>7294</v>
      </c>
      <c r="AH670" s="34" t="s">
        <v>7295</v>
      </c>
      <c r="AL670" s="13" t="s">
        <v>7296</v>
      </c>
      <c r="AN670" s="13">
        <v>329</v>
      </c>
      <c r="AO670" s="13" t="s">
        <v>7297</v>
      </c>
      <c r="AQ670" s="13" t="s">
        <v>7294</v>
      </c>
      <c r="AR670" s="13" t="s">
        <v>7294</v>
      </c>
      <c r="AS670" s="13" t="s">
        <v>116</v>
      </c>
      <c r="AT670" s="13" t="s">
        <v>7298</v>
      </c>
      <c r="AU670" s="13" t="s">
        <v>7267</v>
      </c>
      <c r="AV670" s="13" t="s">
        <v>2204</v>
      </c>
      <c r="AW670" s="24" t="s">
        <v>1691</v>
      </c>
      <c r="AX670" s="24" t="s">
        <v>1692</v>
      </c>
      <c r="AY670" s="13" t="s">
        <v>7299</v>
      </c>
      <c r="AZ670" s="13" t="s">
        <v>7300</v>
      </c>
      <c r="BA670" s="13" t="s">
        <v>7300</v>
      </c>
      <c r="BB670" s="13" t="s">
        <v>7301</v>
      </c>
      <c r="BC670" s="13" t="s">
        <v>7302</v>
      </c>
      <c r="BD670" s="16">
        <f t="shared" si="23"/>
        <v>56</v>
      </c>
      <c r="BE670" s="13" t="s">
        <v>1697</v>
      </c>
      <c r="BF670" s="13" t="s">
        <v>951</v>
      </c>
      <c r="BG670" s="13" t="s">
        <v>7303</v>
      </c>
      <c r="BJ670" s="13" t="s">
        <v>7304</v>
      </c>
      <c r="BO670" s="13" t="s">
        <v>7305</v>
      </c>
      <c r="BS670" s="13" t="s">
        <v>127</v>
      </c>
      <c r="BU670" s="13" t="s">
        <v>129</v>
      </c>
      <c r="BX670" s="13" t="s">
        <v>7306</v>
      </c>
      <c r="BY670" s="25"/>
      <c r="DA670" s="13" t="s">
        <v>10348</v>
      </c>
      <c r="DB670" s="13" t="s">
        <v>10348</v>
      </c>
    </row>
    <row r="671" spans="1:106" s="13" customFormat="1" ht="12.75" customHeight="1" x14ac:dyDescent="0.2">
      <c r="A671" s="13" t="s">
        <v>102</v>
      </c>
      <c r="B671" s="13" t="s">
        <v>103</v>
      </c>
      <c r="D671" s="13" t="s">
        <v>937</v>
      </c>
      <c r="E671" s="17" t="s">
        <v>228</v>
      </c>
      <c r="F671" s="13" t="s">
        <v>937</v>
      </c>
      <c r="G671" s="17" t="s">
        <v>229</v>
      </c>
      <c r="H671" s="13" t="s">
        <v>820</v>
      </c>
      <c r="I671" s="17"/>
      <c r="J671" s="13" t="s">
        <v>106</v>
      </c>
      <c r="W671" s="13">
        <v>670</v>
      </c>
      <c r="X671" s="13">
        <v>670</v>
      </c>
      <c r="Y671" s="13" t="s">
        <v>107</v>
      </c>
      <c r="Z671" s="13" t="s">
        <v>108</v>
      </c>
      <c r="AA671" s="37" t="s">
        <v>107</v>
      </c>
      <c r="AB671" s="13" t="s">
        <v>7307</v>
      </c>
      <c r="AC671" s="13" t="s">
        <v>7307</v>
      </c>
      <c r="AD671" s="13" t="s">
        <v>7307</v>
      </c>
      <c r="AE671" s="20" t="s">
        <v>112</v>
      </c>
      <c r="AF671" s="13" t="s">
        <v>7307</v>
      </c>
      <c r="AG671" s="32" t="s">
        <v>7307</v>
      </c>
      <c r="AH671" s="34" t="s">
        <v>7308</v>
      </c>
      <c r="AL671" s="13" t="s">
        <v>7309</v>
      </c>
      <c r="AN671" s="13">
        <v>329</v>
      </c>
      <c r="AO671" s="13" t="s">
        <v>7310</v>
      </c>
      <c r="AQ671" s="13" t="s">
        <v>7307</v>
      </c>
      <c r="AR671" s="13" t="s">
        <v>7307</v>
      </c>
      <c r="AS671" s="13" t="s">
        <v>116</v>
      </c>
      <c r="AT671" s="13" t="s">
        <v>7298</v>
      </c>
      <c r="AU671" s="13" t="s">
        <v>7267</v>
      </c>
      <c r="AV671" s="13" t="s">
        <v>2204</v>
      </c>
      <c r="AW671" s="24" t="s">
        <v>1691</v>
      </c>
      <c r="AX671" s="24" t="s">
        <v>1692</v>
      </c>
      <c r="AY671" s="13" t="s">
        <v>7311</v>
      </c>
      <c r="AZ671" s="13" t="s">
        <v>7312</v>
      </c>
      <c r="BA671" s="13" t="s">
        <v>7312</v>
      </c>
      <c r="BB671" s="13" t="s">
        <v>7313</v>
      </c>
      <c r="BC671" s="13" t="s">
        <v>7313</v>
      </c>
      <c r="BD671" s="16">
        <f t="shared" si="23"/>
        <v>54</v>
      </c>
      <c r="BE671" s="13" t="s">
        <v>1697</v>
      </c>
      <c r="BF671" s="13" t="s">
        <v>951</v>
      </c>
      <c r="BG671" s="13" t="s">
        <v>7271</v>
      </c>
      <c r="BJ671" s="13" t="s">
        <v>7304</v>
      </c>
      <c r="BO671" s="13" t="s">
        <v>7272</v>
      </c>
      <c r="BS671" s="13" t="s">
        <v>127</v>
      </c>
      <c r="BU671" s="13" t="s">
        <v>129</v>
      </c>
      <c r="BX671" s="13" t="s">
        <v>7314</v>
      </c>
      <c r="BY671" s="25"/>
      <c r="DA671" s="13" t="s">
        <v>10348</v>
      </c>
      <c r="DB671" s="13" t="s">
        <v>10348</v>
      </c>
    </row>
    <row r="672" spans="1:106" s="13" customFormat="1" ht="12.75" customHeight="1" x14ac:dyDescent="0.2">
      <c r="A672" s="13" t="s">
        <v>102</v>
      </c>
      <c r="B672" s="13" t="s">
        <v>103</v>
      </c>
      <c r="D672" s="13" t="s">
        <v>937</v>
      </c>
      <c r="E672" s="17" t="s">
        <v>228</v>
      </c>
      <c r="F672" s="13" t="s">
        <v>937</v>
      </c>
      <c r="G672" s="17" t="s">
        <v>229</v>
      </c>
      <c r="H672" s="13" t="s">
        <v>820</v>
      </c>
      <c r="I672" s="17"/>
      <c r="J672" s="13" t="s">
        <v>106</v>
      </c>
      <c r="W672" s="13">
        <v>671</v>
      </c>
      <c r="X672" s="13">
        <v>671</v>
      </c>
      <c r="Y672" s="13" t="s">
        <v>107</v>
      </c>
      <c r="Z672" s="13" t="s">
        <v>108</v>
      </c>
      <c r="AA672" s="37" t="s">
        <v>107</v>
      </c>
      <c r="AB672" s="13" t="s">
        <v>7315</v>
      </c>
      <c r="AC672" s="13" t="s">
        <v>7315</v>
      </c>
      <c r="AD672" s="13" t="s">
        <v>7315</v>
      </c>
      <c r="AE672" s="20" t="s">
        <v>112</v>
      </c>
      <c r="AF672" s="13" t="s">
        <v>7315</v>
      </c>
      <c r="AG672" s="32" t="s">
        <v>7315</v>
      </c>
      <c r="AH672" s="34" t="s">
        <v>7316</v>
      </c>
      <c r="AL672" s="13" t="s">
        <v>7317</v>
      </c>
      <c r="AN672" s="13">
        <v>329</v>
      </c>
      <c r="AO672" s="13" t="s">
        <v>7318</v>
      </c>
      <c r="AQ672" s="13" t="s">
        <v>7315</v>
      </c>
      <c r="AR672" s="13" t="s">
        <v>7315</v>
      </c>
      <c r="AS672" s="13" t="s">
        <v>116</v>
      </c>
      <c r="AT672" s="13" t="s">
        <v>7319</v>
      </c>
      <c r="AU672" s="13" t="s">
        <v>7267</v>
      </c>
      <c r="AV672" s="13" t="s">
        <v>2204</v>
      </c>
      <c r="AW672" s="24" t="s">
        <v>1691</v>
      </c>
      <c r="AX672" s="24" t="s">
        <v>1692</v>
      </c>
      <c r="AY672" s="13" t="s">
        <v>7320</v>
      </c>
      <c r="AZ672" s="13" t="s">
        <v>7321</v>
      </c>
      <c r="BA672" s="13" t="s">
        <v>7321</v>
      </c>
      <c r="BB672" s="13" t="s">
        <v>7322</v>
      </c>
      <c r="BC672" s="13" t="s">
        <v>7322</v>
      </c>
      <c r="BD672" s="16">
        <f t="shared" si="23"/>
        <v>54</v>
      </c>
      <c r="BE672" s="13" t="s">
        <v>1697</v>
      </c>
      <c r="BF672" s="13" t="s">
        <v>951</v>
      </c>
      <c r="BG672" s="13" t="s">
        <v>7271</v>
      </c>
      <c r="BJ672" s="13" t="s">
        <v>7323</v>
      </c>
      <c r="BO672" s="13" t="s">
        <v>7272</v>
      </c>
      <c r="BS672" s="13" t="s">
        <v>127</v>
      </c>
      <c r="BU672" s="13" t="s">
        <v>129</v>
      </c>
      <c r="BX672" s="13" t="s">
        <v>7324</v>
      </c>
      <c r="BY672" s="25"/>
      <c r="DA672" s="13" t="s">
        <v>10348</v>
      </c>
      <c r="DB672" s="13" t="s">
        <v>10348</v>
      </c>
    </row>
    <row r="673" spans="1:106" s="13" customFormat="1" ht="12.75" customHeight="1" x14ac:dyDescent="0.2">
      <c r="A673" s="13" t="s">
        <v>102</v>
      </c>
      <c r="B673" s="13" t="s">
        <v>103</v>
      </c>
      <c r="D673" s="13" t="s">
        <v>937</v>
      </c>
      <c r="E673" s="17" t="s">
        <v>228</v>
      </c>
      <c r="F673" s="13" t="s">
        <v>937</v>
      </c>
      <c r="G673" s="17" t="s">
        <v>229</v>
      </c>
      <c r="H673" s="13" t="s">
        <v>820</v>
      </c>
      <c r="I673" s="17"/>
      <c r="J673" s="13" t="s">
        <v>106</v>
      </c>
      <c r="W673" s="13">
        <v>672</v>
      </c>
      <c r="X673" s="13">
        <v>672</v>
      </c>
      <c r="Y673" s="13" t="s">
        <v>107</v>
      </c>
      <c r="Z673" s="13" t="s">
        <v>108</v>
      </c>
      <c r="AA673" s="37" t="s">
        <v>107</v>
      </c>
      <c r="AB673" s="13" t="s">
        <v>7325</v>
      </c>
      <c r="AC673" s="13" t="s">
        <v>7325</v>
      </c>
      <c r="AD673" s="13" t="s">
        <v>7325</v>
      </c>
      <c r="AE673" s="20" t="s">
        <v>112</v>
      </c>
      <c r="AF673" s="13" t="s">
        <v>7325</v>
      </c>
      <c r="AG673" s="32" t="s">
        <v>7325</v>
      </c>
      <c r="AH673" s="34" t="s">
        <v>7326</v>
      </c>
      <c r="AL673" s="13" t="s">
        <v>7327</v>
      </c>
      <c r="AN673" s="13">
        <v>329</v>
      </c>
      <c r="AO673" s="13" t="s">
        <v>7328</v>
      </c>
      <c r="AQ673" s="13" t="s">
        <v>7325</v>
      </c>
      <c r="AR673" s="13" t="s">
        <v>7325</v>
      </c>
      <c r="AS673" s="13" t="s">
        <v>116</v>
      </c>
      <c r="AT673" s="13" t="s">
        <v>7329</v>
      </c>
      <c r="AU673" s="13" t="s">
        <v>7329</v>
      </c>
      <c r="AV673" s="13" t="s">
        <v>7248</v>
      </c>
      <c r="AW673" s="24" t="s">
        <v>7249</v>
      </c>
      <c r="AX673" s="24" t="s">
        <v>7250</v>
      </c>
      <c r="AY673" s="13" t="s">
        <v>7330</v>
      </c>
      <c r="AZ673" s="13" t="s">
        <v>7331</v>
      </c>
      <c r="BA673" s="13" t="s">
        <v>7331</v>
      </c>
      <c r="BB673" s="13" t="s">
        <v>7332</v>
      </c>
      <c r="BC673" s="13" t="s">
        <v>7332</v>
      </c>
      <c r="BD673" s="16">
        <f t="shared" si="23"/>
        <v>54</v>
      </c>
      <c r="BE673" s="13" t="s">
        <v>7255</v>
      </c>
      <c r="BH673" s="13" t="s">
        <v>2290</v>
      </c>
      <c r="BJ673" s="13" t="s">
        <v>7333</v>
      </c>
      <c r="BO673" s="13" t="s">
        <v>7334</v>
      </c>
      <c r="BS673" s="13" t="s">
        <v>127</v>
      </c>
      <c r="BT673" s="13" t="s">
        <v>7260</v>
      </c>
      <c r="BU673" s="13" t="s">
        <v>7335</v>
      </c>
      <c r="BX673" s="13" t="s">
        <v>7336</v>
      </c>
      <c r="BY673" s="25"/>
      <c r="DA673" s="13" t="s">
        <v>10348</v>
      </c>
      <c r="DB673" s="13" t="s">
        <v>10348</v>
      </c>
    </row>
    <row r="674" spans="1:106" s="13" customFormat="1" ht="12.75" customHeight="1" x14ac:dyDescent="0.2">
      <c r="A674" s="13" t="s">
        <v>102</v>
      </c>
      <c r="B674" s="13" t="s">
        <v>103</v>
      </c>
      <c r="D674" s="13" t="s">
        <v>937</v>
      </c>
      <c r="E674" s="17" t="s">
        <v>228</v>
      </c>
      <c r="F674" s="13" t="s">
        <v>937</v>
      </c>
      <c r="G674" s="17" t="s">
        <v>229</v>
      </c>
      <c r="H674" s="13" t="s">
        <v>820</v>
      </c>
      <c r="I674" s="17"/>
      <c r="J674" s="13" t="s">
        <v>106</v>
      </c>
      <c r="W674" s="13">
        <v>673</v>
      </c>
      <c r="X674" s="13">
        <v>673</v>
      </c>
      <c r="Y674" s="13" t="s">
        <v>107</v>
      </c>
      <c r="Z674" s="13" t="s">
        <v>108</v>
      </c>
      <c r="AA674" s="37" t="s">
        <v>107</v>
      </c>
      <c r="AB674" s="13" t="s">
        <v>7337</v>
      </c>
      <c r="AC674" s="13" t="s">
        <v>7337</v>
      </c>
      <c r="AD674" s="13" t="s">
        <v>7337</v>
      </c>
      <c r="AE674" s="20" t="s">
        <v>112</v>
      </c>
      <c r="AF674" s="13" t="s">
        <v>7337</v>
      </c>
      <c r="AG674" s="32" t="s">
        <v>7337</v>
      </c>
      <c r="AH674" s="34" t="s">
        <v>7338</v>
      </c>
      <c r="AL674" s="13" t="s">
        <v>7327</v>
      </c>
      <c r="AN674" s="13">
        <v>329</v>
      </c>
      <c r="AO674" s="13" t="s">
        <v>7339</v>
      </c>
      <c r="AQ674" s="13" t="s">
        <v>7337</v>
      </c>
      <c r="AR674" s="13" t="s">
        <v>7337</v>
      </c>
      <c r="AS674" s="13" t="s">
        <v>116</v>
      </c>
      <c r="AT674" s="13" t="s">
        <v>7329</v>
      </c>
      <c r="AU674" s="13" t="s">
        <v>7329</v>
      </c>
      <c r="AV674" s="13" t="s">
        <v>7248</v>
      </c>
      <c r="AW674" s="24" t="s">
        <v>7249</v>
      </c>
      <c r="AX674" s="24" t="s">
        <v>7250</v>
      </c>
      <c r="AY674" s="13" t="s">
        <v>7340</v>
      </c>
      <c r="AZ674" s="13" t="s">
        <v>7341</v>
      </c>
      <c r="BA674" s="13" t="s">
        <v>7341</v>
      </c>
      <c r="BB674" s="13" t="s">
        <v>7342</v>
      </c>
      <c r="BC674" s="13" t="s">
        <v>7342</v>
      </c>
      <c r="BD674" s="16">
        <f t="shared" ref="BD674:BD705" si="24">LEN(SUBSTITUTE(BC674, ", "," "))</f>
        <v>55</v>
      </c>
      <c r="BE674" s="13" t="s">
        <v>7255</v>
      </c>
      <c r="BH674" s="13" t="s">
        <v>2290</v>
      </c>
      <c r="BJ674" s="13" t="s">
        <v>7333</v>
      </c>
      <c r="BO674" s="13" t="s">
        <v>7334</v>
      </c>
      <c r="BS674" s="13" t="s">
        <v>127</v>
      </c>
      <c r="BT674" s="13" t="s">
        <v>7260</v>
      </c>
      <c r="BU674" s="13" t="s">
        <v>129</v>
      </c>
      <c r="BX674" s="13" t="s">
        <v>7343</v>
      </c>
      <c r="BY674" s="25"/>
      <c r="DA674" s="13" t="s">
        <v>10348</v>
      </c>
      <c r="DB674" s="13" t="s">
        <v>10348</v>
      </c>
    </row>
    <row r="675" spans="1:106" s="13" customFormat="1" ht="12.75" customHeight="1" x14ac:dyDescent="0.2">
      <c r="A675" s="13" t="s">
        <v>102</v>
      </c>
      <c r="B675" s="13" t="s">
        <v>103</v>
      </c>
      <c r="D675" s="13" t="s">
        <v>937</v>
      </c>
      <c r="E675" s="17" t="s">
        <v>228</v>
      </c>
      <c r="F675" s="13" t="s">
        <v>937</v>
      </c>
      <c r="G675" s="17" t="s">
        <v>229</v>
      </c>
      <c r="H675" s="13" t="s">
        <v>820</v>
      </c>
      <c r="I675" s="17"/>
      <c r="J675" s="13" t="s">
        <v>106</v>
      </c>
      <c r="W675" s="13">
        <v>674</v>
      </c>
      <c r="X675" s="13">
        <v>674</v>
      </c>
      <c r="Y675" s="13" t="s">
        <v>107</v>
      </c>
      <c r="Z675" s="13" t="s">
        <v>108</v>
      </c>
      <c r="AA675" s="37" t="s">
        <v>107</v>
      </c>
      <c r="AB675" s="13" t="s">
        <v>7344</v>
      </c>
      <c r="AC675" s="13" t="s">
        <v>7344</v>
      </c>
      <c r="AD675" s="13" t="s">
        <v>7344</v>
      </c>
      <c r="AE675" s="20" t="s">
        <v>112</v>
      </c>
      <c r="AF675" s="13" t="s">
        <v>7344</v>
      </c>
      <c r="AG675" s="32" t="s">
        <v>7344</v>
      </c>
      <c r="AH675" s="34" t="s">
        <v>7345</v>
      </c>
      <c r="AL675" s="13" t="s">
        <v>7346</v>
      </c>
      <c r="AN675" s="13">
        <v>329</v>
      </c>
      <c r="AO675" s="13" t="s">
        <v>7347</v>
      </c>
      <c r="AQ675" s="13" t="s">
        <v>7344</v>
      </c>
      <c r="AR675" s="13" t="s">
        <v>7344</v>
      </c>
      <c r="AS675" s="13" t="s">
        <v>116</v>
      </c>
      <c r="AT675" s="13" t="s">
        <v>7346</v>
      </c>
      <c r="AU675" s="13" t="s">
        <v>7346</v>
      </c>
      <c r="AV675" s="13" t="s">
        <v>7248</v>
      </c>
      <c r="AW675" s="24" t="s">
        <v>7249</v>
      </c>
      <c r="AX675" s="24" t="s">
        <v>7250</v>
      </c>
      <c r="AY675" s="13" t="s">
        <v>7348</v>
      </c>
      <c r="AZ675" s="13" t="s">
        <v>7349</v>
      </c>
      <c r="BA675" s="13" t="s">
        <v>7349</v>
      </c>
      <c r="BB675" s="13" t="s">
        <v>7350</v>
      </c>
      <c r="BC675" s="13" t="s">
        <v>7350</v>
      </c>
      <c r="BD675" s="16">
        <f t="shared" si="24"/>
        <v>34</v>
      </c>
      <c r="BE675" s="13" t="s">
        <v>7255</v>
      </c>
      <c r="BH675" s="13" t="s">
        <v>2290</v>
      </c>
      <c r="BS675" s="13" t="s">
        <v>127</v>
      </c>
      <c r="BT675" s="13" t="s">
        <v>7260</v>
      </c>
      <c r="BU675" s="13" t="s">
        <v>7335</v>
      </c>
      <c r="BX675" s="13" t="s">
        <v>7351</v>
      </c>
      <c r="DA675" s="13" t="s">
        <v>10348</v>
      </c>
      <c r="DB675" s="13" t="s">
        <v>10348</v>
      </c>
    </row>
    <row r="676" spans="1:106" s="13" customFormat="1" ht="12.75" customHeight="1" x14ac:dyDescent="0.2">
      <c r="A676" s="13" t="s">
        <v>102</v>
      </c>
      <c r="B676" s="13" t="s">
        <v>103</v>
      </c>
      <c r="D676" s="13" t="s">
        <v>937</v>
      </c>
      <c r="E676" s="17" t="s">
        <v>228</v>
      </c>
      <c r="F676" s="13" t="s">
        <v>937</v>
      </c>
      <c r="G676" s="17" t="s">
        <v>229</v>
      </c>
      <c r="H676" s="13" t="s">
        <v>820</v>
      </c>
      <c r="I676" s="17"/>
      <c r="J676" s="13" t="s">
        <v>106</v>
      </c>
      <c r="W676" s="13">
        <v>675</v>
      </c>
      <c r="X676" s="13">
        <v>675</v>
      </c>
      <c r="Y676" s="13" t="s">
        <v>107</v>
      </c>
      <c r="Z676" s="13" t="s">
        <v>108</v>
      </c>
      <c r="AA676" s="37" t="s">
        <v>107</v>
      </c>
      <c r="AB676" s="13" t="s">
        <v>7352</v>
      </c>
      <c r="AC676" s="13" t="s">
        <v>7352</v>
      </c>
      <c r="AD676" s="13" t="s">
        <v>7352</v>
      </c>
      <c r="AE676" s="20" t="s">
        <v>112</v>
      </c>
      <c r="AF676" s="13" t="s">
        <v>7352</v>
      </c>
      <c r="AG676" s="32" t="s">
        <v>7352</v>
      </c>
      <c r="AH676" s="34" t="s">
        <v>7353</v>
      </c>
      <c r="AL676" s="13" t="s">
        <v>7354</v>
      </c>
      <c r="AN676" s="13">
        <v>329</v>
      </c>
      <c r="AO676" s="13" t="s">
        <v>7355</v>
      </c>
      <c r="AQ676" s="13" t="s">
        <v>7352</v>
      </c>
      <c r="AR676" s="13" t="s">
        <v>7352</v>
      </c>
      <c r="AS676" s="13" t="s">
        <v>116</v>
      </c>
      <c r="AT676" s="13" t="s">
        <v>7356</v>
      </c>
      <c r="AU676" s="13" t="s">
        <v>7329</v>
      </c>
      <c r="AV676" s="13" t="s">
        <v>7248</v>
      </c>
      <c r="AW676" s="24" t="s">
        <v>7249</v>
      </c>
      <c r="AX676" s="24" t="s">
        <v>7250</v>
      </c>
      <c r="AY676" s="13" t="s">
        <v>7357</v>
      </c>
      <c r="AZ676" s="13" t="s">
        <v>7358</v>
      </c>
      <c r="BA676" s="13" t="s">
        <v>7358</v>
      </c>
      <c r="BB676" s="13" t="s">
        <v>7359</v>
      </c>
      <c r="BC676" s="13" t="s">
        <v>7360</v>
      </c>
      <c r="BD676" s="16">
        <f t="shared" si="24"/>
        <v>57</v>
      </c>
      <c r="BE676" s="13" t="s">
        <v>7255</v>
      </c>
      <c r="BH676" s="13" t="s">
        <v>2290</v>
      </c>
      <c r="BJ676" s="13" t="s">
        <v>7257</v>
      </c>
      <c r="BK676" s="13" t="s">
        <v>7361</v>
      </c>
      <c r="BO676" s="13" t="s">
        <v>7362</v>
      </c>
      <c r="BS676" s="13" t="s">
        <v>127</v>
      </c>
      <c r="BT676" s="13" t="s">
        <v>7260</v>
      </c>
      <c r="BU676" s="13" t="s">
        <v>7335</v>
      </c>
      <c r="BX676" s="13" t="s">
        <v>7363</v>
      </c>
      <c r="DA676" s="13" t="s">
        <v>10348</v>
      </c>
      <c r="DB676" s="13" t="s">
        <v>10348</v>
      </c>
    </row>
    <row r="677" spans="1:106" s="13" customFormat="1" ht="12.75" customHeight="1" x14ac:dyDescent="0.2">
      <c r="A677" s="13" t="s">
        <v>102</v>
      </c>
      <c r="B677" s="13" t="s">
        <v>103</v>
      </c>
      <c r="D677" s="13" t="s">
        <v>937</v>
      </c>
      <c r="E677" s="17" t="s">
        <v>228</v>
      </c>
      <c r="F677" s="13" t="s">
        <v>937</v>
      </c>
      <c r="G677" s="17" t="s">
        <v>229</v>
      </c>
      <c r="H677" s="13" t="s">
        <v>820</v>
      </c>
      <c r="I677" s="17"/>
      <c r="J677" s="13" t="s">
        <v>106</v>
      </c>
      <c r="W677" s="13">
        <v>676</v>
      </c>
      <c r="X677" s="13">
        <v>676</v>
      </c>
      <c r="Y677" s="13" t="s">
        <v>107</v>
      </c>
      <c r="Z677" s="13" t="s">
        <v>108</v>
      </c>
      <c r="AA677" s="37" t="s">
        <v>107</v>
      </c>
      <c r="AB677" s="13" t="s">
        <v>7364</v>
      </c>
      <c r="AC677" s="13" t="s">
        <v>7364</v>
      </c>
      <c r="AD677" s="13" t="s">
        <v>7364</v>
      </c>
      <c r="AE677" s="20" t="s">
        <v>112</v>
      </c>
      <c r="AF677" s="13" t="s">
        <v>7364</v>
      </c>
      <c r="AG677" s="32" t="s">
        <v>7364</v>
      </c>
      <c r="AH677" s="34" t="s">
        <v>7365</v>
      </c>
      <c r="AL677" s="13" t="s">
        <v>7366</v>
      </c>
      <c r="AN677" s="13">
        <v>329</v>
      </c>
      <c r="AO677" s="13" t="s">
        <v>7367</v>
      </c>
      <c r="AQ677" s="13" t="s">
        <v>7364</v>
      </c>
      <c r="AR677" s="13" t="s">
        <v>7364</v>
      </c>
      <c r="AS677" s="13" t="s">
        <v>116</v>
      </c>
      <c r="AT677" s="13" t="s">
        <v>7329</v>
      </c>
      <c r="AU677" s="13" t="s">
        <v>7329</v>
      </c>
      <c r="AV677" s="13" t="s">
        <v>7248</v>
      </c>
      <c r="AW677" s="24" t="s">
        <v>7249</v>
      </c>
      <c r="AX677" s="24" t="s">
        <v>7250</v>
      </c>
      <c r="AY677" s="13" t="s">
        <v>7368</v>
      </c>
      <c r="AZ677" s="13" t="s">
        <v>7369</v>
      </c>
      <c r="BA677" s="13" t="s">
        <v>7369</v>
      </c>
      <c r="BB677" s="13" t="s">
        <v>7370</v>
      </c>
      <c r="BC677" s="13" t="s">
        <v>7371</v>
      </c>
      <c r="BD677" s="16">
        <f t="shared" si="24"/>
        <v>55</v>
      </c>
      <c r="BE677" s="13" t="s">
        <v>7255</v>
      </c>
      <c r="BH677" s="13" t="s">
        <v>2290</v>
      </c>
      <c r="BJ677" s="13" t="s">
        <v>7257</v>
      </c>
      <c r="BK677" s="13" t="s">
        <v>7361</v>
      </c>
      <c r="BO677" s="13" t="s">
        <v>7259</v>
      </c>
      <c r="BS677" s="13" t="s">
        <v>127</v>
      </c>
      <c r="BT677" s="13" t="s">
        <v>7260</v>
      </c>
      <c r="BU677" s="13" t="s">
        <v>7335</v>
      </c>
      <c r="BX677" s="13" t="s">
        <v>7372</v>
      </c>
      <c r="DA677" s="13" t="s">
        <v>10348</v>
      </c>
      <c r="DB677" s="13" t="s">
        <v>10348</v>
      </c>
    </row>
    <row r="678" spans="1:106" s="13" customFormat="1" ht="12.75" customHeight="1" x14ac:dyDescent="0.2">
      <c r="A678" s="13" t="s">
        <v>102</v>
      </c>
      <c r="B678" s="13" t="s">
        <v>103</v>
      </c>
      <c r="D678" s="13" t="s">
        <v>937</v>
      </c>
      <c r="E678" s="17" t="s">
        <v>228</v>
      </c>
      <c r="F678" s="13" t="s">
        <v>937</v>
      </c>
      <c r="G678" s="17" t="s">
        <v>229</v>
      </c>
      <c r="H678" s="13" t="s">
        <v>820</v>
      </c>
      <c r="I678" s="17"/>
      <c r="J678" s="13" t="s">
        <v>106</v>
      </c>
      <c r="W678" s="13">
        <v>677</v>
      </c>
      <c r="X678" s="13">
        <v>677</v>
      </c>
      <c r="Y678" s="13" t="s">
        <v>107</v>
      </c>
      <c r="Z678" s="13" t="s">
        <v>108</v>
      </c>
      <c r="AA678" s="37" t="s">
        <v>107</v>
      </c>
      <c r="AB678" s="13" t="s">
        <v>7373</v>
      </c>
      <c r="AC678" s="13" t="s">
        <v>7373</v>
      </c>
      <c r="AD678" s="13" t="s">
        <v>7373</v>
      </c>
      <c r="AE678" s="20" t="s">
        <v>112</v>
      </c>
      <c r="AF678" s="13" t="s">
        <v>7373</v>
      </c>
      <c r="AG678" s="32" t="s">
        <v>7373</v>
      </c>
      <c r="AH678" s="34" t="s">
        <v>7374</v>
      </c>
      <c r="AL678" s="13" t="s">
        <v>7375</v>
      </c>
      <c r="AN678" s="13">
        <v>329</v>
      </c>
      <c r="AO678" s="13" t="s">
        <v>7376</v>
      </c>
      <c r="AQ678" s="13" t="s">
        <v>7373</v>
      </c>
      <c r="AR678" s="13" t="s">
        <v>7373</v>
      </c>
      <c r="AS678" s="13" t="s">
        <v>116</v>
      </c>
      <c r="AT678" s="13" t="s">
        <v>7377</v>
      </c>
      <c r="AU678" s="13" t="s">
        <v>7378</v>
      </c>
      <c r="AV678" s="13" t="s">
        <v>7248</v>
      </c>
      <c r="AW678" s="24" t="s">
        <v>7249</v>
      </c>
      <c r="AX678" s="24" t="s">
        <v>7250</v>
      </c>
      <c r="AY678" s="13" t="s">
        <v>7379</v>
      </c>
      <c r="AZ678" s="13" t="s">
        <v>7380</v>
      </c>
      <c r="BA678" s="13" t="s">
        <v>7380</v>
      </c>
      <c r="BB678" s="13" t="s">
        <v>7381</v>
      </c>
      <c r="BC678" s="13" t="s">
        <v>7381</v>
      </c>
      <c r="BD678" s="16">
        <f t="shared" si="24"/>
        <v>59</v>
      </c>
      <c r="BE678" s="13" t="s">
        <v>7255</v>
      </c>
      <c r="BG678" s="13" t="s">
        <v>5529</v>
      </c>
      <c r="BJ678" s="13" t="s">
        <v>7257</v>
      </c>
      <c r="BO678" s="13" t="s">
        <v>7334</v>
      </c>
      <c r="BS678" s="13" t="s">
        <v>127</v>
      </c>
      <c r="BT678" s="13" t="s">
        <v>7260</v>
      </c>
      <c r="BU678" s="13" t="s">
        <v>129</v>
      </c>
      <c r="BX678" s="13" t="s">
        <v>7382</v>
      </c>
      <c r="DA678" s="13" t="s">
        <v>10348</v>
      </c>
      <c r="DB678" s="13" t="s">
        <v>10348</v>
      </c>
    </row>
    <row r="679" spans="1:106" s="13" customFormat="1" ht="12.75" customHeight="1" x14ac:dyDescent="0.2">
      <c r="A679" s="13" t="s">
        <v>102</v>
      </c>
      <c r="B679" s="13" t="s">
        <v>103</v>
      </c>
      <c r="D679" s="13" t="s">
        <v>937</v>
      </c>
      <c r="E679" s="17" t="s">
        <v>228</v>
      </c>
      <c r="F679" s="13" t="s">
        <v>937</v>
      </c>
      <c r="G679" s="17" t="s">
        <v>229</v>
      </c>
      <c r="H679" s="13" t="s">
        <v>820</v>
      </c>
      <c r="I679" s="17"/>
      <c r="J679" s="13" t="s">
        <v>106</v>
      </c>
      <c r="W679" s="13">
        <v>678</v>
      </c>
      <c r="X679" s="13">
        <v>678</v>
      </c>
      <c r="Y679" s="13" t="s">
        <v>107</v>
      </c>
      <c r="Z679" s="13" t="s">
        <v>108</v>
      </c>
      <c r="AA679" s="37" t="s">
        <v>107</v>
      </c>
      <c r="AB679" s="13" t="s">
        <v>7383</v>
      </c>
      <c r="AC679" s="13" t="s">
        <v>7383</v>
      </c>
      <c r="AD679" s="13" t="s">
        <v>7383</v>
      </c>
      <c r="AE679" s="20" t="s">
        <v>112</v>
      </c>
      <c r="AF679" s="13" t="s">
        <v>7383</v>
      </c>
      <c r="AG679" s="32" t="s">
        <v>7383</v>
      </c>
      <c r="AH679" s="34" t="s">
        <v>7384</v>
      </c>
      <c r="AL679" s="13" t="s">
        <v>7385</v>
      </c>
      <c r="AN679" s="13">
        <v>329</v>
      </c>
      <c r="AO679" s="13" t="s">
        <v>7386</v>
      </c>
      <c r="AQ679" s="13" t="s">
        <v>7383</v>
      </c>
      <c r="AR679" s="13" t="s">
        <v>7383</v>
      </c>
      <c r="AS679" s="13" t="s">
        <v>116</v>
      </c>
      <c r="AT679" s="13" t="s">
        <v>7387</v>
      </c>
      <c r="AU679" s="13" t="s">
        <v>7378</v>
      </c>
      <c r="AV679" s="13" t="s">
        <v>7248</v>
      </c>
      <c r="AW679" s="24" t="s">
        <v>7249</v>
      </c>
      <c r="AX679" s="24" t="s">
        <v>7250</v>
      </c>
      <c r="AY679" s="13" t="s">
        <v>7388</v>
      </c>
      <c r="AZ679" s="13" t="s">
        <v>7389</v>
      </c>
      <c r="BA679" s="13" t="s">
        <v>7389</v>
      </c>
      <c r="BB679" s="13" t="s">
        <v>7390</v>
      </c>
      <c r="BC679" s="13" t="s">
        <v>7391</v>
      </c>
      <c r="BD679" s="16">
        <f t="shared" si="24"/>
        <v>59</v>
      </c>
      <c r="BE679" s="13" t="s">
        <v>7255</v>
      </c>
      <c r="BG679" s="13" t="s">
        <v>5529</v>
      </c>
      <c r="BJ679" s="13" t="s">
        <v>7257</v>
      </c>
      <c r="BK679" s="13" t="s">
        <v>7361</v>
      </c>
      <c r="BO679" s="13" t="s">
        <v>7259</v>
      </c>
      <c r="BS679" s="13" t="s">
        <v>127</v>
      </c>
      <c r="BT679" s="13" t="s">
        <v>7260</v>
      </c>
      <c r="BU679" s="13" t="s">
        <v>129</v>
      </c>
      <c r="BX679" s="13" t="s">
        <v>7392</v>
      </c>
      <c r="DA679" s="13" t="s">
        <v>10348</v>
      </c>
      <c r="DB679" s="13" t="s">
        <v>10348</v>
      </c>
    </row>
    <row r="680" spans="1:106" s="13" customFormat="1" ht="12.75" customHeight="1" x14ac:dyDescent="0.2">
      <c r="A680" s="13" t="s">
        <v>102</v>
      </c>
      <c r="B680" s="13" t="s">
        <v>103</v>
      </c>
      <c r="D680" s="13" t="s">
        <v>937</v>
      </c>
      <c r="E680" s="17" t="s">
        <v>228</v>
      </c>
      <c r="F680" s="13" t="s">
        <v>937</v>
      </c>
      <c r="G680" s="17" t="s">
        <v>229</v>
      </c>
      <c r="H680" s="13" t="s">
        <v>820</v>
      </c>
      <c r="I680" s="17"/>
      <c r="J680" s="13" t="s">
        <v>106</v>
      </c>
      <c r="W680" s="13">
        <v>679</v>
      </c>
      <c r="X680" s="13">
        <v>679</v>
      </c>
      <c r="Y680" s="13" t="s">
        <v>107</v>
      </c>
      <c r="Z680" s="13" t="s">
        <v>108</v>
      </c>
      <c r="AA680" s="37" t="s">
        <v>107</v>
      </c>
      <c r="AB680" s="13" t="s">
        <v>7393</v>
      </c>
      <c r="AC680" s="13" t="s">
        <v>7393</v>
      </c>
      <c r="AD680" s="13" t="s">
        <v>7393</v>
      </c>
      <c r="AE680" s="20" t="s">
        <v>112</v>
      </c>
      <c r="AF680" s="13" t="s">
        <v>7393</v>
      </c>
      <c r="AG680" s="32" t="s">
        <v>7393</v>
      </c>
      <c r="AH680" s="34" t="s">
        <v>7394</v>
      </c>
      <c r="AL680" s="13" t="s">
        <v>7395</v>
      </c>
      <c r="AN680" s="13">
        <v>329</v>
      </c>
      <c r="AO680" s="13" t="s">
        <v>7396</v>
      </c>
      <c r="AQ680" s="13" t="s">
        <v>7393</v>
      </c>
      <c r="AR680" s="13" t="s">
        <v>7393</v>
      </c>
      <c r="AS680" s="13" t="s">
        <v>116</v>
      </c>
      <c r="AT680" s="13" t="s">
        <v>7397</v>
      </c>
      <c r="AU680" s="13" t="s">
        <v>7329</v>
      </c>
      <c r="AV680" s="13" t="s">
        <v>7248</v>
      </c>
      <c r="AW680" s="24" t="s">
        <v>7249</v>
      </c>
      <c r="AX680" s="24" t="s">
        <v>7250</v>
      </c>
      <c r="AY680" s="13" t="s">
        <v>7398</v>
      </c>
      <c r="AZ680" s="13" t="s">
        <v>7399</v>
      </c>
      <c r="BA680" s="13" t="s">
        <v>7399</v>
      </c>
      <c r="BB680" s="13" t="s">
        <v>7400</v>
      </c>
      <c r="BC680" s="13" t="s">
        <v>7400</v>
      </c>
      <c r="BD680" s="16">
        <f t="shared" si="24"/>
        <v>58</v>
      </c>
      <c r="BE680" s="13" t="s">
        <v>7255</v>
      </c>
      <c r="BG680" s="13" t="s">
        <v>5529</v>
      </c>
      <c r="BJ680" s="13" t="s">
        <v>7257</v>
      </c>
      <c r="BO680" s="13" t="s">
        <v>7334</v>
      </c>
      <c r="BS680" s="13" t="s">
        <v>127</v>
      </c>
      <c r="BT680" s="13" t="s">
        <v>7260</v>
      </c>
      <c r="BU680" s="13" t="s">
        <v>7335</v>
      </c>
      <c r="BX680" s="13" t="s">
        <v>7401</v>
      </c>
      <c r="DA680" s="13" t="s">
        <v>10348</v>
      </c>
      <c r="DB680" s="13" t="s">
        <v>10348</v>
      </c>
    </row>
    <row r="681" spans="1:106" s="13" customFormat="1" ht="12.75" customHeight="1" x14ac:dyDescent="0.2">
      <c r="A681" s="13" t="s">
        <v>102</v>
      </c>
      <c r="B681" s="13" t="s">
        <v>103</v>
      </c>
      <c r="D681" s="13" t="s">
        <v>937</v>
      </c>
      <c r="E681" s="17" t="s">
        <v>228</v>
      </c>
      <c r="F681" s="13" t="s">
        <v>937</v>
      </c>
      <c r="G681" s="17" t="s">
        <v>229</v>
      </c>
      <c r="H681" s="13" t="s">
        <v>820</v>
      </c>
      <c r="I681" s="17"/>
      <c r="J681" s="13" t="s">
        <v>106</v>
      </c>
      <c r="W681" s="13">
        <v>680</v>
      </c>
      <c r="X681" s="13">
        <v>680</v>
      </c>
      <c r="Y681" s="13" t="s">
        <v>107</v>
      </c>
      <c r="Z681" s="13" t="s">
        <v>108</v>
      </c>
      <c r="AA681" s="37" t="s">
        <v>107</v>
      </c>
      <c r="AB681" s="13" t="s">
        <v>7402</v>
      </c>
      <c r="AC681" s="13" t="s">
        <v>7402</v>
      </c>
      <c r="AD681" s="13" t="s">
        <v>7402</v>
      </c>
      <c r="AE681" s="20" t="s">
        <v>112</v>
      </c>
      <c r="AF681" s="13" t="s">
        <v>7402</v>
      </c>
      <c r="AG681" s="32" t="s">
        <v>7402</v>
      </c>
      <c r="AH681" s="34" t="s">
        <v>7403</v>
      </c>
      <c r="AL681" s="13" t="s">
        <v>7346</v>
      </c>
      <c r="AN681" s="13">
        <v>329</v>
      </c>
      <c r="AO681" s="13" t="s">
        <v>7404</v>
      </c>
      <c r="AQ681" s="13" t="s">
        <v>7402</v>
      </c>
      <c r="AR681" s="13" t="s">
        <v>7402</v>
      </c>
      <c r="AS681" s="13" t="s">
        <v>116</v>
      </c>
      <c r="AT681" s="13" t="s">
        <v>7346</v>
      </c>
      <c r="AU681" s="13" t="s">
        <v>7346</v>
      </c>
      <c r="AV681" s="13" t="s">
        <v>7248</v>
      </c>
      <c r="AW681" s="24" t="s">
        <v>7249</v>
      </c>
      <c r="AX681" s="24" t="s">
        <v>7250</v>
      </c>
      <c r="AY681" s="13" t="s">
        <v>7405</v>
      </c>
      <c r="AZ681" s="13" t="s">
        <v>7406</v>
      </c>
      <c r="BA681" s="13" t="s">
        <v>7406</v>
      </c>
      <c r="BB681" s="13" t="s">
        <v>7407</v>
      </c>
      <c r="BC681" s="13" t="s">
        <v>7408</v>
      </c>
      <c r="BD681" s="16">
        <f t="shared" si="24"/>
        <v>59</v>
      </c>
      <c r="BE681" s="13" t="s">
        <v>7255</v>
      </c>
      <c r="BH681" s="13" t="s">
        <v>2290</v>
      </c>
      <c r="BJ681" s="13" t="s">
        <v>7361</v>
      </c>
      <c r="BO681" s="13" t="s">
        <v>7409</v>
      </c>
      <c r="BS681" s="13" t="s">
        <v>127</v>
      </c>
      <c r="BT681" s="13" t="s">
        <v>7260</v>
      </c>
      <c r="BU681" s="13" t="s">
        <v>7335</v>
      </c>
      <c r="BX681" s="13" t="s">
        <v>7410</v>
      </c>
      <c r="DA681" s="13" t="s">
        <v>10348</v>
      </c>
      <c r="DB681" s="13" t="s">
        <v>10348</v>
      </c>
    </row>
    <row r="682" spans="1:106" s="13" customFormat="1" ht="12.75" customHeight="1" x14ac:dyDescent="0.2">
      <c r="A682" s="13" t="s">
        <v>102</v>
      </c>
      <c r="B682" s="13" t="s">
        <v>103</v>
      </c>
      <c r="D682" s="13" t="s">
        <v>937</v>
      </c>
      <c r="E682" s="17" t="s">
        <v>228</v>
      </c>
      <c r="F682" s="13" t="s">
        <v>937</v>
      </c>
      <c r="G682" s="17" t="s">
        <v>229</v>
      </c>
      <c r="H682" s="13" t="s">
        <v>820</v>
      </c>
      <c r="I682" s="17"/>
      <c r="J682" s="13" t="s">
        <v>106</v>
      </c>
      <c r="W682" s="13">
        <v>681</v>
      </c>
      <c r="X682" s="13">
        <v>681</v>
      </c>
      <c r="Y682" s="13" t="s">
        <v>107</v>
      </c>
      <c r="Z682" s="13" t="s">
        <v>108</v>
      </c>
      <c r="AA682" s="37" t="s">
        <v>107</v>
      </c>
      <c r="AB682" s="13" t="s">
        <v>7411</v>
      </c>
      <c r="AC682" s="13" t="s">
        <v>7411</v>
      </c>
      <c r="AD682" s="13" t="s">
        <v>7411</v>
      </c>
      <c r="AE682" s="20" t="s">
        <v>112</v>
      </c>
      <c r="AF682" s="13" t="s">
        <v>7411</v>
      </c>
      <c r="AG682" s="32" t="s">
        <v>7411</v>
      </c>
      <c r="AH682" s="34" t="s">
        <v>7412</v>
      </c>
      <c r="AL682" s="13" t="s">
        <v>7346</v>
      </c>
      <c r="AN682" s="13">
        <v>329</v>
      </c>
      <c r="AO682" s="13" t="s">
        <v>7413</v>
      </c>
      <c r="AQ682" s="13" t="s">
        <v>7411</v>
      </c>
      <c r="AR682" s="13" t="s">
        <v>7411</v>
      </c>
      <c r="AS682" s="13" t="s">
        <v>116</v>
      </c>
      <c r="AT682" s="13" t="s">
        <v>7346</v>
      </c>
      <c r="AU682" s="13" t="s">
        <v>7346</v>
      </c>
      <c r="AV682" s="13" t="s">
        <v>7248</v>
      </c>
      <c r="AW682" s="24" t="s">
        <v>7249</v>
      </c>
      <c r="AX682" s="24" t="s">
        <v>7250</v>
      </c>
      <c r="AY682" s="13" t="s">
        <v>7414</v>
      </c>
      <c r="AZ682" s="13" t="s">
        <v>7415</v>
      </c>
      <c r="BA682" s="13" t="s">
        <v>7415</v>
      </c>
      <c r="BB682" s="13" t="s">
        <v>7416</v>
      </c>
      <c r="BC682" s="13" t="s">
        <v>7417</v>
      </c>
      <c r="BD682" s="16">
        <f t="shared" si="24"/>
        <v>59</v>
      </c>
      <c r="BE682" s="13" t="s">
        <v>7255</v>
      </c>
      <c r="BH682" s="13" t="s">
        <v>2290</v>
      </c>
      <c r="BJ682" s="13" t="s">
        <v>7258</v>
      </c>
      <c r="BO682" s="13" t="s">
        <v>7409</v>
      </c>
      <c r="BS682" s="13" t="s">
        <v>127</v>
      </c>
      <c r="BT682" s="13" t="s">
        <v>7260</v>
      </c>
      <c r="BU682" s="13" t="s">
        <v>7335</v>
      </c>
      <c r="BX682" s="13" t="s">
        <v>7418</v>
      </c>
      <c r="DA682" s="13" t="s">
        <v>10348</v>
      </c>
      <c r="DB682" s="13" t="s">
        <v>10348</v>
      </c>
    </row>
    <row r="683" spans="1:106" s="13" customFormat="1" ht="12.75" customHeight="1" x14ac:dyDescent="0.2">
      <c r="A683" s="13" t="s">
        <v>102</v>
      </c>
      <c r="B683" s="13" t="s">
        <v>103</v>
      </c>
      <c r="D683" s="13" t="s">
        <v>937</v>
      </c>
      <c r="E683" s="17" t="s">
        <v>471</v>
      </c>
      <c r="F683" s="13" t="s">
        <v>937</v>
      </c>
      <c r="G683" s="17" t="s">
        <v>229</v>
      </c>
      <c r="H683" s="13" t="s">
        <v>820</v>
      </c>
      <c r="I683" s="17"/>
      <c r="J683" s="13" t="s">
        <v>106</v>
      </c>
      <c r="W683" s="13">
        <v>682</v>
      </c>
      <c r="X683" s="13">
        <v>682</v>
      </c>
      <c r="Y683" s="13" t="s">
        <v>107</v>
      </c>
      <c r="Z683" s="13" t="s">
        <v>108</v>
      </c>
      <c r="AA683" s="37" t="s">
        <v>107</v>
      </c>
      <c r="AB683" s="13" t="s">
        <v>7419</v>
      </c>
      <c r="AC683" s="13" t="s">
        <v>7419</v>
      </c>
      <c r="AD683" s="13" t="s">
        <v>7420</v>
      </c>
      <c r="AE683" s="20" t="s">
        <v>112</v>
      </c>
      <c r="AF683" s="13" t="s">
        <v>7420</v>
      </c>
      <c r="AG683" s="32" t="s">
        <v>7419</v>
      </c>
      <c r="AH683" s="34" t="s">
        <v>7421</v>
      </c>
      <c r="AL683" s="13" t="s">
        <v>7422</v>
      </c>
      <c r="AN683" s="13">
        <v>329</v>
      </c>
      <c r="AO683" s="13" t="s">
        <v>7423</v>
      </c>
      <c r="AQ683" s="13" t="s">
        <v>7420</v>
      </c>
      <c r="AR683" s="13" t="s">
        <v>7420</v>
      </c>
      <c r="AS683" s="13" t="s">
        <v>116</v>
      </c>
      <c r="AT683" s="13" t="s">
        <v>7424</v>
      </c>
      <c r="AU683" s="13" t="s">
        <v>7425</v>
      </c>
      <c r="AV683" s="13" t="s">
        <v>2204</v>
      </c>
      <c r="AW683" s="24" t="s">
        <v>1691</v>
      </c>
      <c r="AX683" s="24" t="s">
        <v>1692</v>
      </c>
      <c r="AY683" s="13" t="s">
        <v>7426</v>
      </c>
      <c r="AZ683" s="13" t="s">
        <v>7427</v>
      </c>
      <c r="BA683" s="13" t="s">
        <v>7427</v>
      </c>
      <c r="BB683" s="13" t="s">
        <v>7428</v>
      </c>
      <c r="BC683" s="13" t="s">
        <v>7428</v>
      </c>
      <c r="BD683" s="16">
        <f t="shared" si="24"/>
        <v>36</v>
      </c>
      <c r="BE683" s="13" t="s">
        <v>1697</v>
      </c>
      <c r="BF683" s="13" t="s">
        <v>951</v>
      </c>
      <c r="BG683" s="13" t="s">
        <v>7429</v>
      </c>
      <c r="BJ683" s="13" t="s">
        <v>7430</v>
      </c>
      <c r="BS683" s="13" t="s">
        <v>127</v>
      </c>
      <c r="BU683" s="13" t="s">
        <v>129</v>
      </c>
      <c r="BX683" s="13" t="s">
        <v>7431</v>
      </c>
      <c r="DA683" s="13" t="s">
        <v>10348</v>
      </c>
      <c r="DB683" s="13" t="s">
        <v>10348</v>
      </c>
    </row>
    <row r="684" spans="1:106" s="13" customFormat="1" ht="12.75" customHeight="1" x14ac:dyDescent="0.2">
      <c r="A684" s="13" t="s">
        <v>102</v>
      </c>
      <c r="B684" s="13" t="s">
        <v>103</v>
      </c>
      <c r="D684" s="13" t="s">
        <v>937</v>
      </c>
      <c r="E684" s="17" t="s">
        <v>471</v>
      </c>
      <c r="F684" s="13" t="s">
        <v>937</v>
      </c>
      <c r="G684" s="17" t="s">
        <v>229</v>
      </c>
      <c r="H684" s="13" t="s">
        <v>820</v>
      </c>
      <c r="I684" s="17"/>
      <c r="J684" s="13" t="s">
        <v>106</v>
      </c>
      <c r="W684" s="13">
        <v>683</v>
      </c>
      <c r="X684" s="13">
        <v>683</v>
      </c>
      <c r="Y684" s="13" t="s">
        <v>107</v>
      </c>
      <c r="Z684" s="13" t="s">
        <v>108</v>
      </c>
      <c r="AA684" s="37" t="s">
        <v>107</v>
      </c>
      <c r="AB684" s="13" t="s">
        <v>7432</v>
      </c>
      <c r="AC684" s="13" t="s">
        <v>7432</v>
      </c>
      <c r="AD684" s="13" t="s">
        <v>7433</v>
      </c>
      <c r="AE684" s="20" t="s">
        <v>112</v>
      </c>
      <c r="AF684" s="13" t="s">
        <v>7433</v>
      </c>
      <c r="AG684" s="32" t="s">
        <v>7432</v>
      </c>
      <c r="AH684" s="34" t="s">
        <v>7434</v>
      </c>
      <c r="AL684" s="13" t="s">
        <v>7435</v>
      </c>
      <c r="AN684" s="13">
        <v>329</v>
      </c>
      <c r="AO684" s="13" t="s">
        <v>7436</v>
      </c>
      <c r="AQ684" s="13" t="s">
        <v>7433</v>
      </c>
      <c r="AR684" s="13" t="s">
        <v>7433</v>
      </c>
      <c r="AS684" s="13" t="s">
        <v>116</v>
      </c>
      <c r="AT684" s="13" t="s">
        <v>7437</v>
      </c>
      <c r="AU684" s="13" t="s">
        <v>7438</v>
      </c>
      <c r="AV684" s="13" t="s">
        <v>2204</v>
      </c>
      <c r="AW684" s="24" t="s">
        <v>1691</v>
      </c>
      <c r="AX684" s="24" t="s">
        <v>1692</v>
      </c>
      <c r="AY684" s="13" t="s">
        <v>7439</v>
      </c>
      <c r="AZ684" s="13" t="s">
        <v>7440</v>
      </c>
      <c r="BA684" s="13" t="s">
        <v>7440</v>
      </c>
      <c r="BB684" s="13" t="s">
        <v>7441</v>
      </c>
      <c r="BC684" s="13" t="s">
        <v>7441</v>
      </c>
      <c r="BD684" s="16">
        <f t="shared" si="24"/>
        <v>36</v>
      </c>
      <c r="BE684" s="13" t="s">
        <v>1697</v>
      </c>
      <c r="BF684" s="13" t="s">
        <v>951</v>
      </c>
      <c r="BG684" s="13" t="s">
        <v>7429</v>
      </c>
      <c r="BJ684" s="13" t="s">
        <v>7442</v>
      </c>
      <c r="BS684" s="13" t="s">
        <v>127</v>
      </c>
      <c r="BU684" s="13" t="s">
        <v>129</v>
      </c>
      <c r="BX684" s="13" t="s">
        <v>7443</v>
      </c>
      <c r="DA684" s="13" t="s">
        <v>10348</v>
      </c>
      <c r="DB684" s="13" t="s">
        <v>10348</v>
      </c>
    </row>
    <row r="685" spans="1:106" s="13" customFormat="1" ht="12.75" customHeight="1" x14ac:dyDescent="0.2">
      <c r="A685" s="13" t="s">
        <v>102</v>
      </c>
      <c r="B685" s="13" t="s">
        <v>103</v>
      </c>
      <c r="D685" s="13" t="s">
        <v>937</v>
      </c>
      <c r="E685" s="17" t="s">
        <v>471</v>
      </c>
      <c r="F685" s="13" t="s">
        <v>937</v>
      </c>
      <c r="G685" s="17" t="s">
        <v>229</v>
      </c>
      <c r="H685" s="13" t="s">
        <v>820</v>
      </c>
      <c r="I685" s="17"/>
      <c r="J685" s="13" t="s">
        <v>106</v>
      </c>
      <c r="W685" s="13">
        <v>684</v>
      </c>
      <c r="X685" s="13">
        <v>684</v>
      </c>
      <c r="Y685" s="13" t="s">
        <v>107</v>
      </c>
      <c r="Z685" s="13" t="s">
        <v>108</v>
      </c>
      <c r="AA685" s="37" t="s">
        <v>107</v>
      </c>
      <c r="AB685" s="13" t="s">
        <v>7444</v>
      </c>
      <c r="AC685" s="13" t="s">
        <v>7444</v>
      </c>
      <c r="AD685" s="13" t="s">
        <v>7444</v>
      </c>
      <c r="AE685" s="20" t="s">
        <v>112</v>
      </c>
      <c r="AF685" s="13" t="s">
        <v>7444</v>
      </c>
      <c r="AG685" s="32" t="s">
        <v>7444</v>
      </c>
      <c r="AH685" s="34" t="s">
        <v>7445</v>
      </c>
      <c r="AL685" s="13" t="s">
        <v>7446</v>
      </c>
      <c r="AN685" s="13">
        <v>329</v>
      </c>
      <c r="AO685" s="13" t="s">
        <v>7447</v>
      </c>
      <c r="AQ685" s="13" t="s">
        <v>7444</v>
      </c>
      <c r="AR685" s="13" t="s">
        <v>7444</v>
      </c>
      <c r="AS685" s="13" t="s">
        <v>116</v>
      </c>
      <c r="AT685" s="13" t="s">
        <v>7448</v>
      </c>
      <c r="AU685" s="13" t="s">
        <v>7449</v>
      </c>
      <c r="AV685" s="13" t="s">
        <v>7450</v>
      </c>
      <c r="AW685" s="25"/>
      <c r="AY685" s="13" t="s">
        <v>7451</v>
      </c>
      <c r="AZ685" s="13" t="s">
        <v>7452</v>
      </c>
      <c r="BA685" s="13" t="s">
        <v>7452</v>
      </c>
      <c r="BB685" s="13" t="s">
        <v>7453</v>
      </c>
      <c r="BC685" s="13" t="s">
        <v>7453</v>
      </c>
      <c r="BD685" s="16">
        <f t="shared" si="24"/>
        <v>28</v>
      </c>
      <c r="BE685" s="13" t="s">
        <v>803</v>
      </c>
      <c r="BF685" s="13" t="s">
        <v>5778</v>
      </c>
      <c r="BL685" s="13" t="s">
        <v>7454</v>
      </c>
      <c r="BS685" s="13" t="s">
        <v>127</v>
      </c>
      <c r="BU685" s="13" t="s">
        <v>129</v>
      </c>
      <c r="BX685" s="13" t="s">
        <v>7455</v>
      </c>
      <c r="DA685" s="13" t="s">
        <v>10348</v>
      </c>
      <c r="DB685" s="13" t="s">
        <v>10348</v>
      </c>
    </row>
    <row r="686" spans="1:106" s="13" customFormat="1" ht="12.75" customHeight="1" x14ac:dyDescent="0.2">
      <c r="A686" s="13" t="s">
        <v>102</v>
      </c>
      <c r="B686" s="13" t="s">
        <v>103</v>
      </c>
      <c r="D686" s="13" t="s">
        <v>937</v>
      </c>
      <c r="E686" s="17" t="s">
        <v>228</v>
      </c>
      <c r="F686" s="13" t="s">
        <v>937</v>
      </c>
      <c r="G686" s="17" t="s">
        <v>229</v>
      </c>
      <c r="H686" s="13" t="s">
        <v>820</v>
      </c>
      <c r="I686" s="17"/>
      <c r="J686" s="13" t="s">
        <v>106</v>
      </c>
      <c r="W686" s="13">
        <v>685</v>
      </c>
      <c r="X686" s="13">
        <v>685</v>
      </c>
      <c r="Y686" s="13" t="s">
        <v>107</v>
      </c>
      <c r="Z686" s="13" t="s">
        <v>108</v>
      </c>
      <c r="AA686" s="37" t="s">
        <v>107</v>
      </c>
      <c r="AB686" s="13" t="s">
        <v>7456</v>
      </c>
      <c r="AC686" s="13" t="s">
        <v>7456</v>
      </c>
      <c r="AD686" s="13" t="s">
        <v>7456</v>
      </c>
      <c r="AE686" s="20" t="s">
        <v>112</v>
      </c>
      <c r="AF686" s="13" t="s">
        <v>7456</v>
      </c>
      <c r="AG686" s="32" t="s">
        <v>7456</v>
      </c>
      <c r="AH686" s="34" t="s">
        <v>7457</v>
      </c>
      <c r="AL686" s="13" t="s">
        <v>7458</v>
      </c>
      <c r="AN686" s="13">
        <v>329</v>
      </c>
      <c r="AO686" s="13" t="s">
        <v>7459</v>
      </c>
      <c r="AQ686" s="13" t="s">
        <v>7456</v>
      </c>
      <c r="AR686" s="13" t="s">
        <v>7456</v>
      </c>
      <c r="AS686" s="13" t="s">
        <v>116</v>
      </c>
      <c r="AT686" s="13" t="s">
        <v>7460</v>
      </c>
      <c r="AU686" s="13" t="s">
        <v>7461</v>
      </c>
      <c r="AV686" s="13" t="s">
        <v>2204</v>
      </c>
      <c r="AW686" s="24" t="s">
        <v>1691</v>
      </c>
      <c r="AX686" s="24" t="s">
        <v>1692</v>
      </c>
      <c r="AY686" s="13" t="s">
        <v>7462</v>
      </c>
      <c r="AZ686" s="13" t="s">
        <v>7463</v>
      </c>
      <c r="BA686" s="13" t="s">
        <v>7463</v>
      </c>
      <c r="BB686" s="13" t="s">
        <v>7464</v>
      </c>
      <c r="BC686" s="13" t="s">
        <v>7465</v>
      </c>
      <c r="BD686" s="16">
        <f t="shared" si="24"/>
        <v>57</v>
      </c>
      <c r="BE686" s="13" t="s">
        <v>1697</v>
      </c>
      <c r="BF686" s="13" t="s">
        <v>951</v>
      </c>
      <c r="BG686" s="13" t="s">
        <v>7466</v>
      </c>
      <c r="BJ686" s="13" t="s">
        <v>7467</v>
      </c>
      <c r="BN686" s="13" t="s">
        <v>7468</v>
      </c>
      <c r="BO686" s="25" t="s">
        <v>7469</v>
      </c>
      <c r="BS686" s="13" t="s">
        <v>127</v>
      </c>
      <c r="BU686" s="13" t="s">
        <v>129</v>
      </c>
      <c r="BX686" s="13" t="s">
        <v>7470</v>
      </c>
      <c r="DA686" s="13" t="s">
        <v>10348</v>
      </c>
      <c r="DB686" s="13" t="s">
        <v>10348</v>
      </c>
    </row>
    <row r="687" spans="1:106" s="13" customFormat="1" ht="12.75" customHeight="1" x14ac:dyDescent="0.2">
      <c r="A687" s="13" t="s">
        <v>102</v>
      </c>
      <c r="B687" s="13" t="s">
        <v>103</v>
      </c>
      <c r="D687" s="13" t="s">
        <v>937</v>
      </c>
      <c r="E687" s="17" t="s">
        <v>228</v>
      </c>
      <c r="F687" s="13" t="s">
        <v>937</v>
      </c>
      <c r="G687" s="17" t="s">
        <v>229</v>
      </c>
      <c r="H687" s="13" t="s">
        <v>820</v>
      </c>
      <c r="I687" s="17"/>
      <c r="J687" s="13" t="s">
        <v>106</v>
      </c>
      <c r="W687" s="13">
        <v>686</v>
      </c>
      <c r="X687" s="13">
        <v>686</v>
      </c>
      <c r="Y687" s="13" t="s">
        <v>107</v>
      </c>
      <c r="Z687" s="13" t="s">
        <v>108</v>
      </c>
      <c r="AA687" s="37" t="s">
        <v>107</v>
      </c>
      <c r="AB687" s="13" t="s">
        <v>7471</v>
      </c>
      <c r="AC687" s="13" t="s">
        <v>7471</v>
      </c>
      <c r="AD687" s="13" t="s">
        <v>7471</v>
      </c>
      <c r="AE687" s="20" t="s">
        <v>112</v>
      </c>
      <c r="AF687" s="13" t="s">
        <v>7471</v>
      </c>
      <c r="AG687" s="32" t="s">
        <v>7471</v>
      </c>
      <c r="AH687" s="34" t="s">
        <v>7472</v>
      </c>
      <c r="AL687" s="13" t="s">
        <v>7473</v>
      </c>
      <c r="AN687" s="13">
        <v>329</v>
      </c>
      <c r="AO687" s="13" t="s">
        <v>7474</v>
      </c>
      <c r="AQ687" s="13" t="s">
        <v>7471</v>
      </c>
      <c r="AR687" s="13" t="s">
        <v>7471</v>
      </c>
      <c r="AS687" s="13" t="s">
        <v>116</v>
      </c>
      <c r="AT687" s="13" t="s">
        <v>7475</v>
      </c>
      <c r="AU687" s="13" t="s">
        <v>7461</v>
      </c>
      <c r="AV687" s="13" t="s">
        <v>2204</v>
      </c>
      <c r="AW687" s="24" t="s">
        <v>1691</v>
      </c>
      <c r="AX687" s="24" t="s">
        <v>1692</v>
      </c>
      <c r="AY687" s="13" t="s">
        <v>7476</v>
      </c>
      <c r="AZ687" s="13" t="s">
        <v>7477</v>
      </c>
      <c r="BA687" s="13" t="s">
        <v>7477</v>
      </c>
      <c r="BB687" s="13" t="s">
        <v>7478</v>
      </c>
      <c r="BC687" s="13" t="s">
        <v>7478</v>
      </c>
      <c r="BD687" s="16">
        <f t="shared" si="24"/>
        <v>59</v>
      </c>
      <c r="BE687" s="13" t="s">
        <v>1697</v>
      </c>
      <c r="BF687" s="13" t="s">
        <v>951</v>
      </c>
      <c r="BJ687" s="13" t="s">
        <v>7258</v>
      </c>
      <c r="BN687" s="13" t="s">
        <v>7468</v>
      </c>
      <c r="BO687" s="25" t="s">
        <v>7469</v>
      </c>
      <c r="BS687" s="13" t="s">
        <v>127</v>
      </c>
      <c r="BU687" s="13" t="s">
        <v>129</v>
      </c>
      <c r="BX687" s="13" t="s">
        <v>7479</v>
      </c>
      <c r="DA687" s="13" t="s">
        <v>10348</v>
      </c>
      <c r="DB687" s="13" t="s">
        <v>10348</v>
      </c>
    </row>
    <row r="688" spans="1:106" s="13" customFormat="1" ht="12.75" customHeight="1" x14ac:dyDescent="0.2">
      <c r="A688" s="13" t="s">
        <v>102</v>
      </c>
      <c r="B688" s="13" t="s">
        <v>103</v>
      </c>
      <c r="D688" s="13" t="s">
        <v>937</v>
      </c>
      <c r="E688" s="17" t="s">
        <v>228</v>
      </c>
      <c r="F688" s="13" t="s">
        <v>937</v>
      </c>
      <c r="G688" s="17" t="s">
        <v>229</v>
      </c>
      <c r="H688" s="13" t="s">
        <v>820</v>
      </c>
      <c r="I688" s="17"/>
      <c r="J688" s="13" t="s">
        <v>106</v>
      </c>
      <c r="W688" s="13">
        <v>687</v>
      </c>
      <c r="X688" s="13">
        <v>687</v>
      </c>
      <c r="Y688" s="13" t="s">
        <v>107</v>
      </c>
      <c r="Z688" s="13" t="s">
        <v>108</v>
      </c>
      <c r="AA688" s="37" t="s">
        <v>107</v>
      </c>
      <c r="AB688" s="13" t="s">
        <v>7480</v>
      </c>
      <c r="AC688" s="13" t="s">
        <v>7480</v>
      </c>
      <c r="AD688" s="13" t="s">
        <v>7480</v>
      </c>
      <c r="AE688" s="20" t="s">
        <v>112</v>
      </c>
      <c r="AF688" s="13" t="s">
        <v>7480</v>
      </c>
      <c r="AG688" s="32" t="s">
        <v>7480</v>
      </c>
      <c r="AH688" s="34" t="s">
        <v>7481</v>
      </c>
      <c r="AL688" s="13" t="s">
        <v>7482</v>
      </c>
      <c r="AN688" s="13">
        <v>329</v>
      </c>
      <c r="AO688" s="13" t="s">
        <v>7483</v>
      </c>
      <c r="AQ688" s="13" t="s">
        <v>7480</v>
      </c>
      <c r="AR688" s="13" t="s">
        <v>7480</v>
      </c>
      <c r="AS688" s="13" t="s">
        <v>116</v>
      </c>
      <c r="AT688" s="13" t="s">
        <v>7484</v>
      </c>
      <c r="AU688" s="13" t="s">
        <v>7485</v>
      </c>
      <c r="AV688" s="13" t="s">
        <v>2204</v>
      </c>
      <c r="AW688" s="24" t="s">
        <v>1691</v>
      </c>
      <c r="AX688" s="24" t="s">
        <v>1692</v>
      </c>
      <c r="AY688" s="13" t="s">
        <v>7486</v>
      </c>
      <c r="AZ688" s="13" t="s">
        <v>7487</v>
      </c>
      <c r="BA688" s="13" t="s">
        <v>7487</v>
      </c>
      <c r="BB688" s="13" t="s">
        <v>7488</v>
      </c>
      <c r="BC688" s="13" t="s">
        <v>7489</v>
      </c>
      <c r="BD688" s="16">
        <f t="shared" si="24"/>
        <v>56</v>
      </c>
      <c r="BE688" s="13" t="s">
        <v>1697</v>
      </c>
      <c r="BF688" s="13" t="s">
        <v>951</v>
      </c>
      <c r="BJ688" s="13" t="s">
        <v>7333</v>
      </c>
      <c r="BN688" s="13" t="s">
        <v>7468</v>
      </c>
      <c r="BO688" s="13" t="s">
        <v>7490</v>
      </c>
      <c r="BS688" s="13" t="s">
        <v>127</v>
      </c>
      <c r="BT688" s="13" t="s">
        <v>7260</v>
      </c>
      <c r="BU688" s="13" t="s">
        <v>129</v>
      </c>
      <c r="BX688" s="13" t="s">
        <v>7491</v>
      </c>
      <c r="DA688" s="13" t="s">
        <v>10348</v>
      </c>
      <c r="DB688" s="13" t="s">
        <v>10348</v>
      </c>
    </row>
    <row r="689" spans="1:106" s="13" customFormat="1" ht="12.75" customHeight="1" x14ac:dyDescent="0.2">
      <c r="A689" s="13" t="s">
        <v>102</v>
      </c>
      <c r="B689" s="13" t="s">
        <v>103</v>
      </c>
      <c r="D689" s="13" t="s">
        <v>937</v>
      </c>
      <c r="E689" s="17" t="s">
        <v>228</v>
      </c>
      <c r="F689" s="13" t="s">
        <v>937</v>
      </c>
      <c r="G689" s="17" t="s">
        <v>229</v>
      </c>
      <c r="H689" s="13" t="s">
        <v>820</v>
      </c>
      <c r="I689" s="17"/>
      <c r="J689" s="13" t="s">
        <v>106</v>
      </c>
      <c r="W689" s="13">
        <v>688</v>
      </c>
      <c r="X689" s="13">
        <v>688</v>
      </c>
      <c r="Y689" s="13" t="s">
        <v>107</v>
      </c>
      <c r="Z689" s="13" t="s">
        <v>108</v>
      </c>
      <c r="AA689" s="37" t="s">
        <v>107</v>
      </c>
      <c r="AB689" s="13" t="s">
        <v>7492</v>
      </c>
      <c r="AC689" s="13" t="s">
        <v>7492</v>
      </c>
      <c r="AD689" s="13" t="s">
        <v>7492</v>
      </c>
      <c r="AE689" s="20" t="s">
        <v>112</v>
      </c>
      <c r="AF689" s="13" t="s">
        <v>7492</v>
      </c>
      <c r="AG689" s="32" t="s">
        <v>7492</v>
      </c>
      <c r="AH689" s="34" t="s">
        <v>7493</v>
      </c>
      <c r="AL689" s="13" t="s">
        <v>7494</v>
      </c>
      <c r="AN689" s="13">
        <v>329</v>
      </c>
      <c r="AO689" s="13" t="s">
        <v>7495</v>
      </c>
      <c r="AQ689" s="13" t="s">
        <v>7492</v>
      </c>
      <c r="AR689" s="13" t="s">
        <v>7492</v>
      </c>
      <c r="AS689" s="13" t="s">
        <v>116</v>
      </c>
      <c r="AT689" s="13" t="s">
        <v>7496</v>
      </c>
      <c r="AU689" s="13" t="s">
        <v>7485</v>
      </c>
      <c r="AV689" s="13" t="s">
        <v>2204</v>
      </c>
      <c r="AW689" s="24" t="s">
        <v>1691</v>
      </c>
      <c r="AX689" s="24" t="s">
        <v>1692</v>
      </c>
      <c r="AY689" s="13" t="s">
        <v>7497</v>
      </c>
      <c r="AZ689" s="13" t="s">
        <v>7498</v>
      </c>
      <c r="BA689" s="13" t="s">
        <v>7498</v>
      </c>
      <c r="BB689" s="13" t="s">
        <v>7499</v>
      </c>
      <c r="BC689" s="13" t="s">
        <v>7500</v>
      </c>
      <c r="BD689" s="16">
        <f t="shared" si="24"/>
        <v>56</v>
      </c>
      <c r="BE689" s="13" t="s">
        <v>1697</v>
      </c>
      <c r="BF689" s="13" t="s">
        <v>951</v>
      </c>
      <c r="BJ689" s="13" t="s">
        <v>7501</v>
      </c>
      <c r="BN689" s="13" t="s">
        <v>7468</v>
      </c>
      <c r="BO689" s="13" t="s">
        <v>7490</v>
      </c>
      <c r="BS689" s="13" t="s">
        <v>127</v>
      </c>
      <c r="BT689" s="13" t="s">
        <v>7260</v>
      </c>
      <c r="BU689" s="13" t="s">
        <v>129</v>
      </c>
      <c r="BX689" s="13" t="s">
        <v>7502</v>
      </c>
      <c r="DA689" s="13" t="s">
        <v>10348</v>
      </c>
      <c r="DB689" s="13" t="s">
        <v>10348</v>
      </c>
    </row>
    <row r="690" spans="1:106" s="13" customFormat="1" ht="12.75" customHeight="1" x14ac:dyDescent="0.2">
      <c r="A690" s="13" t="s">
        <v>102</v>
      </c>
      <c r="B690" s="13" t="s">
        <v>103</v>
      </c>
      <c r="D690" s="13" t="s">
        <v>937</v>
      </c>
      <c r="E690" s="17" t="s">
        <v>471</v>
      </c>
      <c r="F690" s="13" t="s">
        <v>937</v>
      </c>
      <c r="G690" s="17" t="s">
        <v>229</v>
      </c>
      <c r="H690" s="13" t="s">
        <v>820</v>
      </c>
      <c r="I690" s="17"/>
      <c r="J690" s="13" t="s">
        <v>106</v>
      </c>
      <c r="W690" s="13">
        <v>689</v>
      </c>
      <c r="X690" s="13">
        <v>689</v>
      </c>
      <c r="Y690" s="13" t="s">
        <v>107</v>
      </c>
      <c r="Z690" s="13" t="s">
        <v>108</v>
      </c>
      <c r="AA690" s="37" t="s">
        <v>107</v>
      </c>
      <c r="AB690" s="13" t="s">
        <v>7503</v>
      </c>
      <c r="AC690" s="13" t="s">
        <v>7503</v>
      </c>
      <c r="AD690" s="13" t="s">
        <v>7503</v>
      </c>
      <c r="AE690" s="20" t="s">
        <v>112</v>
      </c>
      <c r="AF690" s="13" t="s">
        <v>7503</v>
      </c>
      <c r="AG690" s="32" t="s">
        <v>7503</v>
      </c>
      <c r="AH690" s="34" t="s">
        <v>7504</v>
      </c>
      <c r="AL690" s="13" t="s">
        <v>7505</v>
      </c>
      <c r="AN690" s="13">
        <v>329</v>
      </c>
      <c r="AO690" s="13" t="s">
        <v>7506</v>
      </c>
      <c r="AQ690" s="13" t="s">
        <v>7503</v>
      </c>
      <c r="AR690" s="13" t="s">
        <v>7503</v>
      </c>
      <c r="AS690" s="13" t="s">
        <v>116</v>
      </c>
      <c r="AT690" s="13" t="s">
        <v>7507</v>
      </c>
      <c r="AU690" s="13" t="s">
        <v>7508</v>
      </c>
      <c r="AV690" s="13" t="s">
        <v>2204</v>
      </c>
      <c r="AW690" s="24" t="s">
        <v>1691</v>
      </c>
      <c r="AX690" s="24" t="s">
        <v>1692</v>
      </c>
      <c r="AY690" s="13" t="s">
        <v>7509</v>
      </c>
      <c r="AZ690" s="13" t="s">
        <v>7510</v>
      </c>
      <c r="BA690" s="13" t="s">
        <v>7510</v>
      </c>
      <c r="BB690" s="13" t="s">
        <v>7511</v>
      </c>
      <c r="BC690" s="13" t="s">
        <v>7511</v>
      </c>
      <c r="BD690" s="16">
        <f t="shared" si="24"/>
        <v>37</v>
      </c>
      <c r="BE690" s="13" t="s">
        <v>1697</v>
      </c>
      <c r="BF690" s="13" t="s">
        <v>951</v>
      </c>
      <c r="BJ690" s="13" t="s">
        <v>7257</v>
      </c>
      <c r="BN690" s="13" t="s">
        <v>7468</v>
      </c>
      <c r="BS690" s="13" t="s">
        <v>127</v>
      </c>
      <c r="BU690" s="13" t="s">
        <v>129</v>
      </c>
      <c r="BX690" s="13" t="s">
        <v>7512</v>
      </c>
      <c r="DA690" s="13" t="s">
        <v>10348</v>
      </c>
      <c r="DB690" s="13" t="s">
        <v>10348</v>
      </c>
    </row>
    <row r="691" spans="1:106" s="13" customFormat="1" ht="12.75" customHeight="1" x14ac:dyDescent="0.2">
      <c r="A691" s="13" t="s">
        <v>102</v>
      </c>
      <c r="B691" s="13" t="s">
        <v>103</v>
      </c>
      <c r="D691" s="13" t="s">
        <v>937</v>
      </c>
      <c r="E691" s="17" t="s">
        <v>228</v>
      </c>
      <c r="F691" s="13" t="s">
        <v>937</v>
      </c>
      <c r="G691" s="17" t="s">
        <v>229</v>
      </c>
      <c r="H691" s="13" t="s">
        <v>820</v>
      </c>
      <c r="I691" s="17"/>
      <c r="J691" s="13" t="s">
        <v>106</v>
      </c>
      <c r="W691" s="13">
        <v>690</v>
      </c>
      <c r="X691" s="13">
        <v>690</v>
      </c>
      <c r="Y691" s="13" t="s">
        <v>107</v>
      </c>
      <c r="Z691" s="13" t="s">
        <v>108</v>
      </c>
      <c r="AA691" s="37" t="s">
        <v>107</v>
      </c>
      <c r="AB691" s="13" t="s">
        <v>7513</v>
      </c>
      <c r="AC691" s="13" t="s">
        <v>7513</v>
      </c>
      <c r="AD691" s="13" t="s">
        <v>7513</v>
      </c>
      <c r="AE691" s="20" t="s">
        <v>112</v>
      </c>
      <c r="AF691" s="13" t="s">
        <v>7513</v>
      </c>
      <c r="AG691" s="32" t="s">
        <v>7513</v>
      </c>
      <c r="AH691" s="34" t="s">
        <v>7514</v>
      </c>
      <c r="AL691" s="13" t="s">
        <v>7515</v>
      </c>
      <c r="AN691" s="13">
        <v>329</v>
      </c>
      <c r="AO691" s="13" t="s">
        <v>7516</v>
      </c>
      <c r="AQ691" s="13" t="s">
        <v>7513</v>
      </c>
      <c r="AR691" s="13" t="s">
        <v>7513</v>
      </c>
      <c r="AS691" s="13" t="s">
        <v>116</v>
      </c>
      <c r="AT691" s="13" t="s">
        <v>7517</v>
      </c>
      <c r="AU691" s="13" t="s">
        <v>7485</v>
      </c>
      <c r="AV691" s="13" t="s">
        <v>2204</v>
      </c>
      <c r="AW691" s="24" t="s">
        <v>1691</v>
      </c>
      <c r="AX691" s="24" t="s">
        <v>1692</v>
      </c>
      <c r="AY691" s="13" t="s">
        <v>7518</v>
      </c>
      <c r="AZ691" s="13" t="s">
        <v>7519</v>
      </c>
      <c r="BA691" s="13" t="s">
        <v>7519</v>
      </c>
      <c r="BB691" s="13" t="s">
        <v>7520</v>
      </c>
      <c r="BC691" s="13" t="s">
        <v>7521</v>
      </c>
      <c r="BD691" s="16">
        <f t="shared" si="24"/>
        <v>56</v>
      </c>
      <c r="BE691" s="13" t="s">
        <v>1697</v>
      </c>
      <c r="BF691" s="13" t="s">
        <v>951</v>
      </c>
      <c r="BJ691" s="13" t="s">
        <v>7522</v>
      </c>
      <c r="BN691" s="13" t="s">
        <v>7468</v>
      </c>
      <c r="BO691" s="13" t="s">
        <v>7490</v>
      </c>
      <c r="BS691" s="13" t="s">
        <v>127</v>
      </c>
      <c r="BT691" s="13" t="s">
        <v>7260</v>
      </c>
      <c r="BU691" s="13" t="s">
        <v>129</v>
      </c>
      <c r="BX691" s="13" t="s">
        <v>7523</v>
      </c>
      <c r="DA691" s="13" t="s">
        <v>10348</v>
      </c>
      <c r="DB691" s="13" t="s">
        <v>10348</v>
      </c>
    </row>
    <row r="692" spans="1:106" s="13" customFormat="1" ht="12.75" customHeight="1" x14ac:dyDescent="0.2">
      <c r="A692" s="13" t="s">
        <v>102</v>
      </c>
      <c r="B692" s="13" t="s">
        <v>103</v>
      </c>
      <c r="D692" s="13" t="s">
        <v>937</v>
      </c>
      <c r="E692" s="17" t="s">
        <v>228</v>
      </c>
      <c r="F692" s="13" t="s">
        <v>937</v>
      </c>
      <c r="G692" s="17" t="s">
        <v>229</v>
      </c>
      <c r="H692" s="13" t="s">
        <v>820</v>
      </c>
      <c r="I692" s="17"/>
      <c r="J692" s="13" t="s">
        <v>106</v>
      </c>
      <c r="W692" s="13">
        <v>691</v>
      </c>
      <c r="X692" s="13">
        <v>691</v>
      </c>
      <c r="Y692" s="13" t="s">
        <v>107</v>
      </c>
      <c r="Z692" s="13" t="s">
        <v>108</v>
      </c>
      <c r="AA692" s="37" t="s">
        <v>107</v>
      </c>
      <c r="AB692" s="13" t="s">
        <v>7524</v>
      </c>
      <c r="AC692" s="13" t="s">
        <v>7524</v>
      </c>
      <c r="AD692" s="13" t="s">
        <v>7524</v>
      </c>
      <c r="AE692" s="20" t="s">
        <v>112</v>
      </c>
      <c r="AF692" s="13" t="s">
        <v>7524</v>
      </c>
      <c r="AG692" s="32" t="s">
        <v>7524</v>
      </c>
      <c r="AH692" s="34" t="s">
        <v>7525</v>
      </c>
      <c r="AL692" s="13" t="s">
        <v>7526</v>
      </c>
      <c r="AN692" s="13">
        <v>329</v>
      </c>
      <c r="AO692" s="13" t="s">
        <v>7527</v>
      </c>
      <c r="AQ692" s="13" t="s">
        <v>7524</v>
      </c>
      <c r="AR692" s="13" t="s">
        <v>7524</v>
      </c>
      <c r="AS692" s="13" t="s">
        <v>116</v>
      </c>
      <c r="AT692" s="13" t="s">
        <v>7528</v>
      </c>
      <c r="AU692" s="13" t="s">
        <v>7508</v>
      </c>
      <c r="AV692" s="13" t="s">
        <v>2204</v>
      </c>
      <c r="AW692" s="24" t="s">
        <v>1691</v>
      </c>
      <c r="AX692" s="24" t="s">
        <v>1692</v>
      </c>
      <c r="AY692" s="13" t="s">
        <v>7529</v>
      </c>
      <c r="AZ692" s="13" t="s">
        <v>7530</v>
      </c>
      <c r="BA692" s="13" t="s">
        <v>7530</v>
      </c>
      <c r="BB692" s="13" t="s">
        <v>7531</v>
      </c>
      <c r="BC692" s="13" t="s">
        <v>7532</v>
      </c>
      <c r="BD692" s="16">
        <f t="shared" si="24"/>
        <v>53</v>
      </c>
      <c r="BE692" s="13" t="s">
        <v>1697</v>
      </c>
      <c r="BF692" s="13" t="s">
        <v>951</v>
      </c>
      <c r="BJ692" s="13" t="s">
        <v>7533</v>
      </c>
      <c r="BN692" s="13" t="s">
        <v>7468</v>
      </c>
      <c r="BO692" s="13" t="s">
        <v>7534</v>
      </c>
      <c r="BS692" s="13" t="s">
        <v>127</v>
      </c>
      <c r="BT692" s="13" t="s">
        <v>7260</v>
      </c>
      <c r="BU692" s="13" t="s">
        <v>129</v>
      </c>
      <c r="BX692" s="13" t="s">
        <v>7535</v>
      </c>
      <c r="DA692" s="13" t="s">
        <v>10348</v>
      </c>
      <c r="DB692" s="13" t="s">
        <v>10348</v>
      </c>
    </row>
    <row r="693" spans="1:106" s="13" customFormat="1" ht="12.75" customHeight="1" x14ac:dyDescent="0.2">
      <c r="A693" s="13" t="s">
        <v>102</v>
      </c>
      <c r="B693" s="13" t="s">
        <v>103</v>
      </c>
      <c r="D693" s="13" t="s">
        <v>937</v>
      </c>
      <c r="E693" s="17" t="s">
        <v>228</v>
      </c>
      <c r="F693" s="13" t="s">
        <v>937</v>
      </c>
      <c r="G693" s="17" t="s">
        <v>229</v>
      </c>
      <c r="H693" s="13" t="s">
        <v>820</v>
      </c>
      <c r="I693" s="17"/>
      <c r="J693" s="13" t="s">
        <v>106</v>
      </c>
      <c r="W693" s="13">
        <v>692</v>
      </c>
      <c r="X693" s="13">
        <v>692</v>
      </c>
      <c r="Y693" s="13" t="s">
        <v>107</v>
      </c>
      <c r="Z693" s="13" t="s">
        <v>108</v>
      </c>
      <c r="AA693" s="37" t="s">
        <v>107</v>
      </c>
      <c r="AB693" s="13" t="s">
        <v>7536</v>
      </c>
      <c r="AC693" s="13" t="s">
        <v>7536</v>
      </c>
      <c r="AD693" s="13" t="s">
        <v>7536</v>
      </c>
      <c r="AE693" s="20" t="s">
        <v>112</v>
      </c>
      <c r="AF693" s="13" t="s">
        <v>7536</v>
      </c>
      <c r="AG693" s="32" t="s">
        <v>7536</v>
      </c>
      <c r="AH693" s="34" t="s">
        <v>7537</v>
      </c>
      <c r="AL693" s="13" t="s">
        <v>7538</v>
      </c>
      <c r="AN693" s="13">
        <v>329</v>
      </c>
      <c r="AO693" s="13" t="s">
        <v>7539</v>
      </c>
      <c r="AQ693" s="13" t="s">
        <v>7536</v>
      </c>
      <c r="AR693" s="13" t="s">
        <v>7536</v>
      </c>
      <c r="AS693" s="13" t="s">
        <v>116</v>
      </c>
      <c r="AT693" s="13" t="s">
        <v>7540</v>
      </c>
      <c r="AU693" s="13" t="s">
        <v>7508</v>
      </c>
      <c r="AV693" s="13" t="s">
        <v>2204</v>
      </c>
      <c r="AW693" s="24" t="s">
        <v>1691</v>
      </c>
      <c r="AX693" s="24" t="s">
        <v>1692</v>
      </c>
      <c r="AY693" s="13" t="s">
        <v>7541</v>
      </c>
      <c r="AZ693" s="13" t="s">
        <v>7542</v>
      </c>
      <c r="BA693" s="13" t="s">
        <v>7542</v>
      </c>
      <c r="BB693" s="13" t="s">
        <v>7543</v>
      </c>
      <c r="BC693" s="13" t="s">
        <v>7544</v>
      </c>
      <c r="BD693" s="16">
        <f t="shared" si="24"/>
        <v>51</v>
      </c>
      <c r="BE693" s="13" t="s">
        <v>1697</v>
      </c>
      <c r="BF693" s="13" t="s">
        <v>951</v>
      </c>
      <c r="BJ693" s="13" t="s">
        <v>7304</v>
      </c>
      <c r="BN693" s="13" t="s">
        <v>7468</v>
      </c>
      <c r="BO693" s="13" t="s">
        <v>7534</v>
      </c>
      <c r="BS693" s="13" t="s">
        <v>127</v>
      </c>
      <c r="BT693" s="13" t="s">
        <v>7260</v>
      </c>
      <c r="BU693" s="13" t="s">
        <v>129</v>
      </c>
      <c r="BX693" s="13" t="s">
        <v>7545</v>
      </c>
      <c r="DA693" s="13" t="s">
        <v>10348</v>
      </c>
      <c r="DB693" s="13" t="s">
        <v>10348</v>
      </c>
    </row>
    <row r="694" spans="1:106" s="13" customFormat="1" ht="12.75" customHeight="1" x14ac:dyDescent="0.2">
      <c r="A694" s="13" t="s">
        <v>102</v>
      </c>
      <c r="B694" s="13" t="s">
        <v>103</v>
      </c>
      <c r="D694" s="13" t="s">
        <v>937</v>
      </c>
      <c r="E694" s="17" t="s">
        <v>228</v>
      </c>
      <c r="F694" s="13" t="s">
        <v>937</v>
      </c>
      <c r="G694" s="17" t="s">
        <v>229</v>
      </c>
      <c r="H694" s="13" t="s">
        <v>820</v>
      </c>
      <c r="I694" s="17"/>
      <c r="J694" s="13" t="s">
        <v>106</v>
      </c>
      <c r="W694" s="13">
        <v>693</v>
      </c>
      <c r="X694" s="13">
        <v>693</v>
      </c>
      <c r="Y694" s="13" t="s">
        <v>107</v>
      </c>
      <c r="Z694" s="13" t="s">
        <v>108</v>
      </c>
      <c r="AA694" s="37" t="s">
        <v>107</v>
      </c>
      <c r="AB694" s="13" t="s">
        <v>7546</v>
      </c>
      <c r="AC694" s="13" t="s">
        <v>7546</v>
      </c>
      <c r="AD694" s="13" t="s">
        <v>7546</v>
      </c>
      <c r="AE694" s="20" t="s">
        <v>112</v>
      </c>
      <c r="AF694" s="13" t="s">
        <v>7546</v>
      </c>
      <c r="AG694" s="32" t="s">
        <v>7546</v>
      </c>
      <c r="AH694" s="34" t="s">
        <v>7547</v>
      </c>
      <c r="AL694" s="13" t="s">
        <v>7548</v>
      </c>
      <c r="AN694" s="13">
        <v>329</v>
      </c>
      <c r="AO694" s="13" t="s">
        <v>7549</v>
      </c>
      <c r="AQ694" s="13" t="s">
        <v>7546</v>
      </c>
      <c r="AR694" s="13" t="s">
        <v>7546</v>
      </c>
      <c r="AS694" s="13" t="s">
        <v>116</v>
      </c>
      <c r="AT694" s="13" t="s">
        <v>7550</v>
      </c>
      <c r="AU694" s="13" t="s">
        <v>7551</v>
      </c>
      <c r="AV694" s="25" t="s">
        <v>1399</v>
      </c>
      <c r="AY694" s="13" t="s">
        <v>7552</v>
      </c>
      <c r="AZ694" s="13" t="s">
        <v>7553</v>
      </c>
      <c r="BA694" s="13" t="s">
        <v>7553</v>
      </c>
      <c r="BB694" s="13" t="s">
        <v>7554</v>
      </c>
      <c r="BC694" s="13" t="s">
        <v>7554</v>
      </c>
      <c r="BD694" s="16">
        <f t="shared" si="24"/>
        <v>44</v>
      </c>
      <c r="BE694" s="13" t="s">
        <v>7555</v>
      </c>
      <c r="BJ694" s="13" t="s">
        <v>7556</v>
      </c>
      <c r="BO694" s="13" t="s">
        <v>7557</v>
      </c>
      <c r="BS694" s="13" t="s">
        <v>127</v>
      </c>
      <c r="BU694" s="13" t="s">
        <v>129</v>
      </c>
      <c r="BX694" s="13" t="s">
        <v>7558</v>
      </c>
      <c r="DA694" s="13" t="s">
        <v>10348</v>
      </c>
      <c r="DB694" s="13" t="s">
        <v>10348</v>
      </c>
    </row>
    <row r="695" spans="1:106" s="13" customFormat="1" ht="12.75" customHeight="1" x14ac:dyDescent="0.2">
      <c r="A695" s="13" t="s">
        <v>102</v>
      </c>
      <c r="B695" s="13" t="s">
        <v>103</v>
      </c>
      <c r="D695" s="13" t="s">
        <v>937</v>
      </c>
      <c r="E695" s="17" t="s">
        <v>471</v>
      </c>
      <c r="F695" s="13" t="s">
        <v>937</v>
      </c>
      <c r="G695" s="17" t="s">
        <v>229</v>
      </c>
      <c r="H695" s="13" t="s">
        <v>820</v>
      </c>
      <c r="I695" s="17"/>
      <c r="J695" s="13" t="s">
        <v>106</v>
      </c>
      <c r="W695" s="13">
        <v>694</v>
      </c>
      <c r="X695" s="13">
        <v>694</v>
      </c>
      <c r="Y695" s="13" t="s">
        <v>107</v>
      </c>
      <c r="Z695" s="13" t="s">
        <v>108</v>
      </c>
      <c r="AA695" s="37" t="s">
        <v>107</v>
      </c>
      <c r="AB695" s="13" t="s">
        <v>7559</v>
      </c>
      <c r="AC695" s="13" t="s">
        <v>7559</v>
      </c>
      <c r="AD695" s="13" t="s">
        <v>7559</v>
      </c>
      <c r="AE695" s="20" t="s">
        <v>112</v>
      </c>
      <c r="AF695" s="13" t="s">
        <v>7559</v>
      </c>
      <c r="AG695" s="32" t="s">
        <v>7559</v>
      </c>
      <c r="AH695" s="34" t="s">
        <v>7560</v>
      </c>
      <c r="AL695" s="13" t="s">
        <v>7561</v>
      </c>
      <c r="AN695" s="13">
        <v>329</v>
      </c>
      <c r="AO695" s="13" t="s">
        <v>7562</v>
      </c>
      <c r="AQ695" s="13" t="s">
        <v>7559</v>
      </c>
      <c r="AR695" s="13" t="s">
        <v>7559</v>
      </c>
      <c r="AS695" s="13" t="s">
        <v>116</v>
      </c>
      <c r="AT695" s="13" t="s">
        <v>7563</v>
      </c>
      <c r="AU695" s="13" t="s">
        <v>7564</v>
      </c>
      <c r="AV695" s="13" t="s">
        <v>7565</v>
      </c>
      <c r="AY695" s="13" t="s">
        <v>7566</v>
      </c>
      <c r="AZ695" s="13" t="s">
        <v>7567</v>
      </c>
      <c r="BA695" s="13" t="s">
        <v>7567</v>
      </c>
      <c r="BB695" s="13" t="s">
        <v>7568</v>
      </c>
      <c r="BC695" s="13" t="s">
        <v>7569</v>
      </c>
      <c r="BD695" s="16">
        <f t="shared" si="24"/>
        <v>55</v>
      </c>
      <c r="BE695" s="13" t="s">
        <v>7570</v>
      </c>
      <c r="BF695" s="13" t="s">
        <v>2209</v>
      </c>
      <c r="BH695" s="25" t="s">
        <v>7571</v>
      </c>
      <c r="BO695" s="13" t="s">
        <v>7572</v>
      </c>
      <c r="BS695" s="13" t="s">
        <v>127</v>
      </c>
      <c r="BU695" s="13" t="s">
        <v>129</v>
      </c>
      <c r="BX695" s="13" t="s">
        <v>7573</v>
      </c>
      <c r="DA695" s="13" t="s">
        <v>10348</v>
      </c>
      <c r="DB695" s="13" t="s">
        <v>10348</v>
      </c>
    </row>
    <row r="696" spans="1:106" s="13" customFormat="1" ht="12.75" customHeight="1" x14ac:dyDescent="0.2">
      <c r="A696" s="13" t="s">
        <v>102</v>
      </c>
      <c r="B696" s="13" t="s">
        <v>103</v>
      </c>
      <c r="D696" s="13" t="s">
        <v>937</v>
      </c>
      <c r="E696" s="17" t="s">
        <v>471</v>
      </c>
      <c r="F696" s="13" t="s">
        <v>937</v>
      </c>
      <c r="G696" s="17" t="s">
        <v>229</v>
      </c>
      <c r="H696" s="13" t="s">
        <v>820</v>
      </c>
      <c r="I696" s="17"/>
      <c r="J696" s="13" t="s">
        <v>106</v>
      </c>
      <c r="W696" s="13">
        <v>695</v>
      </c>
      <c r="X696" s="13">
        <v>695</v>
      </c>
      <c r="Y696" s="13" t="s">
        <v>107</v>
      </c>
      <c r="Z696" s="13" t="s">
        <v>108</v>
      </c>
      <c r="AA696" s="37" t="s">
        <v>107</v>
      </c>
      <c r="AB696" s="13" t="s">
        <v>7574</v>
      </c>
      <c r="AC696" s="13" t="s">
        <v>7574</v>
      </c>
      <c r="AD696" s="13" t="s">
        <v>7575</v>
      </c>
      <c r="AE696" s="20" t="s">
        <v>112</v>
      </c>
      <c r="AF696" s="13" t="s">
        <v>7575</v>
      </c>
      <c r="AG696" s="32" t="s">
        <v>7574</v>
      </c>
      <c r="AH696" s="34" t="s">
        <v>7576</v>
      </c>
      <c r="AL696" s="13" t="s">
        <v>7577</v>
      </c>
      <c r="AN696" s="13">
        <v>329</v>
      </c>
      <c r="AO696" s="13" t="s">
        <v>7578</v>
      </c>
      <c r="AQ696" s="13" t="s">
        <v>7575</v>
      </c>
      <c r="AR696" s="13" t="s">
        <v>7575</v>
      </c>
      <c r="AS696" s="13" t="s">
        <v>116</v>
      </c>
      <c r="AT696" s="13" t="s">
        <v>7579</v>
      </c>
      <c r="AU696" s="13" t="s">
        <v>7580</v>
      </c>
      <c r="AV696" s="13" t="s">
        <v>2204</v>
      </c>
      <c r="AW696" s="24" t="s">
        <v>1691</v>
      </c>
      <c r="AX696" s="24" t="s">
        <v>1692</v>
      </c>
      <c r="AY696" s="13" t="s">
        <v>7581</v>
      </c>
      <c r="AZ696" s="13" t="s">
        <v>7582</v>
      </c>
      <c r="BA696" s="13" t="s">
        <v>7582</v>
      </c>
      <c r="BB696" s="13" t="s">
        <v>7583</v>
      </c>
      <c r="BC696" s="13" t="s">
        <v>7583</v>
      </c>
      <c r="BD696" s="16">
        <f t="shared" si="24"/>
        <v>36</v>
      </c>
      <c r="BE696" s="13" t="s">
        <v>1697</v>
      </c>
      <c r="BF696" s="13" t="s">
        <v>951</v>
      </c>
      <c r="BG696" s="13" t="s">
        <v>7584</v>
      </c>
      <c r="BJ696" s="13" t="s">
        <v>7585</v>
      </c>
      <c r="BS696" s="13" t="s">
        <v>127</v>
      </c>
      <c r="BU696" s="13" t="s">
        <v>129</v>
      </c>
      <c r="BX696" s="13" t="s">
        <v>7586</v>
      </c>
      <c r="DA696" s="13" t="s">
        <v>10348</v>
      </c>
      <c r="DB696" s="13" t="s">
        <v>10348</v>
      </c>
    </row>
    <row r="697" spans="1:106" s="13" customFormat="1" ht="12.75" customHeight="1" x14ac:dyDescent="0.2">
      <c r="A697" s="13" t="s">
        <v>102</v>
      </c>
      <c r="B697" s="13" t="s">
        <v>103</v>
      </c>
      <c r="D697" s="13" t="s">
        <v>937</v>
      </c>
      <c r="E697" s="17" t="s">
        <v>471</v>
      </c>
      <c r="F697" s="13" t="s">
        <v>937</v>
      </c>
      <c r="G697" s="17" t="s">
        <v>229</v>
      </c>
      <c r="H697" s="13" t="s">
        <v>820</v>
      </c>
      <c r="I697" s="17"/>
      <c r="J697" s="13" t="s">
        <v>106</v>
      </c>
      <c r="W697" s="13">
        <v>696</v>
      </c>
      <c r="X697" s="13">
        <v>696</v>
      </c>
      <c r="Y697" s="13" t="s">
        <v>107</v>
      </c>
      <c r="Z697" s="13" t="s">
        <v>108</v>
      </c>
      <c r="AA697" s="37" t="s">
        <v>107</v>
      </c>
      <c r="AB697" s="13" t="s">
        <v>7587</v>
      </c>
      <c r="AC697" s="13" t="s">
        <v>7587</v>
      </c>
      <c r="AD697" s="13" t="s">
        <v>7588</v>
      </c>
      <c r="AE697" s="20" t="s">
        <v>112</v>
      </c>
      <c r="AF697" s="13" t="s">
        <v>7588</v>
      </c>
      <c r="AG697" s="32" t="s">
        <v>7587</v>
      </c>
      <c r="AH697" s="34" t="s">
        <v>7589</v>
      </c>
      <c r="AL697" s="13" t="s">
        <v>7590</v>
      </c>
      <c r="AN697" s="13">
        <v>329</v>
      </c>
      <c r="AO697" s="13" t="s">
        <v>7591</v>
      </c>
      <c r="AQ697" s="13" t="s">
        <v>7588</v>
      </c>
      <c r="AR697" s="13" t="s">
        <v>7588</v>
      </c>
      <c r="AS697" s="13" t="s">
        <v>116</v>
      </c>
      <c r="AT697" s="13" t="s">
        <v>7592</v>
      </c>
      <c r="AU697" s="13" t="s">
        <v>7580</v>
      </c>
      <c r="AV697" s="13" t="s">
        <v>2204</v>
      </c>
      <c r="AW697" s="24" t="s">
        <v>1691</v>
      </c>
      <c r="AX697" s="24" t="s">
        <v>1692</v>
      </c>
      <c r="AY697" s="13" t="s">
        <v>7593</v>
      </c>
      <c r="AZ697" s="13" t="s">
        <v>7594</v>
      </c>
      <c r="BA697" s="13" t="s">
        <v>7594</v>
      </c>
      <c r="BB697" s="13" t="s">
        <v>7595</v>
      </c>
      <c r="BC697" s="13" t="s">
        <v>7595</v>
      </c>
      <c r="BD697" s="16">
        <f t="shared" si="24"/>
        <v>35</v>
      </c>
      <c r="BE697" s="13" t="s">
        <v>1697</v>
      </c>
      <c r="BF697" s="13" t="s">
        <v>951</v>
      </c>
      <c r="BG697" s="13" t="s">
        <v>7584</v>
      </c>
      <c r="BJ697" s="13" t="s">
        <v>7596</v>
      </c>
      <c r="BS697" s="13" t="s">
        <v>127</v>
      </c>
      <c r="BU697" s="13" t="s">
        <v>129</v>
      </c>
      <c r="BX697" s="13" t="s">
        <v>7597</v>
      </c>
      <c r="DA697" s="13" t="s">
        <v>10348</v>
      </c>
      <c r="DB697" s="13" t="s">
        <v>10348</v>
      </c>
    </row>
    <row r="698" spans="1:106" s="13" customFormat="1" ht="12.75" customHeight="1" x14ac:dyDescent="0.2">
      <c r="A698" s="13" t="s">
        <v>102</v>
      </c>
      <c r="B698" s="13" t="s">
        <v>103</v>
      </c>
      <c r="D698" s="13" t="s">
        <v>937</v>
      </c>
      <c r="E698" s="17" t="s">
        <v>471</v>
      </c>
      <c r="F698" s="13" t="s">
        <v>937</v>
      </c>
      <c r="G698" s="17" t="s">
        <v>229</v>
      </c>
      <c r="H698" s="13" t="s">
        <v>820</v>
      </c>
      <c r="I698" s="17"/>
      <c r="J698" s="13" t="s">
        <v>106</v>
      </c>
      <c r="W698" s="13">
        <v>697</v>
      </c>
      <c r="X698" s="13">
        <v>697</v>
      </c>
      <c r="Y698" s="13" t="s">
        <v>107</v>
      </c>
      <c r="Z698" s="13" t="s">
        <v>108</v>
      </c>
      <c r="AA698" s="37" t="s">
        <v>107</v>
      </c>
      <c r="AB698" s="13" t="s">
        <v>7598</v>
      </c>
      <c r="AC698" s="13" t="s">
        <v>7598</v>
      </c>
      <c r="AD698" s="13" t="s">
        <v>7599</v>
      </c>
      <c r="AE698" s="20" t="s">
        <v>112</v>
      </c>
      <c r="AF698" s="13" t="s">
        <v>7599</v>
      </c>
      <c r="AG698" s="32" t="s">
        <v>7598</v>
      </c>
      <c r="AH698" s="34" t="s">
        <v>7600</v>
      </c>
      <c r="AL698" s="13" t="s">
        <v>7601</v>
      </c>
      <c r="AN698" s="13">
        <v>329</v>
      </c>
      <c r="AO698" s="13" t="s">
        <v>7602</v>
      </c>
      <c r="AQ698" s="13" t="s">
        <v>7599</v>
      </c>
      <c r="AR698" s="13" t="s">
        <v>7599</v>
      </c>
      <c r="AS698" s="13" t="s">
        <v>116</v>
      </c>
      <c r="AT698" s="13" t="s">
        <v>7603</v>
      </c>
      <c r="AU698" s="13" t="s">
        <v>7580</v>
      </c>
      <c r="AV698" s="13" t="s">
        <v>2204</v>
      </c>
      <c r="AW698" s="24" t="s">
        <v>1691</v>
      </c>
      <c r="AX698" s="24" t="s">
        <v>1692</v>
      </c>
      <c r="AY698" s="13" t="s">
        <v>7604</v>
      </c>
      <c r="AZ698" s="13" t="s">
        <v>7605</v>
      </c>
      <c r="BA698" s="13" t="s">
        <v>7605</v>
      </c>
      <c r="BB698" s="13" t="s">
        <v>7606</v>
      </c>
      <c r="BC698" s="13" t="s">
        <v>7606</v>
      </c>
      <c r="BD698" s="16">
        <f t="shared" si="24"/>
        <v>36</v>
      </c>
      <c r="BE698" s="13" t="s">
        <v>1697</v>
      </c>
      <c r="BF698" s="13" t="s">
        <v>951</v>
      </c>
      <c r="BG698" s="13" t="s">
        <v>7584</v>
      </c>
      <c r="BJ698" s="13" t="s">
        <v>7430</v>
      </c>
      <c r="BS698" s="13" t="s">
        <v>127</v>
      </c>
      <c r="BU698" s="13" t="s">
        <v>129</v>
      </c>
      <c r="BX698" s="13" t="s">
        <v>7607</v>
      </c>
      <c r="DA698" s="13" t="s">
        <v>10348</v>
      </c>
      <c r="DB698" s="13" t="s">
        <v>10348</v>
      </c>
    </row>
    <row r="699" spans="1:106" s="13" customFormat="1" ht="12.75" customHeight="1" x14ac:dyDescent="0.2">
      <c r="A699" s="13" t="s">
        <v>102</v>
      </c>
      <c r="B699" s="13" t="s">
        <v>103</v>
      </c>
      <c r="D699" s="13" t="s">
        <v>937</v>
      </c>
      <c r="E699" s="17" t="s">
        <v>471</v>
      </c>
      <c r="F699" s="13" t="s">
        <v>937</v>
      </c>
      <c r="G699" s="17" t="s">
        <v>229</v>
      </c>
      <c r="H699" s="13" t="s">
        <v>820</v>
      </c>
      <c r="I699" s="17"/>
      <c r="J699" s="13" t="s">
        <v>106</v>
      </c>
      <c r="W699" s="13">
        <v>698</v>
      </c>
      <c r="X699" s="13">
        <v>698</v>
      </c>
      <c r="Y699" s="13" t="s">
        <v>107</v>
      </c>
      <c r="Z699" s="13" t="s">
        <v>108</v>
      </c>
      <c r="AA699" s="37" t="s">
        <v>107</v>
      </c>
      <c r="AB699" s="13" t="s">
        <v>7608</v>
      </c>
      <c r="AC699" s="13" t="s">
        <v>7608</v>
      </c>
      <c r="AD699" s="13" t="s">
        <v>7609</v>
      </c>
      <c r="AE699" s="20" t="s">
        <v>112</v>
      </c>
      <c r="AF699" s="13" t="s">
        <v>7609</v>
      </c>
      <c r="AG699" s="32" t="s">
        <v>7608</v>
      </c>
      <c r="AH699" s="34" t="s">
        <v>7610</v>
      </c>
      <c r="AL699" s="13" t="s">
        <v>7611</v>
      </c>
      <c r="AN699" s="13">
        <v>329</v>
      </c>
      <c r="AO699" s="13" t="s">
        <v>7612</v>
      </c>
      <c r="AQ699" s="13" t="s">
        <v>7609</v>
      </c>
      <c r="AR699" s="13" t="s">
        <v>7609</v>
      </c>
      <c r="AS699" s="13" t="s">
        <v>116</v>
      </c>
      <c r="AT699" s="13" t="s">
        <v>7613</v>
      </c>
      <c r="AU699" s="13" t="s">
        <v>7580</v>
      </c>
      <c r="AV699" s="13" t="s">
        <v>2204</v>
      </c>
      <c r="AW699" s="24" t="s">
        <v>1691</v>
      </c>
      <c r="AX699" s="24" t="s">
        <v>1692</v>
      </c>
      <c r="AY699" s="13" t="s">
        <v>7614</v>
      </c>
      <c r="AZ699" s="13" t="s">
        <v>7615</v>
      </c>
      <c r="BA699" s="13" t="s">
        <v>7615</v>
      </c>
      <c r="BB699" s="13" t="s">
        <v>7616</v>
      </c>
      <c r="BC699" s="13" t="s">
        <v>7616</v>
      </c>
      <c r="BD699" s="16">
        <f t="shared" si="24"/>
        <v>36</v>
      </c>
      <c r="BE699" s="13" t="s">
        <v>1697</v>
      </c>
      <c r="BF699" s="13" t="s">
        <v>951</v>
      </c>
      <c r="BG699" s="13" t="s">
        <v>7584</v>
      </c>
      <c r="BJ699" s="13" t="s">
        <v>7442</v>
      </c>
      <c r="BS699" s="13" t="s">
        <v>127</v>
      </c>
      <c r="BU699" s="13" t="s">
        <v>129</v>
      </c>
      <c r="BX699" s="13" t="s">
        <v>7617</v>
      </c>
      <c r="DA699" s="13" t="s">
        <v>10348</v>
      </c>
      <c r="DB699" s="13" t="s">
        <v>10348</v>
      </c>
    </row>
    <row r="700" spans="1:106" s="13" customFormat="1" ht="12.75" customHeight="1" x14ac:dyDescent="0.2">
      <c r="A700" s="13" t="s">
        <v>102</v>
      </c>
      <c r="B700" s="13" t="s">
        <v>103</v>
      </c>
      <c r="D700" s="13" t="s">
        <v>937</v>
      </c>
      <c r="E700" s="17" t="s">
        <v>228</v>
      </c>
      <c r="F700" s="13" t="s">
        <v>937</v>
      </c>
      <c r="G700" s="17" t="s">
        <v>229</v>
      </c>
      <c r="H700" s="13" t="s">
        <v>820</v>
      </c>
      <c r="I700" s="17"/>
      <c r="J700" s="13" t="s">
        <v>106</v>
      </c>
      <c r="W700" s="13">
        <v>699</v>
      </c>
      <c r="X700" s="13">
        <v>699</v>
      </c>
      <c r="Y700" s="13" t="s">
        <v>107</v>
      </c>
      <c r="Z700" s="13" t="s">
        <v>108</v>
      </c>
      <c r="AA700" s="37" t="s">
        <v>107</v>
      </c>
      <c r="AB700" s="13" t="s">
        <v>7618</v>
      </c>
      <c r="AC700" s="13" t="s">
        <v>7618</v>
      </c>
      <c r="AD700" s="13" t="s">
        <v>7618</v>
      </c>
      <c r="AE700" s="20" t="s">
        <v>112</v>
      </c>
      <c r="AF700" s="13" t="s">
        <v>7618</v>
      </c>
      <c r="AG700" s="32" t="s">
        <v>7618</v>
      </c>
      <c r="AH700" s="34" t="s">
        <v>7619</v>
      </c>
      <c r="AL700" s="13" t="s">
        <v>7620</v>
      </c>
      <c r="AN700" s="13">
        <v>329</v>
      </c>
      <c r="AO700" s="13" t="s">
        <v>7621</v>
      </c>
      <c r="AQ700" s="13" t="s">
        <v>7618</v>
      </c>
      <c r="AR700" s="13" t="s">
        <v>7618</v>
      </c>
      <c r="AS700" s="13" t="s">
        <v>116</v>
      </c>
      <c r="AT700" s="13" t="s">
        <v>7622</v>
      </c>
      <c r="AU700" s="13" t="s">
        <v>7622</v>
      </c>
      <c r="AV700" s="13" t="s">
        <v>7623</v>
      </c>
      <c r="AY700" s="13" t="s">
        <v>7624</v>
      </c>
      <c r="AZ700" s="13" t="s">
        <v>7625</v>
      </c>
      <c r="BA700" s="13" t="s">
        <v>7625</v>
      </c>
      <c r="BB700" s="13" t="s">
        <v>7626</v>
      </c>
      <c r="BC700" s="13" t="s">
        <v>7626</v>
      </c>
      <c r="BD700" s="16">
        <f t="shared" si="24"/>
        <v>36</v>
      </c>
      <c r="BE700" s="13" t="s">
        <v>1681</v>
      </c>
      <c r="BG700" s="13" t="s">
        <v>7627</v>
      </c>
      <c r="BH700" s="13" t="s">
        <v>2290</v>
      </c>
      <c r="BN700" s="13" t="s">
        <v>7628</v>
      </c>
      <c r="BS700" s="13" t="s">
        <v>127</v>
      </c>
      <c r="BU700" s="13" t="s">
        <v>7335</v>
      </c>
      <c r="BX700" s="13" t="s">
        <v>7629</v>
      </c>
      <c r="DA700" s="13" t="s">
        <v>10348</v>
      </c>
      <c r="DB700" s="13" t="s">
        <v>10348</v>
      </c>
    </row>
    <row r="701" spans="1:106" s="13" customFormat="1" ht="12.75" customHeight="1" x14ac:dyDescent="0.2">
      <c r="A701" s="13" t="s">
        <v>102</v>
      </c>
      <c r="B701" s="13" t="s">
        <v>103</v>
      </c>
      <c r="D701" s="13" t="s">
        <v>937</v>
      </c>
      <c r="E701" s="17" t="s">
        <v>228</v>
      </c>
      <c r="F701" s="13" t="s">
        <v>937</v>
      </c>
      <c r="G701" s="17" t="s">
        <v>229</v>
      </c>
      <c r="H701" s="13" t="s">
        <v>820</v>
      </c>
      <c r="I701" s="17"/>
      <c r="J701" s="13" t="s">
        <v>106</v>
      </c>
      <c r="W701" s="13">
        <v>700</v>
      </c>
      <c r="X701" s="13">
        <v>700</v>
      </c>
      <c r="Y701" s="13" t="s">
        <v>107</v>
      </c>
      <c r="Z701" s="13" t="s">
        <v>108</v>
      </c>
      <c r="AA701" s="37" t="s">
        <v>107</v>
      </c>
      <c r="AB701" s="13" t="s">
        <v>7630</v>
      </c>
      <c r="AC701" s="13" t="s">
        <v>7630</v>
      </c>
      <c r="AD701" s="13" t="s">
        <v>7630</v>
      </c>
      <c r="AE701" s="20" t="s">
        <v>112</v>
      </c>
      <c r="AF701" s="13" t="s">
        <v>7630</v>
      </c>
      <c r="AG701" s="32" t="s">
        <v>7630</v>
      </c>
      <c r="AH701" s="34" t="s">
        <v>7631</v>
      </c>
      <c r="AL701" s="13" t="s">
        <v>7632</v>
      </c>
      <c r="AN701" s="13">
        <v>329</v>
      </c>
      <c r="AO701" s="13" t="s">
        <v>7633</v>
      </c>
      <c r="AQ701" s="13" t="s">
        <v>7630</v>
      </c>
      <c r="AR701" s="13" t="s">
        <v>7630</v>
      </c>
      <c r="AS701" s="13" t="s">
        <v>116</v>
      </c>
      <c r="AT701" s="13" t="s">
        <v>7634</v>
      </c>
      <c r="AU701" s="13" t="s">
        <v>7635</v>
      </c>
      <c r="AV701" s="13" t="s">
        <v>7101</v>
      </c>
      <c r="AW701" s="24" t="s">
        <v>1691</v>
      </c>
      <c r="AX701" s="24" t="s">
        <v>1692</v>
      </c>
      <c r="AY701" s="13" t="s">
        <v>7636</v>
      </c>
      <c r="AZ701" s="13" t="s">
        <v>7637</v>
      </c>
      <c r="BA701" s="13" t="s">
        <v>7637</v>
      </c>
      <c r="BB701" s="13" t="s">
        <v>7638</v>
      </c>
      <c r="BC701" s="13" t="s">
        <v>7639</v>
      </c>
      <c r="BD701" s="16">
        <f t="shared" si="24"/>
        <v>56</v>
      </c>
      <c r="BE701" s="13" t="s">
        <v>1697</v>
      </c>
      <c r="BF701" s="13" t="s">
        <v>2453</v>
      </c>
      <c r="BJ701" s="25" t="s">
        <v>1725</v>
      </c>
      <c r="BO701" s="13" t="s">
        <v>7640</v>
      </c>
      <c r="BS701" s="13" t="s">
        <v>127</v>
      </c>
      <c r="BU701" s="13" t="s">
        <v>129</v>
      </c>
      <c r="BX701" s="13" t="s">
        <v>7641</v>
      </c>
      <c r="DA701" s="13" t="s">
        <v>10348</v>
      </c>
      <c r="DB701" s="13" t="s">
        <v>10348</v>
      </c>
    </row>
    <row r="702" spans="1:106" s="13" customFormat="1" ht="12.75" customHeight="1" x14ac:dyDescent="0.2">
      <c r="A702" s="13" t="s">
        <v>102</v>
      </c>
      <c r="B702" s="13" t="s">
        <v>103</v>
      </c>
      <c r="D702" s="13" t="s">
        <v>937</v>
      </c>
      <c r="E702" s="17" t="s">
        <v>228</v>
      </c>
      <c r="F702" s="13" t="s">
        <v>937</v>
      </c>
      <c r="G702" s="17" t="s">
        <v>229</v>
      </c>
      <c r="H702" s="13" t="s">
        <v>820</v>
      </c>
      <c r="I702" s="17"/>
      <c r="J702" s="13" t="s">
        <v>106</v>
      </c>
      <c r="W702" s="13">
        <v>701</v>
      </c>
      <c r="X702" s="13">
        <v>701</v>
      </c>
      <c r="Y702" s="13" t="s">
        <v>107</v>
      </c>
      <c r="Z702" s="13" t="s">
        <v>108</v>
      </c>
      <c r="AA702" s="37" t="s">
        <v>107</v>
      </c>
      <c r="AB702" s="13" t="s">
        <v>7642</v>
      </c>
      <c r="AC702" s="13" t="s">
        <v>7642</v>
      </c>
      <c r="AD702" s="13" t="s">
        <v>7642</v>
      </c>
      <c r="AE702" s="20" t="s">
        <v>112</v>
      </c>
      <c r="AF702" s="13" t="s">
        <v>7642</v>
      </c>
      <c r="AG702" s="32" t="s">
        <v>7642</v>
      </c>
      <c r="AH702" s="34" t="s">
        <v>7643</v>
      </c>
      <c r="AL702" s="13" t="s">
        <v>7644</v>
      </c>
      <c r="AN702" s="13">
        <v>329</v>
      </c>
      <c r="AO702" s="13" t="s">
        <v>7645</v>
      </c>
      <c r="AQ702" s="13" t="s">
        <v>7642</v>
      </c>
      <c r="AR702" s="13" t="s">
        <v>7642</v>
      </c>
      <c r="AS702" s="13" t="s">
        <v>116</v>
      </c>
      <c r="AT702" s="13" t="s">
        <v>7646</v>
      </c>
      <c r="AU702" s="13" t="s">
        <v>7635</v>
      </c>
      <c r="AV702" s="13" t="s">
        <v>7101</v>
      </c>
      <c r="AW702" s="24" t="s">
        <v>1691</v>
      </c>
      <c r="AX702" s="24" t="s">
        <v>1692</v>
      </c>
      <c r="AY702" s="13" t="s">
        <v>7647</v>
      </c>
      <c r="AZ702" s="13" t="s">
        <v>7648</v>
      </c>
      <c r="BA702" s="13" t="s">
        <v>7648</v>
      </c>
      <c r="BB702" s="13" t="s">
        <v>7649</v>
      </c>
      <c r="BC702" s="13" t="s">
        <v>7650</v>
      </c>
      <c r="BD702" s="16">
        <f t="shared" si="24"/>
        <v>56</v>
      </c>
      <c r="BE702" s="13" t="s">
        <v>1697</v>
      </c>
      <c r="BF702" s="13" t="s">
        <v>2453</v>
      </c>
      <c r="BJ702" s="25" t="s">
        <v>1798</v>
      </c>
      <c r="BO702" s="13" t="s">
        <v>7640</v>
      </c>
      <c r="BS702" s="13" t="s">
        <v>127</v>
      </c>
      <c r="BU702" s="13" t="s">
        <v>129</v>
      </c>
      <c r="BX702" s="13" t="s">
        <v>7651</v>
      </c>
      <c r="BY702" s="25"/>
      <c r="DA702" s="13" t="s">
        <v>10348</v>
      </c>
      <c r="DB702" s="13" t="s">
        <v>10348</v>
      </c>
    </row>
    <row r="703" spans="1:106" s="13" customFormat="1" ht="12.75" customHeight="1" x14ac:dyDescent="0.2">
      <c r="A703" s="13" t="s">
        <v>102</v>
      </c>
      <c r="B703" s="13" t="s">
        <v>103</v>
      </c>
      <c r="D703" s="13" t="s">
        <v>937</v>
      </c>
      <c r="E703" s="17" t="s">
        <v>228</v>
      </c>
      <c r="F703" s="13" t="s">
        <v>937</v>
      </c>
      <c r="G703" s="17" t="s">
        <v>229</v>
      </c>
      <c r="H703" s="13" t="s">
        <v>820</v>
      </c>
      <c r="I703" s="17"/>
      <c r="J703" s="13" t="s">
        <v>106</v>
      </c>
      <c r="W703" s="13">
        <v>702</v>
      </c>
      <c r="X703" s="13">
        <v>702</v>
      </c>
      <c r="Y703" s="13" t="s">
        <v>107</v>
      </c>
      <c r="Z703" s="13" t="s">
        <v>108</v>
      </c>
      <c r="AA703" s="37" t="s">
        <v>107</v>
      </c>
      <c r="AB703" s="13" t="s">
        <v>7652</v>
      </c>
      <c r="AC703" s="13" t="s">
        <v>7652</v>
      </c>
      <c r="AD703" s="13" t="s">
        <v>7652</v>
      </c>
      <c r="AE703" s="20" t="s">
        <v>112</v>
      </c>
      <c r="AF703" s="13" t="s">
        <v>7652</v>
      </c>
      <c r="AG703" s="32" t="s">
        <v>7652</v>
      </c>
      <c r="AH703" s="34" t="s">
        <v>7653</v>
      </c>
      <c r="AL703" s="13" t="s">
        <v>7654</v>
      </c>
      <c r="AN703" s="13">
        <v>329</v>
      </c>
      <c r="AO703" s="13" t="s">
        <v>7655</v>
      </c>
      <c r="AQ703" s="13" t="s">
        <v>7652</v>
      </c>
      <c r="AR703" s="13" t="s">
        <v>7652</v>
      </c>
      <c r="AS703" s="13" t="s">
        <v>116</v>
      </c>
      <c r="AT703" s="13" t="s">
        <v>7656</v>
      </c>
      <c r="AU703" s="13" t="s">
        <v>7657</v>
      </c>
      <c r="AV703" s="13" t="s">
        <v>2204</v>
      </c>
      <c r="AW703" s="24" t="s">
        <v>1691</v>
      </c>
      <c r="AX703" s="24" t="s">
        <v>1692</v>
      </c>
      <c r="AY703" s="13" t="s">
        <v>7658</v>
      </c>
      <c r="AZ703" s="13" t="s">
        <v>7659</v>
      </c>
      <c r="BA703" s="13" t="s">
        <v>7659</v>
      </c>
      <c r="BB703" s="13" t="s">
        <v>7660</v>
      </c>
      <c r="BC703" s="13" t="s">
        <v>7661</v>
      </c>
      <c r="BD703" s="16">
        <f t="shared" si="24"/>
        <v>60</v>
      </c>
      <c r="BE703" s="13" t="s">
        <v>1697</v>
      </c>
      <c r="BF703" s="13" t="s">
        <v>951</v>
      </c>
      <c r="BG703" s="13" t="s">
        <v>7466</v>
      </c>
      <c r="BI703" s="13" t="s">
        <v>4117</v>
      </c>
      <c r="BJ703" s="13" t="s">
        <v>7662</v>
      </c>
      <c r="BN703" s="13" t="s">
        <v>7468</v>
      </c>
      <c r="BO703" s="13" t="s">
        <v>7663</v>
      </c>
      <c r="BS703" s="13" t="s">
        <v>127</v>
      </c>
      <c r="BU703" s="13" t="s">
        <v>129</v>
      </c>
      <c r="BX703" s="13" t="s">
        <v>7664</v>
      </c>
      <c r="DA703" s="13" t="s">
        <v>10348</v>
      </c>
      <c r="DB703" s="13" t="s">
        <v>10348</v>
      </c>
    </row>
    <row r="704" spans="1:106" s="13" customFormat="1" ht="12.75" customHeight="1" x14ac:dyDescent="0.2">
      <c r="A704" s="13" t="s">
        <v>102</v>
      </c>
      <c r="B704" s="13" t="s">
        <v>103</v>
      </c>
      <c r="D704" s="13" t="s">
        <v>937</v>
      </c>
      <c r="E704" s="17" t="s">
        <v>228</v>
      </c>
      <c r="F704" s="13" t="s">
        <v>937</v>
      </c>
      <c r="G704" s="17" t="s">
        <v>229</v>
      </c>
      <c r="H704" s="13" t="s">
        <v>820</v>
      </c>
      <c r="I704" s="17"/>
      <c r="J704" s="13" t="s">
        <v>106</v>
      </c>
      <c r="W704" s="13">
        <v>703</v>
      </c>
      <c r="X704" s="13">
        <v>703</v>
      </c>
      <c r="Y704" s="13" t="s">
        <v>107</v>
      </c>
      <c r="Z704" s="13" t="s">
        <v>108</v>
      </c>
      <c r="AA704" s="37" t="s">
        <v>107</v>
      </c>
      <c r="AB704" s="13" t="s">
        <v>7665</v>
      </c>
      <c r="AC704" s="13" t="s">
        <v>7665</v>
      </c>
      <c r="AD704" s="13" t="s">
        <v>7665</v>
      </c>
      <c r="AE704" s="20" t="s">
        <v>112</v>
      </c>
      <c r="AF704" s="13" t="s">
        <v>7665</v>
      </c>
      <c r="AG704" s="32" t="s">
        <v>7665</v>
      </c>
      <c r="AH704" s="34" t="s">
        <v>7666</v>
      </c>
      <c r="AL704" s="13" t="s">
        <v>7667</v>
      </c>
      <c r="AN704" s="13">
        <v>329</v>
      </c>
      <c r="AO704" s="13" t="s">
        <v>7668</v>
      </c>
      <c r="AQ704" s="13" t="s">
        <v>7665</v>
      </c>
      <c r="AR704" s="13" t="s">
        <v>7665</v>
      </c>
      <c r="AS704" s="13" t="s">
        <v>116</v>
      </c>
      <c r="AT704" s="13" t="s">
        <v>7669</v>
      </c>
      <c r="AU704" s="13" t="s">
        <v>7670</v>
      </c>
      <c r="AV704" s="13" t="s">
        <v>7101</v>
      </c>
      <c r="AW704" s="24" t="s">
        <v>1691</v>
      </c>
      <c r="AX704" s="24" t="s">
        <v>1692</v>
      </c>
      <c r="AY704" s="13" t="s">
        <v>7671</v>
      </c>
      <c r="AZ704" s="13" t="s">
        <v>7672</v>
      </c>
      <c r="BA704" s="13" t="s">
        <v>7672</v>
      </c>
      <c r="BB704" s="13" t="s">
        <v>7673</v>
      </c>
      <c r="BC704" s="13" t="s">
        <v>7674</v>
      </c>
      <c r="BD704" s="16">
        <f t="shared" si="24"/>
        <v>60</v>
      </c>
      <c r="BE704" s="13" t="s">
        <v>1697</v>
      </c>
      <c r="BF704" s="13" t="s">
        <v>2453</v>
      </c>
      <c r="BH704" s="25" t="s">
        <v>2598</v>
      </c>
      <c r="BJ704" s="13" t="s">
        <v>7675</v>
      </c>
      <c r="BK704" s="13" t="s">
        <v>2517</v>
      </c>
      <c r="BO704" s="13" t="s">
        <v>7676</v>
      </c>
      <c r="BS704" s="13" t="s">
        <v>127</v>
      </c>
      <c r="BU704" s="13" t="s">
        <v>129</v>
      </c>
      <c r="BX704" s="13" t="s">
        <v>7677</v>
      </c>
      <c r="DA704" s="13" t="s">
        <v>10348</v>
      </c>
      <c r="DB704" s="13" t="s">
        <v>10348</v>
      </c>
    </row>
    <row r="705" spans="1:106" s="13" customFormat="1" ht="12.75" customHeight="1" x14ac:dyDescent="0.2">
      <c r="A705" s="13" t="s">
        <v>102</v>
      </c>
      <c r="B705" s="13" t="s">
        <v>103</v>
      </c>
      <c r="D705" s="13" t="s">
        <v>937</v>
      </c>
      <c r="E705" s="17" t="s">
        <v>228</v>
      </c>
      <c r="F705" s="13" t="s">
        <v>937</v>
      </c>
      <c r="G705" s="17" t="s">
        <v>229</v>
      </c>
      <c r="H705" s="13" t="s">
        <v>820</v>
      </c>
      <c r="I705" s="17"/>
      <c r="J705" s="13" t="s">
        <v>106</v>
      </c>
      <c r="W705" s="13">
        <v>704</v>
      </c>
      <c r="X705" s="13">
        <v>704</v>
      </c>
      <c r="Y705" s="13" t="s">
        <v>107</v>
      </c>
      <c r="Z705" s="13" t="s">
        <v>108</v>
      </c>
      <c r="AA705" s="37" t="s">
        <v>107</v>
      </c>
      <c r="AB705" s="13" t="s">
        <v>7678</v>
      </c>
      <c r="AC705" s="13" t="s">
        <v>7678</v>
      </c>
      <c r="AD705" s="13" t="s">
        <v>7678</v>
      </c>
      <c r="AE705" s="20" t="s">
        <v>112</v>
      </c>
      <c r="AF705" s="13" t="s">
        <v>7678</v>
      </c>
      <c r="AG705" s="32" t="s">
        <v>7678</v>
      </c>
      <c r="AH705" s="34" t="s">
        <v>7679</v>
      </c>
      <c r="AL705" s="13" t="s">
        <v>7680</v>
      </c>
      <c r="AN705" s="13">
        <v>329</v>
      </c>
      <c r="AO705" s="13" t="s">
        <v>7681</v>
      </c>
      <c r="AQ705" s="13" t="s">
        <v>7678</v>
      </c>
      <c r="AR705" s="13" t="s">
        <v>7678</v>
      </c>
      <c r="AS705" s="13" t="s">
        <v>116</v>
      </c>
      <c r="AT705" s="13" t="s">
        <v>7682</v>
      </c>
      <c r="AU705" s="13" t="s">
        <v>7683</v>
      </c>
      <c r="AV705" s="13" t="s">
        <v>7684</v>
      </c>
      <c r="AY705" s="13" t="s">
        <v>7685</v>
      </c>
      <c r="AZ705" s="13" t="s">
        <v>7686</v>
      </c>
      <c r="BA705" s="13" t="s">
        <v>7686</v>
      </c>
      <c r="BB705" s="13" t="s">
        <v>7687</v>
      </c>
      <c r="BC705" s="13" t="s">
        <v>7687</v>
      </c>
      <c r="BD705" s="16">
        <f t="shared" si="24"/>
        <v>56</v>
      </c>
      <c r="BE705" s="13" t="s">
        <v>7688</v>
      </c>
      <c r="BF705" s="13" t="s">
        <v>1697</v>
      </c>
      <c r="BG705" s="13" t="s">
        <v>7689</v>
      </c>
      <c r="BJ705" s="13" t="s">
        <v>7690</v>
      </c>
      <c r="BO705" s="13" t="s">
        <v>7691</v>
      </c>
      <c r="BS705" s="13" t="s">
        <v>127</v>
      </c>
      <c r="BU705" s="13" t="s">
        <v>129</v>
      </c>
      <c r="BX705" s="13" t="s">
        <v>7692</v>
      </c>
      <c r="DA705" s="13" t="s">
        <v>10348</v>
      </c>
      <c r="DB705" s="13" t="s">
        <v>10348</v>
      </c>
    </row>
    <row r="706" spans="1:106" s="13" customFormat="1" ht="12.75" customHeight="1" x14ac:dyDescent="0.2">
      <c r="A706" s="13" t="s">
        <v>102</v>
      </c>
      <c r="B706" s="13" t="s">
        <v>103</v>
      </c>
      <c r="D706" s="13" t="s">
        <v>937</v>
      </c>
      <c r="E706" s="17" t="s">
        <v>228</v>
      </c>
      <c r="F706" s="13" t="s">
        <v>937</v>
      </c>
      <c r="G706" s="17" t="s">
        <v>229</v>
      </c>
      <c r="H706" s="13" t="s">
        <v>820</v>
      </c>
      <c r="I706" s="17"/>
      <c r="J706" s="13" t="s">
        <v>106</v>
      </c>
      <c r="W706" s="13">
        <v>705</v>
      </c>
      <c r="X706" s="13">
        <v>705</v>
      </c>
      <c r="Y706" s="13" t="s">
        <v>107</v>
      </c>
      <c r="Z706" s="13" t="s">
        <v>108</v>
      </c>
      <c r="AA706" s="37" t="s">
        <v>107</v>
      </c>
      <c r="AB706" s="13" t="s">
        <v>7693</v>
      </c>
      <c r="AC706" s="13" t="s">
        <v>7693</v>
      </c>
      <c r="AD706" s="13" t="s">
        <v>7693</v>
      </c>
      <c r="AE706" s="20" t="s">
        <v>112</v>
      </c>
      <c r="AF706" s="13" t="s">
        <v>7693</v>
      </c>
      <c r="AG706" s="32" t="s">
        <v>7693</v>
      </c>
      <c r="AH706" s="34" t="s">
        <v>7694</v>
      </c>
      <c r="AL706" s="13" t="s">
        <v>7695</v>
      </c>
      <c r="AN706" s="13">
        <v>329</v>
      </c>
      <c r="AO706" s="13" t="s">
        <v>7696</v>
      </c>
      <c r="AQ706" s="13" t="s">
        <v>7693</v>
      </c>
      <c r="AR706" s="13" t="s">
        <v>7693</v>
      </c>
      <c r="AS706" s="13" t="s">
        <v>116</v>
      </c>
      <c r="AT706" s="13" t="s">
        <v>7697</v>
      </c>
      <c r="AU706" s="13" t="s">
        <v>7683</v>
      </c>
      <c r="AV706" s="13" t="s">
        <v>7684</v>
      </c>
      <c r="AY706" s="13" t="s">
        <v>7698</v>
      </c>
      <c r="AZ706" s="13" t="s">
        <v>7699</v>
      </c>
      <c r="BA706" s="13" t="s">
        <v>7699</v>
      </c>
      <c r="BB706" s="13" t="s">
        <v>7700</v>
      </c>
      <c r="BC706" s="13" t="s">
        <v>7700</v>
      </c>
      <c r="BD706" s="16">
        <f t="shared" ref="BD706:BD737" si="25">LEN(SUBSTITUTE(BC706, ", "," "))</f>
        <v>59</v>
      </c>
      <c r="BE706" s="13" t="s">
        <v>7688</v>
      </c>
      <c r="BF706" s="13" t="s">
        <v>1697</v>
      </c>
      <c r="BG706" s="13" t="s">
        <v>7689</v>
      </c>
      <c r="BJ706" s="25" t="s">
        <v>7701</v>
      </c>
      <c r="BO706" s="13" t="s">
        <v>7691</v>
      </c>
      <c r="BS706" s="13" t="s">
        <v>127</v>
      </c>
      <c r="BU706" s="13" t="s">
        <v>129</v>
      </c>
      <c r="BX706" s="13" t="s">
        <v>7702</v>
      </c>
      <c r="DA706" s="13" t="s">
        <v>10348</v>
      </c>
      <c r="DB706" s="13" t="s">
        <v>10348</v>
      </c>
    </row>
    <row r="707" spans="1:106" s="13" customFormat="1" ht="12.75" customHeight="1" x14ac:dyDescent="0.2">
      <c r="A707" s="13" t="s">
        <v>102</v>
      </c>
      <c r="B707" s="13" t="s">
        <v>103</v>
      </c>
      <c r="D707" s="13" t="s">
        <v>937</v>
      </c>
      <c r="E707" s="17" t="s">
        <v>228</v>
      </c>
      <c r="F707" s="13" t="s">
        <v>937</v>
      </c>
      <c r="G707" s="17" t="s">
        <v>229</v>
      </c>
      <c r="H707" s="13" t="s">
        <v>820</v>
      </c>
      <c r="I707" s="17"/>
      <c r="J707" s="13" t="s">
        <v>106</v>
      </c>
      <c r="W707" s="13">
        <v>706</v>
      </c>
      <c r="X707" s="13">
        <v>706</v>
      </c>
      <c r="Y707" s="13" t="s">
        <v>107</v>
      </c>
      <c r="Z707" s="13" t="s">
        <v>108</v>
      </c>
      <c r="AA707" s="37" t="s">
        <v>107</v>
      </c>
      <c r="AB707" s="13" t="s">
        <v>7703</v>
      </c>
      <c r="AC707" s="13" t="s">
        <v>7703</v>
      </c>
      <c r="AD707" s="13" t="s">
        <v>7703</v>
      </c>
      <c r="AE707" s="20" t="s">
        <v>112</v>
      </c>
      <c r="AF707" s="13" t="s">
        <v>7703</v>
      </c>
      <c r="AG707" s="32" t="s">
        <v>7703</v>
      </c>
      <c r="AH707" s="34" t="s">
        <v>7704</v>
      </c>
      <c r="AL707" s="13" t="s">
        <v>7705</v>
      </c>
      <c r="AN707" s="13">
        <v>329</v>
      </c>
      <c r="AO707" s="13" t="s">
        <v>7706</v>
      </c>
      <c r="AQ707" s="13" t="s">
        <v>7703</v>
      </c>
      <c r="AR707" s="13" t="s">
        <v>7703</v>
      </c>
      <c r="AS707" s="13" t="s">
        <v>116</v>
      </c>
      <c r="AT707" s="13" t="s">
        <v>7697</v>
      </c>
      <c r="AU707" s="13" t="s">
        <v>7683</v>
      </c>
      <c r="AV707" s="13" t="s">
        <v>7684</v>
      </c>
      <c r="AY707" s="13" t="s">
        <v>7707</v>
      </c>
      <c r="AZ707" s="13" t="s">
        <v>7708</v>
      </c>
      <c r="BA707" s="13" t="s">
        <v>7708</v>
      </c>
      <c r="BB707" s="13" t="s">
        <v>7709</v>
      </c>
      <c r="BC707" s="13" t="s">
        <v>7709</v>
      </c>
      <c r="BD707" s="16">
        <f t="shared" si="25"/>
        <v>56</v>
      </c>
      <c r="BE707" s="13" t="s">
        <v>7688</v>
      </c>
      <c r="BF707" s="13" t="s">
        <v>1697</v>
      </c>
      <c r="BG707" s="13" t="s">
        <v>7710</v>
      </c>
      <c r="BJ707" s="25" t="s">
        <v>7701</v>
      </c>
      <c r="BO707" s="13" t="s">
        <v>7691</v>
      </c>
      <c r="BS707" s="13" t="s">
        <v>127</v>
      </c>
      <c r="BU707" s="13" t="s">
        <v>129</v>
      </c>
      <c r="BX707" s="13" t="s">
        <v>7711</v>
      </c>
      <c r="DA707" s="13" t="s">
        <v>10348</v>
      </c>
      <c r="DB707" s="13" t="s">
        <v>10348</v>
      </c>
    </row>
    <row r="708" spans="1:106" s="13" customFormat="1" ht="12.75" customHeight="1" x14ac:dyDescent="0.2">
      <c r="A708" s="13" t="s">
        <v>102</v>
      </c>
      <c r="B708" s="13" t="s">
        <v>103</v>
      </c>
      <c r="D708" s="13" t="s">
        <v>7712</v>
      </c>
      <c r="E708" s="13" t="s">
        <v>228</v>
      </c>
      <c r="F708" s="13" t="s">
        <v>7712</v>
      </c>
      <c r="G708" s="13" t="s">
        <v>229</v>
      </c>
      <c r="H708" s="13" t="s">
        <v>820</v>
      </c>
      <c r="J708" s="13" t="s">
        <v>106</v>
      </c>
      <c r="W708" s="13">
        <v>707</v>
      </c>
      <c r="X708" s="13">
        <v>707</v>
      </c>
      <c r="Y708" s="13" t="s">
        <v>107</v>
      </c>
      <c r="Z708" s="13" t="s">
        <v>108</v>
      </c>
      <c r="AA708" s="36" t="s">
        <v>107</v>
      </c>
      <c r="AB708" s="13" t="s">
        <v>7713</v>
      </c>
      <c r="AC708" s="13" t="s">
        <v>7713</v>
      </c>
      <c r="AD708" s="13" t="s">
        <v>7713</v>
      </c>
      <c r="AE708" s="20" t="s">
        <v>112</v>
      </c>
      <c r="AF708" s="13" t="s">
        <v>7713</v>
      </c>
      <c r="AG708" s="13" t="s">
        <v>7713</v>
      </c>
      <c r="AH708" s="20" t="s">
        <v>7714</v>
      </c>
      <c r="AL708" s="13" t="s">
        <v>7715</v>
      </c>
      <c r="AN708" s="13">
        <v>329</v>
      </c>
      <c r="AO708" s="13" t="s">
        <v>7716</v>
      </c>
      <c r="AQ708" s="13" t="s">
        <v>7713</v>
      </c>
      <c r="AR708" s="13" t="s">
        <v>7713</v>
      </c>
      <c r="AS708" s="13" t="s">
        <v>116</v>
      </c>
      <c r="AT708" s="13" t="s">
        <v>7717</v>
      </c>
      <c r="AU708" s="13" t="s">
        <v>7718</v>
      </c>
      <c r="AV708" s="14" t="s">
        <v>2204</v>
      </c>
      <c r="AW708" s="15" t="s">
        <v>1691</v>
      </c>
      <c r="AX708" s="15" t="s">
        <v>1692</v>
      </c>
      <c r="AY708" s="13" t="s">
        <v>7719</v>
      </c>
      <c r="AZ708" s="13" t="s">
        <v>7720</v>
      </c>
      <c r="BA708" s="13" t="s">
        <v>7720</v>
      </c>
      <c r="BB708" s="13" t="s">
        <v>7721</v>
      </c>
      <c r="BC708" s="13" t="s">
        <v>7721</v>
      </c>
      <c r="BD708" s="13">
        <f t="shared" ref="BD708:BD739" si="26">LEN(SUBSTITUTE(BC708, ", ",","))</f>
        <v>56</v>
      </c>
      <c r="BE708" s="13" t="s">
        <v>1697</v>
      </c>
      <c r="BF708" s="13" t="s">
        <v>951</v>
      </c>
      <c r="BG708" s="13" t="s">
        <v>7429</v>
      </c>
      <c r="BJ708" s="13" t="s">
        <v>7722</v>
      </c>
      <c r="BO708" s="13" t="s">
        <v>7723</v>
      </c>
      <c r="BS708" s="13" t="s">
        <v>127</v>
      </c>
      <c r="BU708" s="13" t="s">
        <v>129</v>
      </c>
      <c r="BX708" s="13" t="s">
        <v>7724</v>
      </c>
      <c r="DA708" s="13" t="s">
        <v>10348</v>
      </c>
      <c r="DB708" s="13" t="s">
        <v>10348</v>
      </c>
    </row>
    <row r="709" spans="1:106" s="13" customFormat="1" ht="12.75" customHeight="1" x14ac:dyDescent="0.2">
      <c r="A709" s="13" t="s">
        <v>102</v>
      </c>
      <c r="B709" s="13" t="s">
        <v>103</v>
      </c>
      <c r="D709" s="13" t="s">
        <v>7712</v>
      </c>
      <c r="E709" s="13" t="s">
        <v>228</v>
      </c>
      <c r="F709" s="13" t="s">
        <v>7712</v>
      </c>
      <c r="G709" s="13" t="s">
        <v>229</v>
      </c>
      <c r="H709" s="13" t="s">
        <v>820</v>
      </c>
      <c r="J709" s="13" t="s">
        <v>106</v>
      </c>
      <c r="W709" s="13">
        <v>708</v>
      </c>
      <c r="X709" s="13">
        <v>708</v>
      </c>
      <c r="Y709" s="13" t="s">
        <v>107</v>
      </c>
      <c r="Z709" s="13" t="s">
        <v>108</v>
      </c>
      <c r="AA709" s="36" t="s">
        <v>107</v>
      </c>
      <c r="AB709" s="13" t="s">
        <v>7725</v>
      </c>
      <c r="AC709" s="13" t="s">
        <v>7725</v>
      </c>
      <c r="AD709" s="13" t="s">
        <v>7725</v>
      </c>
      <c r="AE709" s="20" t="s">
        <v>112</v>
      </c>
      <c r="AF709" s="13" t="s">
        <v>7725</v>
      </c>
      <c r="AG709" s="13" t="s">
        <v>7725</v>
      </c>
      <c r="AH709" s="20" t="s">
        <v>7726</v>
      </c>
      <c r="AL709" s="13" t="s">
        <v>7727</v>
      </c>
      <c r="AN709" s="13">
        <v>329</v>
      </c>
      <c r="AO709" s="13" t="s">
        <v>7728</v>
      </c>
      <c r="AQ709" s="13" t="s">
        <v>7725</v>
      </c>
      <c r="AR709" s="13" t="s">
        <v>7725</v>
      </c>
      <c r="AS709" s="13" t="s">
        <v>116</v>
      </c>
      <c r="AT709" s="13" t="s">
        <v>7729</v>
      </c>
      <c r="AU709" s="13" t="s">
        <v>7438</v>
      </c>
      <c r="AV709" s="14" t="s">
        <v>2204</v>
      </c>
      <c r="AW709" s="15" t="s">
        <v>1691</v>
      </c>
      <c r="AX709" s="15" t="s">
        <v>1692</v>
      </c>
      <c r="AY709" s="13" t="s">
        <v>7730</v>
      </c>
      <c r="AZ709" s="13" t="s">
        <v>7731</v>
      </c>
      <c r="BA709" s="13" t="s">
        <v>7731</v>
      </c>
      <c r="BB709" s="13" t="s">
        <v>7732</v>
      </c>
      <c r="BC709" s="13" t="s">
        <v>7732</v>
      </c>
      <c r="BD709" s="13">
        <f t="shared" si="26"/>
        <v>36</v>
      </c>
      <c r="BE709" s="13" t="s">
        <v>1697</v>
      </c>
      <c r="BF709" s="13" t="s">
        <v>951</v>
      </c>
      <c r="BG709" s="13" t="s">
        <v>7429</v>
      </c>
      <c r="BJ709" s="13" t="s">
        <v>7585</v>
      </c>
      <c r="BS709" s="13" t="s">
        <v>127</v>
      </c>
      <c r="BU709" s="13" t="s">
        <v>129</v>
      </c>
      <c r="BX709" s="13" t="s">
        <v>7733</v>
      </c>
      <c r="DA709" s="13" t="s">
        <v>10348</v>
      </c>
      <c r="DB709" s="13" t="s">
        <v>10348</v>
      </c>
    </row>
    <row r="710" spans="1:106" s="13" customFormat="1" ht="12.75" customHeight="1" x14ac:dyDescent="0.2">
      <c r="A710" s="13" t="s">
        <v>102</v>
      </c>
      <c r="B710" s="13" t="s">
        <v>103</v>
      </c>
      <c r="D710" s="13" t="s">
        <v>7712</v>
      </c>
      <c r="E710" s="13" t="s">
        <v>228</v>
      </c>
      <c r="F710" s="13" t="s">
        <v>7712</v>
      </c>
      <c r="G710" s="13" t="s">
        <v>229</v>
      </c>
      <c r="H710" s="13" t="s">
        <v>820</v>
      </c>
      <c r="J710" s="13" t="s">
        <v>106</v>
      </c>
      <c r="W710" s="13">
        <v>709</v>
      </c>
      <c r="X710" s="13">
        <v>709</v>
      </c>
      <c r="Y710" s="13" t="s">
        <v>107</v>
      </c>
      <c r="Z710" s="13" t="s">
        <v>108</v>
      </c>
      <c r="AA710" s="36" t="s">
        <v>107</v>
      </c>
      <c r="AB710" s="13" t="s">
        <v>7734</v>
      </c>
      <c r="AC710" s="13" t="s">
        <v>7734</v>
      </c>
      <c r="AD710" s="13" t="s">
        <v>7734</v>
      </c>
      <c r="AE710" s="20" t="s">
        <v>112</v>
      </c>
      <c r="AF710" s="13" t="s">
        <v>7734</v>
      </c>
      <c r="AG710" s="13" t="s">
        <v>7734</v>
      </c>
      <c r="AH710" s="20" t="s">
        <v>7735</v>
      </c>
      <c r="AL710" s="13" t="s">
        <v>7736</v>
      </c>
      <c r="AN710" s="13">
        <v>329</v>
      </c>
      <c r="AO710" s="13" t="s">
        <v>7737</v>
      </c>
      <c r="AQ710" s="13" t="s">
        <v>7734</v>
      </c>
      <c r="AR710" s="13" t="s">
        <v>7734</v>
      </c>
      <c r="AS710" s="13" t="s">
        <v>116</v>
      </c>
      <c r="AT710" s="13" t="s">
        <v>7738</v>
      </c>
      <c r="AU710" s="13" t="s">
        <v>7718</v>
      </c>
      <c r="AV710" s="14" t="s">
        <v>2204</v>
      </c>
      <c r="AW710" s="15" t="s">
        <v>1691</v>
      </c>
      <c r="AX710" s="15" t="s">
        <v>1692</v>
      </c>
      <c r="AY710" s="13" t="s">
        <v>7739</v>
      </c>
      <c r="AZ710" s="13" t="s">
        <v>7740</v>
      </c>
      <c r="BA710" s="13" t="s">
        <v>7740</v>
      </c>
      <c r="BB710" s="13" t="s">
        <v>7741</v>
      </c>
      <c r="BC710" s="13" t="s">
        <v>7741</v>
      </c>
      <c r="BD710" s="13">
        <f t="shared" si="26"/>
        <v>57</v>
      </c>
      <c r="BE710" s="13" t="s">
        <v>1697</v>
      </c>
      <c r="BF710" s="13" t="s">
        <v>951</v>
      </c>
      <c r="BG710" s="13" t="s">
        <v>7429</v>
      </c>
      <c r="BJ710" s="13" t="s">
        <v>7585</v>
      </c>
      <c r="BO710" s="13" t="s">
        <v>7723</v>
      </c>
      <c r="BS710" s="13" t="s">
        <v>127</v>
      </c>
      <c r="BU710" s="13" t="s">
        <v>129</v>
      </c>
      <c r="BX710" s="13" t="s">
        <v>7742</v>
      </c>
      <c r="DA710" s="13" t="s">
        <v>10348</v>
      </c>
      <c r="DB710" s="13" t="s">
        <v>10348</v>
      </c>
    </row>
    <row r="711" spans="1:106" s="13" customFormat="1" ht="12.75" customHeight="1" x14ac:dyDescent="0.2">
      <c r="A711" s="13" t="s">
        <v>102</v>
      </c>
      <c r="B711" s="13" t="s">
        <v>103</v>
      </c>
      <c r="D711" s="13" t="s">
        <v>7712</v>
      </c>
      <c r="E711" s="13" t="s">
        <v>228</v>
      </c>
      <c r="F711" s="13" t="s">
        <v>7712</v>
      </c>
      <c r="G711" s="13" t="s">
        <v>229</v>
      </c>
      <c r="H711" s="13" t="s">
        <v>820</v>
      </c>
      <c r="J711" s="13" t="s">
        <v>106</v>
      </c>
      <c r="W711" s="13">
        <v>710</v>
      </c>
      <c r="X711" s="13">
        <v>710</v>
      </c>
      <c r="Y711" s="13" t="s">
        <v>107</v>
      </c>
      <c r="Z711" s="13" t="s">
        <v>108</v>
      </c>
      <c r="AA711" s="36" t="s">
        <v>107</v>
      </c>
      <c r="AB711" s="13" t="s">
        <v>7743</v>
      </c>
      <c r="AC711" s="13" t="s">
        <v>7743</v>
      </c>
      <c r="AD711" s="13" t="s">
        <v>7743</v>
      </c>
      <c r="AE711" s="20" t="s">
        <v>112</v>
      </c>
      <c r="AF711" s="13" t="s">
        <v>7743</v>
      </c>
      <c r="AG711" s="13" t="s">
        <v>7743</v>
      </c>
      <c r="AH711" s="20" t="s">
        <v>7744</v>
      </c>
      <c r="AL711" s="13" t="s">
        <v>7745</v>
      </c>
      <c r="AN711" s="13">
        <v>329</v>
      </c>
      <c r="AO711" s="13" t="s">
        <v>7746</v>
      </c>
      <c r="AQ711" s="13" t="s">
        <v>7743</v>
      </c>
      <c r="AR711" s="13" t="s">
        <v>7743</v>
      </c>
      <c r="AS711" s="13" t="s">
        <v>116</v>
      </c>
      <c r="AT711" s="13" t="s">
        <v>7747</v>
      </c>
      <c r="AU711" s="13" t="s">
        <v>7438</v>
      </c>
      <c r="AV711" s="14" t="s">
        <v>2204</v>
      </c>
      <c r="AW711" s="15" t="s">
        <v>1691</v>
      </c>
      <c r="AX711" s="15" t="s">
        <v>1692</v>
      </c>
      <c r="AY711" s="13" t="s">
        <v>7748</v>
      </c>
      <c r="AZ711" s="13" t="s">
        <v>7749</v>
      </c>
      <c r="BA711" s="13" t="s">
        <v>7749</v>
      </c>
      <c r="BB711" s="13" t="s">
        <v>7750</v>
      </c>
      <c r="BC711" s="13" t="s">
        <v>7750</v>
      </c>
      <c r="BD711" s="13">
        <f t="shared" si="26"/>
        <v>36</v>
      </c>
      <c r="BE711" s="13" t="s">
        <v>1697</v>
      </c>
      <c r="BF711" s="13" t="s">
        <v>951</v>
      </c>
      <c r="BG711" s="13" t="s">
        <v>7429</v>
      </c>
      <c r="BJ711" s="13" t="s">
        <v>5663</v>
      </c>
      <c r="BS711" s="13" t="s">
        <v>127</v>
      </c>
      <c r="BU711" s="13" t="s">
        <v>129</v>
      </c>
      <c r="BX711" s="13" t="s">
        <v>7751</v>
      </c>
      <c r="DA711" s="13" t="s">
        <v>10348</v>
      </c>
      <c r="DB711" s="13" t="s">
        <v>10348</v>
      </c>
    </row>
    <row r="712" spans="1:106" s="13" customFormat="1" ht="12.75" customHeight="1" x14ac:dyDescent="0.2">
      <c r="A712" s="13" t="s">
        <v>102</v>
      </c>
      <c r="B712" s="13" t="s">
        <v>103</v>
      </c>
      <c r="D712" s="13" t="s">
        <v>7712</v>
      </c>
      <c r="E712" s="13" t="s">
        <v>228</v>
      </c>
      <c r="F712" s="13" t="s">
        <v>7712</v>
      </c>
      <c r="G712" s="13" t="s">
        <v>229</v>
      </c>
      <c r="H712" s="13" t="s">
        <v>820</v>
      </c>
      <c r="J712" s="13" t="s">
        <v>106</v>
      </c>
      <c r="W712" s="13">
        <v>711</v>
      </c>
      <c r="X712" s="13">
        <v>711</v>
      </c>
      <c r="Y712" s="13" t="s">
        <v>107</v>
      </c>
      <c r="Z712" s="13" t="s">
        <v>108</v>
      </c>
      <c r="AA712" s="36" t="s">
        <v>107</v>
      </c>
      <c r="AB712" s="13" t="s">
        <v>7752</v>
      </c>
      <c r="AC712" s="13" t="s">
        <v>7752</v>
      </c>
      <c r="AD712" s="13" t="s">
        <v>7752</v>
      </c>
      <c r="AE712" s="20" t="s">
        <v>112</v>
      </c>
      <c r="AF712" s="13" t="s">
        <v>7752</v>
      </c>
      <c r="AG712" s="13" t="s">
        <v>7752</v>
      </c>
      <c r="AH712" s="20" t="s">
        <v>7753</v>
      </c>
      <c r="AL712" s="13" t="s">
        <v>7754</v>
      </c>
      <c r="AN712" s="13">
        <v>329</v>
      </c>
      <c r="AO712" s="13" t="s">
        <v>7755</v>
      </c>
      <c r="AQ712" s="13" t="s">
        <v>7752</v>
      </c>
      <c r="AR712" s="13" t="s">
        <v>7752</v>
      </c>
      <c r="AS712" s="13" t="s">
        <v>116</v>
      </c>
      <c r="AT712" s="13" t="s">
        <v>7756</v>
      </c>
      <c r="AU712" s="13" t="s">
        <v>7718</v>
      </c>
      <c r="AV712" s="14" t="s">
        <v>2204</v>
      </c>
      <c r="AW712" s="15" t="s">
        <v>1691</v>
      </c>
      <c r="AX712" s="15" t="s">
        <v>1692</v>
      </c>
      <c r="AY712" s="13" t="s">
        <v>7757</v>
      </c>
      <c r="AZ712" s="13" t="s">
        <v>7758</v>
      </c>
      <c r="BA712" s="13" t="s">
        <v>7758</v>
      </c>
      <c r="BB712" s="13" t="s">
        <v>7759</v>
      </c>
      <c r="BC712" s="13" t="s">
        <v>7759</v>
      </c>
      <c r="BD712" s="13">
        <f t="shared" si="26"/>
        <v>57</v>
      </c>
      <c r="BE712" s="13" t="s">
        <v>1697</v>
      </c>
      <c r="BF712" s="13" t="s">
        <v>951</v>
      </c>
      <c r="BG712" s="13" t="s">
        <v>7429</v>
      </c>
      <c r="BJ712" s="13" t="s">
        <v>5663</v>
      </c>
      <c r="BO712" s="13" t="s">
        <v>7723</v>
      </c>
      <c r="BS712" s="13" t="s">
        <v>127</v>
      </c>
      <c r="BU712" s="13" t="s">
        <v>129</v>
      </c>
      <c r="BX712" s="13" t="s">
        <v>7760</v>
      </c>
      <c r="DA712" s="13" t="s">
        <v>10348</v>
      </c>
      <c r="DB712" s="13" t="s">
        <v>10348</v>
      </c>
    </row>
    <row r="713" spans="1:106" s="13" customFormat="1" ht="12.75" customHeight="1" x14ac:dyDescent="0.2">
      <c r="A713" s="13" t="s">
        <v>102</v>
      </c>
      <c r="B713" s="13" t="s">
        <v>103</v>
      </c>
      <c r="D713" s="13" t="s">
        <v>7712</v>
      </c>
      <c r="E713" s="13" t="s">
        <v>228</v>
      </c>
      <c r="F713" s="13" t="s">
        <v>7712</v>
      </c>
      <c r="G713" s="13" t="s">
        <v>229</v>
      </c>
      <c r="H713" s="13" t="s">
        <v>820</v>
      </c>
      <c r="J713" s="13" t="s">
        <v>106</v>
      </c>
      <c r="W713" s="13">
        <v>712</v>
      </c>
      <c r="X713" s="13">
        <v>712</v>
      </c>
      <c r="Y713" s="13" t="s">
        <v>107</v>
      </c>
      <c r="Z713" s="13" t="s">
        <v>108</v>
      </c>
      <c r="AA713" s="36" t="s">
        <v>107</v>
      </c>
      <c r="AB713" s="13" t="s">
        <v>7761</v>
      </c>
      <c r="AC713" s="13" t="s">
        <v>7761</v>
      </c>
      <c r="AD713" s="13" t="s">
        <v>7761</v>
      </c>
      <c r="AE713" s="20" t="s">
        <v>112</v>
      </c>
      <c r="AF713" s="13" t="s">
        <v>7761</v>
      </c>
      <c r="AG713" s="13" t="s">
        <v>7761</v>
      </c>
      <c r="AH713" s="20" t="s">
        <v>7762</v>
      </c>
      <c r="AL713" s="13" t="s">
        <v>7763</v>
      </c>
      <c r="AN713" s="13">
        <v>329</v>
      </c>
      <c r="AO713" s="13" t="s">
        <v>7764</v>
      </c>
      <c r="AQ713" s="13" t="s">
        <v>7761</v>
      </c>
      <c r="AR713" s="13" t="s">
        <v>7761</v>
      </c>
      <c r="AS713" s="13" t="s">
        <v>116</v>
      </c>
      <c r="AT713" s="13" t="s">
        <v>7765</v>
      </c>
      <c r="AU713" s="13" t="s">
        <v>7718</v>
      </c>
      <c r="AV713" s="14" t="s">
        <v>2204</v>
      </c>
      <c r="AW713" s="15" t="s">
        <v>1691</v>
      </c>
      <c r="AX713" s="15" t="s">
        <v>1692</v>
      </c>
      <c r="AY713" s="13" t="s">
        <v>7766</v>
      </c>
      <c r="AZ713" s="13" t="s">
        <v>7767</v>
      </c>
      <c r="BA713" s="13" t="s">
        <v>7767</v>
      </c>
      <c r="BB713" s="13" t="s">
        <v>7768</v>
      </c>
      <c r="BC713" s="13" t="s">
        <v>7768</v>
      </c>
      <c r="BD713" s="13">
        <f t="shared" si="26"/>
        <v>56</v>
      </c>
      <c r="BE713" s="13" t="s">
        <v>1697</v>
      </c>
      <c r="BF713" s="13" t="s">
        <v>951</v>
      </c>
      <c r="BG713" s="13" t="s">
        <v>7429</v>
      </c>
      <c r="BJ713" s="13" t="s">
        <v>7769</v>
      </c>
      <c r="BO713" s="13" t="s">
        <v>7723</v>
      </c>
      <c r="BS713" s="13" t="s">
        <v>127</v>
      </c>
      <c r="BU713" s="13" t="s">
        <v>129</v>
      </c>
      <c r="BX713" s="13" t="s">
        <v>7770</v>
      </c>
      <c r="DA713" s="13" t="s">
        <v>10348</v>
      </c>
      <c r="DB713" s="13" t="s">
        <v>10348</v>
      </c>
    </row>
    <row r="714" spans="1:106" s="13" customFormat="1" ht="12.75" customHeight="1" x14ac:dyDescent="0.2">
      <c r="A714" s="13" t="s">
        <v>102</v>
      </c>
      <c r="B714" s="13" t="s">
        <v>103</v>
      </c>
      <c r="D714" s="13" t="s">
        <v>7712</v>
      </c>
      <c r="E714" s="13" t="s">
        <v>228</v>
      </c>
      <c r="F714" s="13" t="s">
        <v>7712</v>
      </c>
      <c r="G714" s="13" t="s">
        <v>229</v>
      </c>
      <c r="H714" s="13" t="s">
        <v>820</v>
      </c>
      <c r="J714" s="13" t="s">
        <v>106</v>
      </c>
      <c r="W714" s="13">
        <v>713</v>
      </c>
      <c r="X714" s="13">
        <v>713</v>
      </c>
      <c r="Y714" s="13" t="s">
        <v>107</v>
      </c>
      <c r="Z714" s="13" t="s">
        <v>108</v>
      </c>
      <c r="AA714" s="36" t="s">
        <v>107</v>
      </c>
      <c r="AB714" s="13" t="s">
        <v>7771</v>
      </c>
      <c r="AC714" s="13" t="s">
        <v>7771</v>
      </c>
      <c r="AD714" s="13" t="s">
        <v>7771</v>
      </c>
      <c r="AE714" s="20" t="s">
        <v>112</v>
      </c>
      <c r="AF714" s="13" t="s">
        <v>7771</v>
      </c>
      <c r="AG714" s="13" t="s">
        <v>7771</v>
      </c>
      <c r="AH714" s="20" t="s">
        <v>7772</v>
      </c>
      <c r="AL714" s="13" t="s">
        <v>7773</v>
      </c>
      <c r="AN714" s="13">
        <v>329</v>
      </c>
      <c r="AO714" s="13" t="s">
        <v>7774</v>
      </c>
      <c r="AQ714" s="13" t="s">
        <v>7771</v>
      </c>
      <c r="AR714" s="13" t="s">
        <v>7771</v>
      </c>
      <c r="AS714" s="13" t="s">
        <v>116</v>
      </c>
      <c r="AT714" s="13" t="s">
        <v>7775</v>
      </c>
      <c r="AU714" s="13" t="s">
        <v>7438</v>
      </c>
      <c r="AV714" s="14" t="s">
        <v>2204</v>
      </c>
      <c r="AW714" s="15" t="s">
        <v>1691</v>
      </c>
      <c r="AX714" s="15" t="s">
        <v>1692</v>
      </c>
      <c r="AY714" s="13" t="s">
        <v>7776</v>
      </c>
      <c r="AZ714" s="13" t="s">
        <v>7777</v>
      </c>
      <c r="BA714" s="13" t="s">
        <v>7777</v>
      </c>
      <c r="BB714" s="13" t="s">
        <v>7778</v>
      </c>
      <c r="BC714" s="13" t="s">
        <v>7778</v>
      </c>
      <c r="BD714" s="13">
        <f t="shared" si="26"/>
        <v>36</v>
      </c>
      <c r="BE714" s="13" t="s">
        <v>1697</v>
      </c>
      <c r="BF714" s="13" t="s">
        <v>951</v>
      </c>
      <c r="BG714" s="13" t="s">
        <v>7429</v>
      </c>
      <c r="BJ714" s="13" t="s">
        <v>7138</v>
      </c>
      <c r="BS714" s="13" t="s">
        <v>127</v>
      </c>
      <c r="BU714" s="13" t="s">
        <v>129</v>
      </c>
      <c r="BX714" s="13" t="s">
        <v>7779</v>
      </c>
      <c r="DA714" s="13" t="s">
        <v>10348</v>
      </c>
      <c r="DB714" s="13" t="s">
        <v>10348</v>
      </c>
    </row>
    <row r="715" spans="1:106" s="13" customFormat="1" ht="12.75" customHeight="1" x14ac:dyDescent="0.2">
      <c r="A715" s="13" t="s">
        <v>102</v>
      </c>
      <c r="B715" s="13" t="s">
        <v>103</v>
      </c>
      <c r="D715" s="13" t="s">
        <v>7712</v>
      </c>
      <c r="E715" s="13" t="s">
        <v>228</v>
      </c>
      <c r="F715" s="13" t="s">
        <v>7712</v>
      </c>
      <c r="G715" s="13" t="s">
        <v>229</v>
      </c>
      <c r="H715" s="13" t="s">
        <v>820</v>
      </c>
      <c r="J715" s="13" t="s">
        <v>106</v>
      </c>
      <c r="W715" s="13">
        <v>714</v>
      </c>
      <c r="X715" s="13">
        <v>714</v>
      </c>
      <c r="Y715" s="13" t="s">
        <v>107</v>
      </c>
      <c r="Z715" s="13" t="s">
        <v>108</v>
      </c>
      <c r="AA715" s="36" t="s">
        <v>107</v>
      </c>
      <c r="AB715" s="13" t="s">
        <v>7780</v>
      </c>
      <c r="AC715" s="13" t="s">
        <v>7780</v>
      </c>
      <c r="AD715" s="13" t="s">
        <v>7780</v>
      </c>
      <c r="AE715" s="20" t="s">
        <v>112</v>
      </c>
      <c r="AF715" s="13" t="s">
        <v>7780</v>
      </c>
      <c r="AG715" s="13" t="s">
        <v>7780</v>
      </c>
      <c r="AH715" s="20" t="s">
        <v>7781</v>
      </c>
      <c r="AL715" s="13" t="s">
        <v>7782</v>
      </c>
      <c r="AN715" s="13">
        <v>329</v>
      </c>
      <c r="AO715" s="13" t="s">
        <v>7783</v>
      </c>
      <c r="AQ715" s="13" t="s">
        <v>7780</v>
      </c>
      <c r="AR715" s="13" t="s">
        <v>7780</v>
      </c>
      <c r="AS715" s="13" t="s">
        <v>116</v>
      </c>
      <c r="AT715" s="13" t="s">
        <v>7784</v>
      </c>
      <c r="AU715" s="13" t="s">
        <v>7718</v>
      </c>
      <c r="AV715" s="14" t="s">
        <v>2204</v>
      </c>
      <c r="AW715" s="15" t="s">
        <v>1691</v>
      </c>
      <c r="AX715" s="15" t="s">
        <v>1692</v>
      </c>
      <c r="AY715" s="13" t="s">
        <v>7785</v>
      </c>
      <c r="AZ715" s="13" t="s">
        <v>7786</v>
      </c>
      <c r="BA715" s="13" t="s">
        <v>7786</v>
      </c>
      <c r="BB715" s="13" t="s">
        <v>7787</v>
      </c>
      <c r="BC715" s="13" t="s">
        <v>7787</v>
      </c>
      <c r="BD715" s="13">
        <f t="shared" si="26"/>
        <v>57</v>
      </c>
      <c r="BE715" s="13" t="s">
        <v>1697</v>
      </c>
      <c r="BF715" s="13" t="s">
        <v>951</v>
      </c>
      <c r="BG715" s="13" t="s">
        <v>7429</v>
      </c>
      <c r="BJ715" s="13" t="s">
        <v>7138</v>
      </c>
      <c r="BO715" s="13" t="s">
        <v>7723</v>
      </c>
      <c r="BS715" s="13" t="s">
        <v>127</v>
      </c>
      <c r="BU715" s="13" t="s">
        <v>129</v>
      </c>
      <c r="BX715" s="13" t="s">
        <v>7788</v>
      </c>
      <c r="DA715" s="13" t="s">
        <v>10348</v>
      </c>
      <c r="DB715" s="13" t="s">
        <v>10348</v>
      </c>
    </row>
    <row r="716" spans="1:106" s="13" customFormat="1" ht="12.75" customHeight="1" x14ac:dyDescent="0.2">
      <c r="A716" s="13" t="s">
        <v>102</v>
      </c>
      <c r="B716" s="13" t="s">
        <v>103</v>
      </c>
      <c r="D716" s="13" t="s">
        <v>7712</v>
      </c>
      <c r="E716" s="13" t="s">
        <v>228</v>
      </c>
      <c r="F716" s="13" t="s">
        <v>7712</v>
      </c>
      <c r="G716" s="13" t="s">
        <v>229</v>
      </c>
      <c r="H716" s="13" t="s">
        <v>820</v>
      </c>
      <c r="J716" s="13" t="s">
        <v>106</v>
      </c>
      <c r="W716" s="13">
        <v>715</v>
      </c>
      <c r="X716" s="13">
        <v>715</v>
      </c>
      <c r="Y716" s="13" t="s">
        <v>107</v>
      </c>
      <c r="Z716" s="13" t="s">
        <v>108</v>
      </c>
      <c r="AA716" s="36" t="s">
        <v>107</v>
      </c>
      <c r="AB716" s="13" t="s">
        <v>7789</v>
      </c>
      <c r="AC716" s="13" t="s">
        <v>7789</v>
      </c>
      <c r="AD716" s="13" t="s">
        <v>7789</v>
      </c>
      <c r="AE716" s="20" t="s">
        <v>112</v>
      </c>
      <c r="AF716" s="13" t="s">
        <v>7789</v>
      </c>
      <c r="AG716" s="13" t="s">
        <v>7789</v>
      </c>
      <c r="AH716" s="20" t="s">
        <v>7790</v>
      </c>
      <c r="AL716" s="13" t="s">
        <v>7791</v>
      </c>
      <c r="AN716" s="13">
        <v>329</v>
      </c>
      <c r="AO716" s="13" t="s">
        <v>7792</v>
      </c>
      <c r="AQ716" s="13" t="s">
        <v>7789</v>
      </c>
      <c r="AR716" s="13" t="s">
        <v>7789</v>
      </c>
      <c r="AS716" s="13" t="s">
        <v>116</v>
      </c>
      <c r="AT716" s="13" t="s">
        <v>7793</v>
      </c>
      <c r="AU716" s="13" t="s">
        <v>7438</v>
      </c>
      <c r="AV716" s="14" t="s">
        <v>2204</v>
      </c>
      <c r="AW716" s="15" t="s">
        <v>1691</v>
      </c>
      <c r="AX716" s="15" t="s">
        <v>1692</v>
      </c>
      <c r="AY716" s="13" t="s">
        <v>7794</v>
      </c>
      <c r="AZ716" s="13" t="s">
        <v>7795</v>
      </c>
      <c r="BA716" s="13" t="s">
        <v>7795</v>
      </c>
      <c r="BB716" s="13" t="s">
        <v>7796</v>
      </c>
      <c r="BC716" s="13" t="s">
        <v>7796</v>
      </c>
      <c r="BD716" s="13">
        <f t="shared" si="26"/>
        <v>36</v>
      </c>
      <c r="BE716" s="13" t="s">
        <v>1697</v>
      </c>
      <c r="BF716" s="13" t="s">
        <v>951</v>
      </c>
      <c r="BG716" s="13" t="s">
        <v>7429</v>
      </c>
      <c r="BJ716" s="13" t="s">
        <v>5942</v>
      </c>
      <c r="BS716" s="13" t="s">
        <v>127</v>
      </c>
      <c r="BU716" s="13" t="s">
        <v>129</v>
      </c>
      <c r="BX716" s="13" t="s">
        <v>7797</v>
      </c>
      <c r="DA716" s="13" t="s">
        <v>10348</v>
      </c>
      <c r="DB716" s="13" t="s">
        <v>10348</v>
      </c>
    </row>
    <row r="717" spans="1:106" s="13" customFormat="1" ht="12.75" customHeight="1" x14ac:dyDescent="0.2">
      <c r="A717" s="13" t="s">
        <v>102</v>
      </c>
      <c r="B717" s="13" t="s">
        <v>103</v>
      </c>
      <c r="D717" s="13" t="s">
        <v>7712</v>
      </c>
      <c r="E717" s="13" t="s">
        <v>228</v>
      </c>
      <c r="F717" s="13" t="s">
        <v>7712</v>
      </c>
      <c r="G717" s="13" t="s">
        <v>229</v>
      </c>
      <c r="H717" s="13" t="s">
        <v>820</v>
      </c>
      <c r="J717" s="13" t="s">
        <v>106</v>
      </c>
      <c r="W717" s="13">
        <v>716</v>
      </c>
      <c r="X717" s="13">
        <v>716</v>
      </c>
      <c r="Y717" s="13" t="s">
        <v>107</v>
      </c>
      <c r="Z717" s="13" t="s">
        <v>108</v>
      </c>
      <c r="AA717" s="36" t="s">
        <v>107</v>
      </c>
      <c r="AB717" s="13" t="s">
        <v>7798</v>
      </c>
      <c r="AC717" s="13" t="s">
        <v>7798</v>
      </c>
      <c r="AD717" s="13" t="s">
        <v>7798</v>
      </c>
      <c r="AE717" s="20" t="s">
        <v>112</v>
      </c>
      <c r="AF717" s="13" t="s">
        <v>7798</v>
      </c>
      <c r="AG717" s="13" t="s">
        <v>7798</v>
      </c>
      <c r="AH717" s="20" t="s">
        <v>7799</v>
      </c>
      <c r="AL717" s="13" t="s">
        <v>7800</v>
      </c>
      <c r="AN717" s="13">
        <v>329</v>
      </c>
      <c r="AO717" s="13" t="s">
        <v>7801</v>
      </c>
      <c r="AQ717" s="13" t="s">
        <v>7798</v>
      </c>
      <c r="AR717" s="13" t="s">
        <v>7798</v>
      </c>
      <c r="AS717" s="13" t="s">
        <v>116</v>
      </c>
      <c r="AT717" s="13" t="s">
        <v>7802</v>
      </c>
      <c r="AU717" s="13" t="s">
        <v>7718</v>
      </c>
      <c r="AV717" s="14" t="s">
        <v>2204</v>
      </c>
      <c r="AW717" s="15" t="s">
        <v>1691</v>
      </c>
      <c r="AX717" s="15" t="s">
        <v>1692</v>
      </c>
      <c r="AY717" s="13" t="s">
        <v>7803</v>
      </c>
      <c r="AZ717" s="13" t="s">
        <v>7804</v>
      </c>
      <c r="BA717" s="13" t="s">
        <v>7804</v>
      </c>
      <c r="BB717" s="13" t="s">
        <v>7805</v>
      </c>
      <c r="BC717" s="13" t="s">
        <v>7805</v>
      </c>
      <c r="BD717" s="13">
        <f t="shared" si="26"/>
        <v>57</v>
      </c>
      <c r="BE717" s="13" t="s">
        <v>1697</v>
      </c>
      <c r="BF717" s="13" t="s">
        <v>951</v>
      </c>
      <c r="BG717" s="13" t="s">
        <v>7429</v>
      </c>
      <c r="BJ717" s="13" t="s">
        <v>5942</v>
      </c>
      <c r="BO717" s="13" t="s">
        <v>7723</v>
      </c>
      <c r="BS717" s="13" t="s">
        <v>127</v>
      </c>
      <c r="BU717" s="13" t="s">
        <v>129</v>
      </c>
      <c r="BX717" s="13" t="s">
        <v>7806</v>
      </c>
      <c r="DA717" s="13" t="s">
        <v>10348</v>
      </c>
      <c r="DB717" s="13" t="s">
        <v>10348</v>
      </c>
    </row>
    <row r="718" spans="1:106" s="13" customFormat="1" ht="12.75" customHeight="1" x14ac:dyDescent="0.2">
      <c r="A718" s="13" t="s">
        <v>102</v>
      </c>
      <c r="B718" s="13" t="s">
        <v>103</v>
      </c>
      <c r="D718" s="13" t="s">
        <v>7712</v>
      </c>
      <c r="E718" s="13" t="s">
        <v>228</v>
      </c>
      <c r="F718" s="13" t="s">
        <v>7712</v>
      </c>
      <c r="G718" s="13" t="s">
        <v>229</v>
      </c>
      <c r="H718" s="13" t="s">
        <v>820</v>
      </c>
      <c r="J718" s="13" t="s">
        <v>106</v>
      </c>
      <c r="W718" s="13">
        <v>717</v>
      </c>
      <c r="X718" s="13">
        <v>717</v>
      </c>
      <c r="Y718" s="13" t="s">
        <v>107</v>
      </c>
      <c r="Z718" s="13" t="s">
        <v>108</v>
      </c>
      <c r="AA718" s="36" t="s">
        <v>107</v>
      </c>
      <c r="AB718" s="13" t="s">
        <v>7807</v>
      </c>
      <c r="AC718" s="13" t="s">
        <v>7807</v>
      </c>
      <c r="AD718" s="13" t="s">
        <v>7807</v>
      </c>
      <c r="AE718" s="20" t="s">
        <v>112</v>
      </c>
      <c r="AF718" s="13" t="s">
        <v>7807</v>
      </c>
      <c r="AG718" s="13" t="s">
        <v>7807</v>
      </c>
      <c r="AH718" s="20" t="s">
        <v>7808</v>
      </c>
      <c r="AL718" s="13" t="s">
        <v>7809</v>
      </c>
      <c r="AN718" s="13">
        <v>329</v>
      </c>
      <c r="AO718" s="13" t="s">
        <v>7810</v>
      </c>
      <c r="AQ718" s="13" t="s">
        <v>7807</v>
      </c>
      <c r="AR718" s="13" t="s">
        <v>7807</v>
      </c>
      <c r="AS718" s="13" t="s">
        <v>116</v>
      </c>
      <c r="AT718" s="13" t="s">
        <v>7811</v>
      </c>
      <c r="AU718" s="13" t="s">
        <v>7438</v>
      </c>
      <c r="AV718" s="14" t="s">
        <v>2204</v>
      </c>
      <c r="AW718" s="15" t="s">
        <v>1691</v>
      </c>
      <c r="AX718" s="15" t="s">
        <v>1692</v>
      </c>
      <c r="AY718" s="13" t="s">
        <v>7812</v>
      </c>
      <c r="AZ718" s="13" t="s">
        <v>7813</v>
      </c>
      <c r="BA718" s="13" t="s">
        <v>7813</v>
      </c>
      <c r="BB718" s="13" t="s">
        <v>7814</v>
      </c>
      <c r="BC718" s="13" t="s">
        <v>7814</v>
      </c>
      <c r="BD718" s="13">
        <f t="shared" si="26"/>
        <v>35</v>
      </c>
      <c r="BE718" s="13" t="s">
        <v>1697</v>
      </c>
      <c r="BF718" s="13" t="s">
        <v>951</v>
      </c>
      <c r="BG718" s="13" t="s">
        <v>7429</v>
      </c>
      <c r="BJ718" s="13" t="s">
        <v>7596</v>
      </c>
      <c r="BS718" s="13" t="s">
        <v>127</v>
      </c>
      <c r="BU718" s="13" t="s">
        <v>129</v>
      </c>
      <c r="BX718" s="13" t="s">
        <v>7815</v>
      </c>
      <c r="DA718" s="13" t="s">
        <v>10348</v>
      </c>
      <c r="DB718" s="13" t="s">
        <v>10348</v>
      </c>
    </row>
    <row r="719" spans="1:106" s="13" customFormat="1" ht="12.75" customHeight="1" x14ac:dyDescent="0.2">
      <c r="A719" s="13" t="s">
        <v>102</v>
      </c>
      <c r="B719" s="13" t="s">
        <v>103</v>
      </c>
      <c r="D719" s="13" t="s">
        <v>7712</v>
      </c>
      <c r="E719" s="13" t="s">
        <v>228</v>
      </c>
      <c r="F719" s="13" t="s">
        <v>7712</v>
      </c>
      <c r="G719" s="13" t="s">
        <v>229</v>
      </c>
      <c r="H719" s="13" t="s">
        <v>820</v>
      </c>
      <c r="J719" s="13" t="s">
        <v>106</v>
      </c>
      <c r="W719" s="13">
        <v>718</v>
      </c>
      <c r="X719" s="13">
        <v>718</v>
      </c>
      <c r="Y719" s="13" t="s">
        <v>107</v>
      </c>
      <c r="Z719" s="13" t="s">
        <v>108</v>
      </c>
      <c r="AA719" s="36" t="s">
        <v>107</v>
      </c>
      <c r="AB719" s="13" t="s">
        <v>7816</v>
      </c>
      <c r="AC719" s="13" t="s">
        <v>7816</v>
      </c>
      <c r="AD719" s="13" t="s">
        <v>7816</v>
      </c>
      <c r="AE719" s="20" t="s">
        <v>112</v>
      </c>
      <c r="AF719" s="13" t="s">
        <v>7816</v>
      </c>
      <c r="AG719" s="13" t="s">
        <v>7816</v>
      </c>
      <c r="AH719" s="20" t="s">
        <v>7817</v>
      </c>
      <c r="AL719" s="13" t="s">
        <v>7818</v>
      </c>
      <c r="AN719" s="13">
        <v>329</v>
      </c>
      <c r="AO719" s="13" t="s">
        <v>7819</v>
      </c>
      <c r="AQ719" s="13" t="s">
        <v>7816</v>
      </c>
      <c r="AR719" s="13" t="s">
        <v>7816</v>
      </c>
      <c r="AS719" s="13" t="s">
        <v>116</v>
      </c>
      <c r="AT719" s="13" t="s">
        <v>7820</v>
      </c>
      <c r="AU719" s="13" t="s">
        <v>7718</v>
      </c>
      <c r="AV719" s="14" t="s">
        <v>2204</v>
      </c>
      <c r="AW719" s="15" t="s">
        <v>1691</v>
      </c>
      <c r="AX719" s="15" t="s">
        <v>1692</v>
      </c>
      <c r="AY719" s="13" t="s">
        <v>7821</v>
      </c>
      <c r="AZ719" s="13" t="s">
        <v>7822</v>
      </c>
      <c r="BA719" s="13" t="s">
        <v>7822</v>
      </c>
      <c r="BB719" s="13" t="s">
        <v>7823</v>
      </c>
      <c r="BC719" s="13" t="s">
        <v>7823</v>
      </c>
      <c r="BD719" s="13">
        <f t="shared" si="26"/>
        <v>56</v>
      </c>
      <c r="BE719" s="13" t="s">
        <v>1697</v>
      </c>
      <c r="BF719" s="13" t="s">
        <v>951</v>
      </c>
      <c r="BG719" s="13" t="s">
        <v>7429</v>
      </c>
      <c r="BJ719" s="13" t="s">
        <v>7596</v>
      </c>
      <c r="BO719" s="13" t="s">
        <v>7723</v>
      </c>
      <c r="BS719" s="13" t="s">
        <v>127</v>
      </c>
      <c r="BU719" s="13" t="s">
        <v>129</v>
      </c>
      <c r="BX719" s="13" t="s">
        <v>7824</v>
      </c>
      <c r="DA719" s="13" t="s">
        <v>10348</v>
      </c>
      <c r="DB719" s="13" t="s">
        <v>10348</v>
      </c>
    </row>
    <row r="720" spans="1:106" s="13" customFormat="1" ht="12.75" customHeight="1" x14ac:dyDescent="0.2">
      <c r="A720" s="13" t="s">
        <v>102</v>
      </c>
      <c r="B720" s="13" t="s">
        <v>103</v>
      </c>
      <c r="D720" s="13" t="s">
        <v>7712</v>
      </c>
      <c r="E720" s="13" t="s">
        <v>228</v>
      </c>
      <c r="F720" s="13" t="s">
        <v>7712</v>
      </c>
      <c r="G720" s="13" t="s">
        <v>229</v>
      </c>
      <c r="H720" s="13" t="s">
        <v>820</v>
      </c>
      <c r="J720" s="13" t="s">
        <v>106</v>
      </c>
      <c r="W720" s="13">
        <v>719</v>
      </c>
      <c r="X720" s="13">
        <v>719</v>
      </c>
      <c r="Y720" s="13" t="s">
        <v>107</v>
      </c>
      <c r="Z720" s="13" t="s">
        <v>108</v>
      </c>
      <c r="AA720" s="36" t="s">
        <v>107</v>
      </c>
      <c r="AB720" s="13" t="s">
        <v>7825</v>
      </c>
      <c r="AC720" s="13" t="s">
        <v>7825</v>
      </c>
      <c r="AD720" s="13" t="s">
        <v>7825</v>
      </c>
      <c r="AE720" s="20" t="s">
        <v>112</v>
      </c>
      <c r="AF720" s="13" t="s">
        <v>7825</v>
      </c>
      <c r="AG720" s="13" t="s">
        <v>7825</v>
      </c>
      <c r="AH720" s="20" t="s">
        <v>7826</v>
      </c>
      <c r="AL720" s="13" t="s">
        <v>7422</v>
      </c>
      <c r="AN720" s="13">
        <v>329</v>
      </c>
      <c r="AO720" s="13" t="s">
        <v>7827</v>
      </c>
      <c r="AQ720" s="13" t="s">
        <v>7825</v>
      </c>
      <c r="AR720" s="13" t="s">
        <v>7825</v>
      </c>
      <c r="AS720" s="13" t="s">
        <v>116</v>
      </c>
      <c r="AT720" s="13" t="s">
        <v>7828</v>
      </c>
      <c r="AU720" s="13" t="s">
        <v>7438</v>
      </c>
      <c r="AV720" s="14" t="s">
        <v>2204</v>
      </c>
      <c r="AW720" s="15" t="s">
        <v>1691</v>
      </c>
      <c r="AX720" s="15" t="s">
        <v>1692</v>
      </c>
      <c r="AY720" s="13" t="s">
        <v>7829</v>
      </c>
      <c r="AZ720" s="13" t="s">
        <v>7427</v>
      </c>
      <c r="BA720" s="13" t="s">
        <v>7427</v>
      </c>
      <c r="BB720" s="13" t="s">
        <v>7428</v>
      </c>
      <c r="BC720" s="13" t="s">
        <v>7428</v>
      </c>
      <c r="BD720" s="13">
        <f t="shared" si="26"/>
        <v>36</v>
      </c>
      <c r="BE720" s="13" t="s">
        <v>1697</v>
      </c>
      <c r="BF720" s="13" t="s">
        <v>951</v>
      </c>
      <c r="BG720" s="13" t="s">
        <v>7429</v>
      </c>
      <c r="BJ720" s="13" t="s">
        <v>7430</v>
      </c>
      <c r="BS720" s="13" t="s">
        <v>127</v>
      </c>
      <c r="BU720" s="13" t="s">
        <v>129</v>
      </c>
      <c r="BX720" s="13" t="s">
        <v>7830</v>
      </c>
      <c r="DA720" s="13" t="s">
        <v>10348</v>
      </c>
      <c r="DB720" s="13" t="s">
        <v>10348</v>
      </c>
    </row>
    <row r="721" spans="1:106" s="13" customFormat="1" ht="12.75" customHeight="1" x14ac:dyDescent="0.2">
      <c r="A721" s="13" t="s">
        <v>102</v>
      </c>
      <c r="B721" s="13" t="s">
        <v>103</v>
      </c>
      <c r="D721" s="13" t="s">
        <v>7712</v>
      </c>
      <c r="E721" s="13" t="s">
        <v>228</v>
      </c>
      <c r="F721" s="13" t="s">
        <v>7712</v>
      </c>
      <c r="G721" s="13" t="s">
        <v>229</v>
      </c>
      <c r="H721" s="13" t="s">
        <v>820</v>
      </c>
      <c r="J721" s="13" t="s">
        <v>106</v>
      </c>
      <c r="W721" s="13">
        <v>720</v>
      </c>
      <c r="X721" s="13">
        <v>720</v>
      </c>
      <c r="Y721" s="13" t="s">
        <v>107</v>
      </c>
      <c r="Z721" s="13" t="s">
        <v>108</v>
      </c>
      <c r="AA721" s="36" t="s">
        <v>107</v>
      </c>
      <c r="AB721" s="13" t="s">
        <v>7831</v>
      </c>
      <c r="AC721" s="13" t="s">
        <v>7831</v>
      </c>
      <c r="AD721" s="13" t="s">
        <v>7831</v>
      </c>
      <c r="AE721" s="20" t="s">
        <v>112</v>
      </c>
      <c r="AF721" s="13" t="s">
        <v>7831</v>
      </c>
      <c r="AG721" s="13" t="s">
        <v>7831</v>
      </c>
      <c r="AH721" s="20" t="s">
        <v>7832</v>
      </c>
      <c r="AL721" s="13" t="s">
        <v>7833</v>
      </c>
      <c r="AN721" s="13">
        <v>329</v>
      </c>
      <c r="AO721" s="13" t="s">
        <v>7834</v>
      </c>
      <c r="AQ721" s="13" t="s">
        <v>7831</v>
      </c>
      <c r="AR721" s="13" t="s">
        <v>7831</v>
      </c>
      <c r="AS721" s="13" t="s">
        <v>116</v>
      </c>
      <c r="AT721" s="13" t="s">
        <v>7835</v>
      </c>
      <c r="AU721" s="13" t="s">
        <v>7718</v>
      </c>
      <c r="AV721" s="14" t="s">
        <v>2204</v>
      </c>
      <c r="AW721" s="15" t="s">
        <v>1691</v>
      </c>
      <c r="AX721" s="15" t="s">
        <v>1692</v>
      </c>
      <c r="AY721" s="13" t="s">
        <v>7836</v>
      </c>
      <c r="AZ721" s="13" t="s">
        <v>7837</v>
      </c>
      <c r="BA721" s="13" t="s">
        <v>7837</v>
      </c>
      <c r="BB721" s="13" t="s">
        <v>7838</v>
      </c>
      <c r="BC721" s="13" t="s">
        <v>7838</v>
      </c>
      <c r="BD721" s="13">
        <f t="shared" si="26"/>
        <v>57</v>
      </c>
      <c r="BE721" s="13" t="s">
        <v>1697</v>
      </c>
      <c r="BF721" s="13" t="s">
        <v>951</v>
      </c>
      <c r="BG721" s="13" t="s">
        <v>7429</v>
      </c>
      <c r="BJ721" s="13" t="s">
        <v>7430</v>
      </c>
      <c r="BO721" s="13" t="s">
        <v>7723</v>
      </c>
      <c r="BS721" s="13" t="s">
        <v>127</v>
      </c>
      <c r="BU721" s="13" t="s">
        <v>129</v>
      </c>
      <c r="BX721" s="13" t="s">
        <v>7839</v>
      </c>
      <c r="DA721" s="13" t="s">
        <v>10348</v>
      </c>
      <c r="DB721" s="13" t="s">
        <v>10348</v>
      </c>
    </row>
    <row r="722" spans="1:106" s="13" customFormat="1" ht="12.75" customHeight="1" x14ac:dyDescent="0.2">
      <c r="A722" s="13" t="s">
        <v>102</v>
      </c>
      <c r="B722" s="13" t="s">
        <v>103</v>
      </c>
      <c r="D722" s="13" t="s">
        <v>7712</v>
      </c>
      <c r="E722" s="13" t="s">
        <v>228</v>
      </c>
      <c r="F722" s="13" t="s">
        <v>7712</v>
      </c>
      <c r="G722" s="13" t="s">
        <v>229</v>
      </c>
      <c r="H722" s="13" t="s">
        <v>820</v>
      </c>
      <c r="J722" s="13" t="s">
        <v>106</v>
      </c>
      <c r="W722" s="13">
        <v>721</v>
      </c>
      <c r="X722" s="13">
        <v>721</v>
      </c>
      <c r="Y722" s="13" t="s">
        <v>107</v>
      </c>
      <c r="Z722" s="13" t="s">
        <v>108</v>
      </c>
      <c r="AA722" s="36" t="s">
        <v>107</v>
      </c>
      <c r="AB722" s="13" t="s">
        <v>7840</v>
      </c>
      <c r="AC722" s="13" t="s">
        <v>7840</v>
      </c>
      <c r="AD722" s="13" t="s">
        <v>7840</v>
      </c>
      <c r="AE722" s="20" t="s">
        <v>112</v>
      </c>
      <c r="AF722" s="13" t="s">
        <v>7840</v>
      </c>
      <c r="AG722" s="13" t="s">
        <v>7840</v>
      </c>
      <c r="AH722" s="20" t="s">
        <v>7841</v>
      </c>
      <c r="AL722" s="13" t="s">
        <v>7435</v>
      </c>
      <c r="AN722" s="13">
        <v>329</v>
      </c>
      <c r="AO722" s="13" t="s">
        <v>7842</v>
      </c>
      <c r="AQ722" s="13" t="s">
        <v>7840</v>
      </c>
      <c r="AR722" s="13" t="s">
        <v>7840</v>
      </c>
      <c r="AS722" s="13" t="s">
        <v>116</v>
      </c>
      <c r="AT722" s="13" t="s">
        <v>7843</v>
      </c>
      <c r="AU722" s="13" t="s">
        <v>7438</v>
      </c>
      <c r="AV722" s="14" t="s">
        <v>2204</v>
      </c>
      <c r="AW722" s="15" t="s">
        <v>1691</v>
      </c>
      <c r="AX722" s="15" t="s">
        <v>1692</v>
      </c>
      <c r="AY722" s="13" t="s">
        <v>7844</v>
      </c>
      <c r="AZ722" s="13" t="s">
        <v>7440</v>
      </c>
      <c r="BA722" s="13" t="s">
        <v>7440</v>
      </c>
      <c r="BB722" s="13" t="s">
        <v>7441</v>
      </c>
      <c r="BC722" s="13" t="s">
        <v>7441</v>
      </c>
      <c r="BD722" s="13">
        <f t="shared" si="26"/>
        <v>36</v>
      </c>
      <c r="BE722" s="13" t="s">
        <v>1697</v>
      </c>
      <c r="BF722" s="13" t="s">
        <v>951</v>
      </c>
      <c r="BG722" s="13" t="s">
        <v>7429</v>
      </c>
      <c r="BJ722" s="13" t="s">
        <v>7442</v>
      </c>
      <c r="BS722" s="13" t="s">
        <v>127</v>
      </c>
      <c r="BU722" s="13" t="s">
        <v>129</v>
      </c>
      <c r="BX722" s="13" t="s">
        <v>7845</v>
      </c>
      <c r="DA722" s="13" t="s">
        <v>10348</v>
      </c>
      <c r="DB722" s="13" t="s">
        <v>10348</v>
      </c>
    </row>
    <row r="723" spans="1:106" s="13" customFormat="1" ht="12.75" customHeight="1" x14ac:dyDescent="0.2">
      <c r="A723" s="13" t="s">
        <v>102</v>
      </c>
      <c r="B723" s="13" t="s">
        <v>103</v>
      </c>
      <c r="D723" s="13" t="s">
        <v>7712</v>
      </c>
      <c r="E723" s="13" t="s">
        <v>228</v>
      </c>
      <c r="F723" s="13" t="s">
        <v>7712</v>
      </c>
      <c r="G723" s="13" t="s">
        <v>229</v>
      </c>
      <c r="H723" s="13" t="s">
        <v>820</v>
      </c>
      <c r="J723" s="13" t="s">
        <v>106</v>
      </c>
      <c r="W723" s="13">
        <v>722</v>
      </c>
      <c r="X723" s="13">
        <v>722</v>
      </c>
      <c r="Y723" s="13" t="s">
        <v>107</v>
      </c>
      <c r="Z723" s="13" t="s">
        <v>108</v>
      </c>
      <c r="AA723" s="36" t="s">
        <v>107</v>
      </c>
      <c r="AB723" s="13" t="s">
        <v>7846</v>
      </c>
      <c r="AC723" s="13" t="s">
        <v>7846</v>
      </c>
      <c r="AD723" s="13" t="s">
        <v>7846</v>
      </c>
      <c r="AE723" s="20" t="s">
        <v>112</v>
      </c>
      <c r="AF723" s="13" t="s">
        <v>7846</v>
      </c>
      <c r="AG723" s="13" t="s">
        <v>7846</v>
      </c>
      <c r="AH723" s="20" t="s">
        <v>7847</v>
      </c>
      <c r="AL723" s="13" t="s">
        <v>7848</v>
      </c>
      <c r="AN723" s="13">
        <v>329</v>
      </c>
      <c r="AO723" s="13" t="s">
        <v>7849</v>
      </c>
      <c r="AQ723" s="13" t="s">
        <v>7846</v>
      </c>
      <c r="AR723" s="13" t="s">
        <v>7846</v>
      </c>
      <c r="AS723" s="13" t="s">
        <v>116</v>
      </c>
      <c r="AT723" s="13" t="s">
        <v>7850</v>
      </c>
      <c r="AU723" s="13" t="s">
        <v>7718</v>
      </c>
      <c r="AV723" s="14" t="s">
        <v>2204</v>
      </c>
      <c r="AW723" s="15" t="s">
        <v>1691</v>
      </c>
      <c r="AX723" s="15" t="s">
        <v>1692</v>
      </c>
      <c r="AY723" s="13" t="s">
        <v>7851</v>
      </c>
      <c r="AZ723" s="13" t="s">
        <v>7852</v>
      </c>
      <c r="BA723" s="13" t="s">
        <v>7852</v>
      </c>
      <c r="BB723" s="13" t="s">
        <v>7853</v>
      </c>
      <c r="BC723" s="13" t="s">
        <v>7853</v>
      </c>
      <c r="BD723" s="13">
        <f t="shared" si="26"/>
        <v>57</v>
      </c>
      <c r="BE723" s="13" t="s">
        <v>1697</v>
      </c>
      <c r="BF723" s="13" t="s">
        <v>951</v>
      </c>
      <c r="BG723" s="13" t="s">
        <v>7429</v>
      </c>
      <c r="BJ723" s="13" t="s">
        <v>7442</v>
      </c>
      <c r="BO723" s="13" t="s">
        <v>7723</v>
      </c>
      <c r="BS723" s="13" t="s">
        <v>127</v>
      </c>
      <c r="BU723" s="13" t="s">
        <v>129</v>
      </c>
      <c r="BX723" s="13" t="s">
        <v>7854</v>
      </c>
      <c r="DA723" s="13" t="s">
        <v>10348</v>
      </c>
      <c r="DB723" s="13" t="s">
        <v>10348</v>
      </c>
    </row>
    <row r="724" spans="1:106" s="13" customFormat="1" ht="12.75" customHeight="1" x14ac:dyDescent="0.2">
      <c r="A724" s="13" t="s">
        <v>102</v>
      </c>
      <c r="B724" s="13" t="s">
        <v>103</v>
      </c>
      <c r="D724" s="13" t="s">
        <v>7712</v>
      </c>
      <c r="E724" s="13" t="s">
        <v>471</v>
      </c>
      <c r="F724" s="13" t="s">
        <v>7712</v>
      </c>
      <c r="G724" s="13" t="s">
        <v>229</v>
      </c>
      <c r="H724" s="13" t="s">
        <v>820</v>
      </c>
      <c r="J724" s="13" t="s">
        <v>106</v>
      </c>
      <c r="W724" s="13">
        <v>723</v>
      </c>
      <c r="X724" s="13">
        <v>723</v>
      </c>
      <c r="Y724" s="13" t="s">
        <v>107</v>
      </c>
      <c r="Z724" s="13" t="s">
        <v>108</v>
      </c>
      <c r="AA724" s="36" t="s">
        <v>107</v>
      </c>
      <c r="AB724" s="13" t="s">
        <v>7855</v>
      </c>
      <c r="AC724" s="13" t="s">
        <v>7855</v>
      </c>
      <c r="AD724" s="13" t="s">
        <v>7855</v>
      </c>
      <c r="AE724" s="20" t="s">
        <v>112</v>
      </c>
      <c r="AF724" s="13" t="s">
        <v>7855</v>
      </c>
      <c r="AG724" s="13" t="s">
        <v>7855</v>
      </c>
      <c r="AH724" s="20" t="s">
        <v>7856</v>
      </c>
      <c r="AL724" s="13" t="s">
        <v>7857</v>
      </c>
      <c r="AN724" s="13">
        <v>329</v>
      </c>
      <c r="AO724" s="13" t="s">
        <v>7858</v>
      </c>
      <c r="AQ724" s="13" t="s">
        <v>7855</v>
      </c>
      <c r="AR724" s="13" t="s">
        <v>7855</v>
      </c>
      <c r="AS724" s="13" t="s">
        <v>116</v>
      </c>
      <c r="AT724" s="13" t="s">
        <v>7859</v>
      </c>
      <c r="AU724" s="13" t="s">
        <v>7860</v>
      </c>
      <c r="AV724" s="14" t="s">
        <v>2204</v>
      </c>
      <c r="AW724" s="15" t="s">
        <v>1691</v>
      </c>
      <c r="AX724" s="15" t="s">
        <v>1692</v>
      </c>
      <c r="AY724" s="13" t="s">
        <v>7859</v>
      </c>
      <c r="AZ724" s="13" t="s">
        <v>7861</v>
      </c>
      <c r="BA724" s="13" t="s">
        <v>7861</v>
      </c>
      <c r="BB724" s="13" t="s">
        <v>7862</v>
      </c>
      <c r="BC724" s="13" t="s">
        <v>7863</v>
      </c>
      <c r="BD724" s="13">
        <f t="shared" si="26"/>
        <v>56</v>
      </c>
      <c r="BE724" s="13" t="s">
        <v>1697</v>
      </c>
      <c r="BF724" s="13" t="s">
        <v>951</v>
      </c>
      <c r="BG724" s="13" t="s">
        <v>2454</v>
      </c>
      <c r="BJ724" s="13" t="s">
        <v>7864</v>
      </c>
      <c r="BO724" s="13" t="s">
        <v>7865</v>
      </c>
      <c r="BS724" s="13" t="s">
        <v>127</v>
      </c>
      <c r="BU724" s="13" t="s">
        <v>129</v>
      </c>
      <c r="BX724" s="13" t="s">
        <v>7866</v>
      </c>
      <c r="DA724" s="13" t="s">
        <v>10348</v>
      </c>
      <c r="DB724" s="13" t="s">
        <v>10348</v>
      </c>
    </row>
    <row r="725" spans="1:106" s="13" customFormat="1" ht="12.75" customHeight="1" x14ac:dyDescent="0.2">
      <c r="A725" s="13" t="s">
        <v>102</v>
      </c>
      <c r="B725" s="13" t="s">
        <v>103</v>
      </c>
      <c r="D725" s="13" t="s">
        <v>7712</v>
      </c>
      <c r="E725" s="13" t="s">
        <v>471</v>
      </c>
      <c r="F725" s="13" t="s">
        <v>7712</v>
      </c>
      <c r="G725" s="13" t="s">
        <v>229</v>
      </c>
      <c r="H725" s="13" t="s">
        <v>820</v>
      </c>
      <c r="J725" s="13" t="s">
        <v>106</v>
      </c>
      <c r="W725" s="13">
        <v>724</v>
      </c>
      <c r="X725" s="13">
        <v>724</v>
      </c>
      <c r="Y725" s="13" t="s">
        <v>107</v>
      </c>
      <c r="Z725" s="13" t="s">
        <v>108</v>
      </c>
      <c r="AA725" s="36" t="s">
        <v>107</v>
      </c>
      <c r="AB725" s="13" t="s">
        <v>7867</v>
      </c>
      <c r="AC725" s="13" t="s">
        <v>7867</v>
      </c>
      <c r="AD725" s="13" t="s">
        <v>7867</v>
      </c>
      <c r="AE725" s="20" t="s">
        <v>112</v>
      </c>
      <c r="AF725" s="13" t="s">
        <v>7867</v>
      </c>
      <c r="AG725" s="13" t="s">
        <v>7867</v>
      </c>
      <c r="AH725" s="20" t="s">
        <v>7868</v>
      </c>
      <c r="AL725" s="13" t="s">
        <v>7869</v>
      </c>
      <c r="AN725" s="13">
        <v>329</v>
      </c>
      <c r="AO725" s="13" t="s">
        <v>7870</v>
      </c>
      <c r="AQ725" s="13" t="s">
        <v>7867</v>
      </c>
      <c r="AR725" s="13" t="s">
        <v>7867</v>
      </c>
      <c r="AS725" s="13" t="s">
        <v>116</v>
      </c>
      <c r="AT725" s="13" t="s">
        <v>7871</v>
      </c>
      <c r="AU725" s="13" t="s">
        <v>7860</v>
      </c>
      <c r="AV725" s="14" t="s">
        <v>2204</v>
      </c>
      <c r="AW725" s="15" t="s">
        <v>1691</v>
      </c>
      <c r="AX725" s="15" t="s">
        <v>1692</v>
      </c>
      <c r="AY725" s="13" t="s">
        <v>7871</v>
      </c>
      <c r="AZ725" s="13" t="s">
        <v>7872</v>
      </c>
      <c r="BA725" s="13" t="s">
        <v>7872</v>
      </c>
      <c r="BB725" s="13" t="s">
        <v>7873</v>
      </c>
      <c r="BC725" s="13" t="s">
        <v>7874</v>
      </c>
      <c r="BD725" s="13">
        <f t="shared" si="26"/>
        <v>56</v>
      </c>
      <c r="BE725" s="13" t="s">
        <v>1697</v>
      </c>
      <c r="BF725" s="13" t="s">
        <v>951</v>
      </c>
      <c r="BG725" s="13" t="s">
        <v>2454</v>
      </c>
      <c r="BJ725" s="13" t="s">
        <v>2242</v>
      </c>
      <c r="BO725" s="13" t="s">
        <v>7865</v>
      </c>
      <c r="BS725" s="13" t="s">
        <v>127</v>
      </c>
      <c r="BU725" s="13" t="s">
        <v>129</v>
      </c>
      <c r="BX725" s="13" t="s">
        <v>7875</v>
      </c>
      <c r="DA725" s="13" t="s">
        <v>10348</v>
      </c>
      <c r="DB725" s="13" t="s">
        <v>10348</v>
      </c>
    </row>
    <row r="726" spans="1:106" s="13" customFormat="1" ht="12.75" customHeight="1" x14ac:dyDescent="0.2">
      <c r="A726" s="13" t="s">
        <v>102</v>
      </c>
      <c r="B726" s="13" t="s">
        <v>103</v>
      </c>
      <c r="D726" s="13" t="s">
        <v>7712</v>
      </c>
      <c r="E726" s="13" t="s">
        <v>471</v>
      </c>
      <c r="F726" s="13" t="s">
        <v>7712</v>
      </c>
      <c r="G726" s="13" t="s">
        <v>229</v>
      </c>
      <c r="H726" s="13" t="s">
        <v>820</v>
      </c>
      <c r="J726" s="13" t="s">
        <v>106</v>
      </c>
      <c r="W726" s="13">
        <v>725</v>
      </c>
      <c r="X726" s="13">
        <v>725</v>
      </c>
      <c r="Y726" s="13" t="s">
        <v>107</v>
      </c>
      <c r="Z726" s="13" t="s">
        <v>108</v>
      </c>
      <c r="AA726" s="36" t="s">
        <v>107</v>
      </c>
      <c r="AB726" s="13" t="s">
        <v>7876</v>
      </c>
      <c r="AC726" s="13" t="s">
        <v>7876</v>
      </c>
      <c r="AD726" s="13" t="s">
        <v>7876</v>
      </c>
      <c r="AE726" s="20" t="s">
        <v>112</v>
      </c>
      <c r="AF726" s="13" t="s">
        <v>7876</v>
      </c>
      <c r="AG726" s="13" t="s">
        <v>7876</v>
      </c>
      <c r="AH726" s="20" t="s">
        <v>7877</v>
      </c>
      <c r="AL726" s="13" t="s">
        <v>7878</v>
      </c>
      <c r="AN726" s="13">
        <v>329</v>
      </c>
      <c r="AO726" s="13" t="s">
        <v>7879</v>
      </c>
      <c r="AQ726" s="13" t="s">
        <v>7876</v>
      </c>
      <c r="AR726" s="13" t="s">
        <v>7876</v>
      </c>
      <c r="AS726" s="13" t="s">
        <v>116</v>
      </c>
      <c r="AT726" s="13" t="s">
        <v>7880</v>
      </c>
      <c r="AU726" s="13" t="s">
        <v>7860</v>
      </c>
      <c r="AV726" s="14" t="s">
        <v>2204</v>
      </c>
      <c r="AW726" s="15" t="s">
        <v>1691</v>
      </c>
      <c r="AX726" s="15" t="s">
        <v>1692</v>
      </c>
      <c r="AY726" s="13" t="s">
        <v>7880</v>
      </c>
      <c r="AZ726" s="13" t="s">
        <v>7881</v>
      </c>
      <c r="BA726" s="13" t="s">
        <v>7881</v>
      </c>
      <c r="BB726" s="13" t="s">
        <v>7882</v>
      </c>
      <c r="BC726" s="13" t="s">
        <v>7883</v>
      </c>
      <c r="BD726" s="13">
        <f t="shared" si="26"/>
        <v>57</v>
      </c>
      <c r="BE726" s="13" t="s">
        <v>1697</v>
      </c>
      <c r="BF726" s="13" t="s">
        <v>951</v>
      </c>
      <c r="BG726" s="13" t="s">
        <v>2454</v>
      </c>
      <c r="BJ726" s="13" t="s">
        <v>7884</v>
      </c>
      <c r="BO726" s="13" t="s">
        <v>7865</v>
      </c>
      <c r="BS726" s="13" t="s">
        <v>127</v>
      </c>
      <c r="BU726" s="13" t="s">
        <v>129</v>
      </c>
      <c r="BX726" s="13" t="s">
        <v>7885</v>
      </c>
      <c r="DA726" s="13" t="s">
        <v>10348</v>
      </c>
      <c r="DB726" s="13" t="s">
        <v>10348</v>
      </c>
    </row>
    <row r="727" spans="1:106" s="13" customFormat="1" ht="12.75" customHeight="1" x14ac:dyDescent="0.2">
      <c r="A727" s="13" t="s">
        <v>102</v>
      </c>
      <c r="B727" s="13" t="s">
        <v>103</v>
      </c>
      <c r="D727" s="13" t="s">
        <v>7712</v>
      </c>
      <c r="E727" s="13" t="s">
        <v>471</v>
      </c>
      <c r="F727" s="13" t="s">
        <v>7712</v>
      </c>
      <c r="G727" s="13" t="s">
        <v>229</v>
      </c>
      <c r="H727" s="13" t="s">
        <v>820</v>
      </c>
      <c r="J727" s="13" t="s">
        <v>106</v>
      </c>
      <c r="W727" s="13">
        <v>726</v>
      </c>
      <c r="X727" s="13">
        <v>726</v>
      </c>
      <c r="Y727" s="13" t="s">
        <v>107</v>
      </c>
      <c r="Z727" s="13" t="s">
        <v>108</v>
      </c>
      <c r="AA727" s="36" t="s">
        <v>107</v>
      </c>
      <c r="AB727" s="13" t="s">
        <v>7886</v>
      </c>
      <c r="AC727" s="13" t="s">
        <v>7886</v>
      </c>
      <c r="AD727" s="13" t="s">
        <v>7886</v>
      </c>
      <c r="AE727" s="20" t="s">
        <v>112</v>
      </c>
      <c r="AF727" s="13" t="s">
        <v>7886</v>
      </c>
      <c r="AG727" s="13" t="s">
        <v>7886</v>
      </c>
      <c r="AH727" s="20" t="s">
        <v>7887</v>
      </c>
      <c r="AL727" s="13" t="s">
        <v>7888</v>
      </c>
      <c r="AN727" s="13">
        <v>329</v>
      </c>
      <c r="AO727" s="13" t="s">
        <v>7889</v>
      </c>
      <c r="AQ727" s="13" t="s">
        <v>7886</v>
      </c>
      <c r="AR727" s="13" t="s">
        <v>7886</v>
      </c>
      <c r="AS727" s="13" t="s">
        <v>116</v>
      </c>
      <c r="AT727" s="13" t="s">
        <v>7890</v>
      </c>
      <c r="AU727" s="13" t="s">
        <v>7860</v>
      </c>
      <c r="AV727" s="14" t="s">
        <v>2204</v>
      </c>
      <c r="AW727" s="15" t="s">
        <v>1691</v>
      </c>
      <c r="AX727" s="15" t="s">
        <v>1692</v>
      </c>
      <c r="AY727" s="13" t="s">
        <v>7890</v>
      </c>
      <c r="AZ727" s="13" t="s">
        <v>7891</v>
      </c>
      <c r="BA727" s="13" t="s">
        <v>7891</v>
      </c>
      <c r="BB727" s="13" t="s">
        <v>7892</v>
      </c>
      <c r="BC727" s="13" t="s">
        <v>7893</v>
      </c>
      <c r="BD727" s="13">
        <f t="shared" si="26"/>
        <v>57</v>
      </c>
      <c r="BE727" s="13" t="s">
        <v>1697</v>
      </c>
      <c r="BF727" s="13" t="s">
        <v>951</v>
      </c>
      <c r="BG727" s="13" t="s">
        <v>2454</v>
      </c>
      <c r="BJ727" s="13" t="s">
        <v>2253</v>
      </c>
      <c r="BO727" s="13" t="s">
        <v>7865</v>
      </c>
      <c r="BS727" s="13" t="s">
        <v>127</v>
      </c>
      <c r="BU727" s="13" t="s">
        <v>129</v>
      </c>
      <c r="BX727" s="13" t="s">
        <v>7894</v>
      </c>
      <c r="DA727" s="13" t="s">
        <v>10348</v>
      </c>
      <c r="DB727" s="13" t="s">
        <v>10348</v>
      </c>
    </row>
    <row r="728" spans="1:106" s="13" customFormat="1" ht="12.75" customHeight="1" x14ac:dyDescent="0.2">
      <c r="A728" s="13" t="s">
        <v>102</v>
      </c>
      <c r="B728" s="13" t="s">
        <v>103</v>
      </c>
      <c r="D728" s="13" t="s">
        <v>7712</v>
      </c>
      <c r="E728" s="13" t="s">
        <v>471</v>
      </c>
      <c r="F728" s="13" t="s">
        <v>7712</v>
      </c>
      <c r="G728" s="13" t="s">
        <v>229</v>
      </c>
      <c r="H728" s="13" t="s">
        <v>820</v>
      </c>
      <c r="J728" s="13" t="s">
        <v>106</v>
      </c>
      <c r="W728" s="13">
        <v>727</v>
      </c>
      <c r="X728" s="13">
        <v>727</v>
      </c>
      <c r="Y728" s="13" t="s">
        <v>107</v>
      </c>
      <c r="Z728" s="13" t="s">
        <v>108</v>
      </c>
      <c r="AA728" s="36" t="s">
        <v>107</v>
      </c>
      <c r="AB728" s="13" t="s">
        <v>7895</v>
      </c>
      <c r="AC728" s="13" t="s">
        <v>7895</v>
      </c>
      <c r="AD728" s="13" t="s">
        <v>7895</v>
      </c>
      <c r="AE728" s="20" t="s">
        <v>112</v>
      </c>
      <c r="AF728" s="13" t="s">
        <v>7895</v>
      </c>
      <c r="AG728" s="13" t="s">
        <v>7895</v>
      </c>
      <c r="AH728" s="20" t="s">
        <v>7896</v>
      </c>
      <c r="AL728" s="13" t="s">
        <v>7897</v>
      </c>
      <c r="AN728" s="13">
        <v>329</v>
      </c>
      <c r="AO728" s="13" t="s">
        <v>7898</v>
      </c>
      <c r="AQ728" s="13" t="s">
        <v>7895</v>
      </c>
      <c r="AR728" s="13" t="s">
        <v>7895</v>
      </c>
      <c r="AS728" s="13" t="s">
        <v>116</v>
      </c>
      <c r="AT728" s="13" t="s">
        <v>7899</v>
      </c>
      <c r="AU728" s="13" t="s">
        <v>7860</v>
      </c>
      <c r="AV728" s="14" t="s">
        <v>2204</v>
      </c>
      <c r="AW728" s="15" t="s">
        <v>1691</v>
      </c>
      <c r="AX728" s="15" t="s">
        <v>1692</v>
      </c>
      <c r="AY728" s="13" t="s">
        <v>7899</v>
      </c>
      <c r="AZ728" s="13" t="s">
        <v>7900</v>
      </c>
      <c r="BA728" s="13" t="s">
        <v>7900</v>
      </c>
      <c r="BB728" s="13" t="s">
        <v>7901</v>
      </c>
      <c r="BC728" s="13" t="s">
        <v>7902</v>
      </c>
      <c r="BD728" s="13">
        <f t="shared" si="26"/>
        <v>56</v>
      </c>
      <c r="BE728" s="13" t="s">
        <v>1697</v>
      </c>
      <c r="BF728" s="13" t="s">
        <v>951</v>
      </c>
      <c r="BG728" s="13" t="s">
        <v>2454</v>
      </c>
      <c r="BJ728" s="13" t="s">
        <v>7903</v>
      </c>
      <c r="BO728" s="13" t="s">
        <v>7865</v>
      </c>
      <c r="BS728" s="13" t="s">
        <v>127</v>
      </c>
      <c r="BU728" s="13" t="s">
        <v>129</v>
      </c>
      <c r="BX728" s="13" t="s">
        <v>7904</v>
      </c>
      <c r="DA728" s="13" t="s">
        <v>10348</v>
      </c>
      <c r="DB728" s="13" t="s">
        <v>10348</v>
      </c>
    </row>
    <row r="729" spans="1:106" s="13" customFormat="1" ht="12.75" customHeight="1" x14ac:dyDescent="0.2">
      <c r="A729" s="13" t="s">
        <v>102</v>
      </c>
      <c r="B729" s="13" t="s">
        <v>103</v>
      </c>
      <c r="D729" s="13" t="s">
        <v>7712</v>
      </c>
      <c r="E729" s="13" t="s">
        <v>471</v>
      </c>
      <c r="F729" s="13" t="s">
        <v>7712</v>
      </c>
      <c r="G729" s="13" t="s">
        <v>229</v>
      </c>
      <c r="H729" s="13" t="s">
        <v>820</v>
      </c>
      <c r="J729" s="13" t="s">
        <v>106</v>
      </c>
      <c r="W729" s="13">
        <v>728</v>
      </c>
      <c r="X729" s="13">
        <v>728</v>
      </c>
      <c r="Y729" s="13" t="s">
        <v>107</v>
      </c>
      <c r="Z729" s="13" t="s">
        <v>108</v>
      </c>
      <c r="AA729" s="36" t="s">
        <v>107</v>
      </c>
      <c r="AB729" s="13" t="s">
        <v>7905</v>
      </c>
      <c r="AC729" s="13" t="s">
        <v>7905</v>
      </c>
      <c r="AD729" s="13" t="s">
        <v>7905</v>
      </c>
      <c r="AE729" s="20" t="s">
        <v>112</v>
      </c>
      <c r="AF729" s="13" t="s">
        <v>7905</v>
      </c>
      <c r="AG729" s="13" t="s">
        <v>7905</v>
      </c>
      <c r="AH729" s="20" t="s">
        <v>7906</v>
      </c>
      <c r="AL729" s="13" t="s">
        <v>7907</v>
      </c>
      <c r="AN729" s="13">
        <v>329</v>
      </c>
      <c r="AO729" s="13" t="s">
        <v>7908</v>
      </c>
      <c r="AQ729" s="13" t="s">
        <v>7905</v>
      </c>
      <c r="AR729" s="13" t="s">
        <v>7905</v>
      </c>
      <c r="AS729" s="13" t="s">
        <v>116</v>
      </c>
      <c r="AT729" s="13" t="s">
        <v>7909</v>
      </c>
      <c r="AU729" s="13" t="s">
        <v>7860</v>
      </c>
      <c r="AV729" s="14" t="s">
        <v>2204</v>
      </c>
      <c r="AW729" s="15" t="s">
        <v>1691</v>
      </c>
      <c r="AX729" s="15" t="s">
        <v>1692</v>
      </c>
      <c r="AY729" s="13" t="s">
        <v>7909</v>
      </c>
      <c r="AZ729" s="13" t="s">
        <v>7910</v>
      </c>
      <c r="BA729" s="13" t="s">
        <v>7910</v>
      </c>
      <c r="BB729" s="13" t="s">
        <v>7911</v>
      </c>
      <c r="BC729" s="13" t="s">
        <v>7912</v>
      </c>
      <c r="BD729" s="13">
        <f t="shared" si="26"/>
        <v>56</v>
      </c>
      <c r="BE729" s="13" t="s">
        <v>1697</v>
      </c>
      <c r="BF729" s="13" t="s">
        <v>951</v>
      </c>
      <c r="BG729" s="13" t="s">
        <v>2454</v>
      </c>
      <c r="BJ729" s="13" t="s">
        <v>2212</v>
      </c>
      <c r="BO729" s="13" t="s">
        <v>7865</v>
      </c>
      <c r="BS729" s="13" t="s">
        <v>127</v>
      </c>
      <c r="BU729" s="13" t="s">
        <v>129</v>
      </c>
      <c r="BX729" s="13" t="s">
        <v>7913</v>
      </c>
      <c r="DA729" s="13" t="s">
        <v>10348</v>
      </c>
      <c r="DB729" s="13" t="s">
        <v>10348</v>
      </c>
    </row>
    <row r="730" spans="1:106" s="13" customFormat="1" ht="12.75" customHeight="1" x14ac:dyDescent="0.2">
      <c r="A730" s="13" t="s">
        <v>102</v>
      </c>
      <c r="B730" s="13" t="s">
        <v>103</v>
      </c>
      <c r="D730" s="13" t="s">
        <v>7712</v>
      </c>
      <c r="E730" s="13" t="s">
        <v>471</v>
      </c>
      <c r="F730" s="13" t="s">
        <v>7712</v>
      </c>
      <c r="G730" s="13" t="s">
        <v>229</v>
      </c>
      <c r="H730" s="13" t="s">
        <v>820</v>
      </c>
      <c r="J730" s="13" t="s">
        <v>106</v>
      </c>
      <c r="W730" s="13">
        <v>729</v>
      </c>
      <c r="X730" s="13">
        <v>729</v>
      </c>
      <c r="Y730" s="13" t="s">
        <v>107</v>
      </c>
      <c r="Z730" s="13" t="s">
        <v>108</v>
      </c>
      <c r="AA730" s="36" t="s">
        <v>107</v>
      </c>
      <c r="AB730" s="13" t="s">
        <v>7914</v>
      </c>
      <c r="AC730" s="13" t="s">
        <v>7914</v>
      </c>
      <c r="AD730" s="13" t="s">
        <v>7914</v>
      </c>
      <c r="AE730" s="20" t="s">
        <v>112</v>
      </c>
      <c r="AF730" s="13" t="s">
        <v>7914</v>
      </c>
      <c r="AG730" s="13" t="s">
        <v>7914</v>
      </c>
      <c r="AH730" s="20" t="s">
        <v>7915</v>
      </c>
      <c r="AL730" s="13" t="s">
        <v>7916</v>
      </c>
      <c r="AN730" s="13">
        <v>329</v>
      </c>
      <c r="AO730" s="13" t="s">
        <v>7917</v>
      </c>
      <c r="AQ730" s="13" t="s">
        <v>7914</v>
      </c>
      <c r="AR730" s="13" t="s">
        <v>7914</v>
      </c>
      <c r="AS730" s="13" t="s">
        <v>116</v>
      </c>
      <c r="AT730" s="13" t="s">
        <v>7918</v>
      </c>
      <c r="AU730" s="13" t="s">
        <v>7860</v>
      </c>
      <c r="AV730" s="14" t="s">
        <v>2204</v>
      </c>
      <c r="AW730" s="15" t="s">
        <v>1691</v>
      </c>
      <c r="AX730" s="15" t="s">
        <v>1692</v>
      </c>
      <c r="AY730" s="13" t="s">
        <v>7918</v>
      </c>
      <c r="AZ730" s="13" t="s">
        <v>7919</v>
      </c>
      <c r="BA730" s="13" t="s">
        <v>7919</v>
      </c>
      <c r="BB730" s="13" t="s">
        <v>7920</v>
      </c>
      <c r="BC730" s="13" t="s">
        <v>7921</v>
      </c>
      <c r="BD730" s="13">
        <f t="shared" si="26"/>
        <v>57</v>
      </c>
      <c r="BE730" s="13" t="s">
        <v>1697</v>
      </c>
      <c r="BF730" s="13" t="s">
        <v>951</v>
      </c>
      <c r="BG730" s="13" t="s">
        <v>2454</v>
      </c>
      <c r="BJ730" s="13" t="s">
        <v>7922</v>
      </c>
      <c r="BO730" s="13" t="s">
        <v>7865</v>
      </c>
      <c r="BS730" s="13" t="s">
        <v>127</v>
      </c>
      <c r="BU730" s="13" t="s">
        <v>129</v>
      </c>
      <c r="BX730" s="13" t="s">
        <v>7923</v>
      </c>
      <c r="DA730" s="13" t="s">
        <v>10348</v>
      </c>
      <c r="DB730" s="13" t="s">
        <v>10348</v>
      </c>
    </row>
    <row r="731" spans="1:106" s="13" customFormat="1" ht="12.75" customHeight="1" x14ac:dyDescent="0.2">
      <c r="A731" s="13" t="s">
        <v>102</v>
      </c>
      <c r="B731" s="13" t="s">
        <v>103</v>
      </c>
      <c r="D731" s="13" t="s">
        <v>7712</v>
      </c>
      <c r="E731" s="13" t="s">
        <v>471</v>
      </c>
      <c r="F731" s="13" t="s">
        <v>7712</v>
      </c>
      <c r="G731" s="13" t="s">
        <v>229</v>
      </c>
      <c r="H731" s="13" t="s">
        <v>820</v>
      </c>
      <c r="J731" s="13" t="s">
        <v>106</v>
      </c>
      <c r="W731" s="13">
        <v>730</v>
      </c>
      <c r="X731" s="13">
        <v>730</v>
      </c>
      <c r="Y731" s="13" t="s">
        <v>107</v>
      </c>
      <c r="Z731" s="13" t="s">
        <v>108</v>
      </c>
      <c r="AA731" s="36" t="s">
        <v>107</v>
      </c>
      <c r="AB731" s="13" t="s">
        <v>7924</v>
      </c>
      <c r="AC731" s="13" t="s">
        <v>7924</v>
      </c>
      <c r="AD731" s="13" t="s">
        <v>7924</v>
      </c>
      <c r="AE731" s="20" t="s">
        <v>112</v>
      </c>
      <c r="AF731" s="13" t="s">
        <v>7924</v>
      </c>
      <c r="AG731" s="13" t="s">
        <v>7924</v>
      </c>
      <c r="AH731" s="20" t="s">
        <v>7925</v>
      </c>
      <c r="AL731" s="13" t="s">
        <v>7926</v>
      </c>
      <c r="AN731" s="13">
        <v>329</v>
      </c>
      <c r="AO731" s="13" t="s">
        <v>7927</v>
      </c>
      <c r="AQ731" s="13" t="s">
        <v>7924</v>
      </c>
      <c r="AR731" s="13" t="s">
        <v>7924</v>
      </c>
      <c r="AS731" s="13" t="s">
        <v>116</v>
      </c>
      <c r="AT731" s="13" t="s">
        <v>7928</v>
      </c>
      <c r="AU731" s="13" t="s">
        <v>7860</v>
      </c>
      <c r="AV731" s="14" t="s">
        <v>2204</v>
      </c>
      <c r="AW731" s="15" t="s">
        <v>1691</v>
      </c>
      <c r="AX731" s="15" t="s">
        <v>1692</v>
      </c>
      <c r="AY731" s="13" t="s">
        <v>7928</v>
      </c>
      <c r="AZ731" s="13" t="s">
        <v>7929</v>
      </c>
      <c r="BA731" s="13" t="s">
        <v>7929</v>
      </c>
      <c r="BB731" s="13" t="s">
        <v>7930</v>
      </c>
      <c r="BC731" s="13" t="s">
        <v>7931</v>
      </c>
      <c r="BD731" s="13">
        <f t="shared" si="26"/>
        <v>57</v>
      </c>
      <c r="BE731" s="13" t="s">
        <v>1697</v>
      </c>
      <c r="BF731" s="13" t="s">
        <v>951</v>
      </c>
      <c r="BG731" s="13" t="s">
        <v>2454</v>
      </c>
      <c r="BJ731" s="13" t="s">
        <v>2228</v>
      </c>
      <c r="BO731" s="13" t="s">
        <v>7865</v>
      </c>
      <c r="BS731" s="13" t="s">
        <v>127</v>
      </c>
      <c r="BU731" s="13" t="s">
        <v>129</v>
      </c>
      <c r="BX731" s="13" t="s">
        <v>7932</v>
      </c>
      <c r="DA731" s="13" t="s">
        <v>10348</v>
      </c>
      <c r="DB731" s="13" t="s">
        <v>10348</v>
      </c>
    </row>
    <row r="732" spans="1:106" s="13" customFormat="1" ht="12.75" customHeight="1" x14ac:dyDescent="0.2">
      <c r="A732" s="13" t="s">
        <v>102</v>
      </c>
      <c r="B732" s="13" t="s">
        <v>103</v>
      </c>
      <c r="D732" s="13" t="s">
        <v>7712</v>
      </c>
      <c r="E732" s="13" t="s">
        <v>471</v>
      </c>
      <c r="F732" s="13" t="s">
        <v>7712</v>
      </c>
      <c r="G732" s="13" t="s">
        <v>229</v>
      </c>
      <c r="H732" s="13" t="s">
        <v>820</v>
      </c>
      <c r="J732" s="13" t="s">
        <v>106</v>
      </c>
      <c r="W732" s="13">
        <v>731</v>
      </c>
      <c r="X732" s="13">
        <v>731</v>
      </c>
      <c r="Y732" s="13" t="s">
        <v>107</v>
      </c>
      <c r="Z732" s="13" t="s">
        <v>108</v>
      </c>
      <c r="AA732" s="36" t="s">
        <v>107</v>
      </c>
      <c r="AB732" s="13" t="s">
        <v>7933</v>
      </c>
      <c r="AC732" s="13" t="s">
        <v>7933</v>
      </c>
      <c r="AD732" s="13" t="s">
        <v>7933</v>
      </c>
      <c r="AE732" s="20" t="s">
        <v>112</v>
      </c>
      <c r="AF732" s="13" t="s">
        <v>7933</v>
      </c>
      <c r="AG732" s="13" t="s">
        <v>7933</v>
      </c>
      <c r="AH732" s="20" t="s">
        <v>7934</v>
      </c>
      <c r="AL732" s="13" t="s">
        <v>7935</v>
      </c>
      <c r="AN732" s="13">
        <v>329</v>
      </c>
      <c r="AO732" s="13" t="s">
        <v>7936</v>
      </c>
      <c r="AQ732" s="13" t="s">
        <v>7933</v>
      </c>
      <c r="AR732" s="13" t="s">
        <v>7933</v>
      </c>
      <c r="AS732" s="13" t="s">
        <v>116</v>
      </c>
      <c r="AT732" s="13" t="s">
        <v>7937</v>
      </c>
      <c r="AU732" s="13" t="s">
        <v>7860</v>
      </c>
      <c r="AV732" s="14" t="s">
        <v>2204</v>
      </c>
      <c r="AW732" s="15" t="s">
        <v>1691</v>
      </c>
      <c r="AX732" s="15" t="s">
        <v>1692</v>
      </c>
      <c r="AY732" s="13" t="s">
        <v>7937</v>
      </c>
      <c r="AZ732" s="13" t="s">
        <v>7938</v>
      </c>
      <c r="BA732" s="13" t="s">
        <v>7938</v>
      </c>
      <c r="BB732" s="13" t="s">
        <v>7939</v>
      </c>
      <c r="BC732" s="13" t="s">
        <v>7940</v>
      </c>
      <c r="BD732" s="13">
        <f t="shared" si="26"/>
        <v>57</v>
      </c>
      <c r="BE732" s="13" t="s">
        <v>1697</v>
      </c>
      <c r="BF732" s="13" t="s">
        <v>951</v>
      </c>
      <c r="BG732" s="13" t="s">
        <v>2454</v>
      </c>
      <c r="BJ732" s="13" t="s">
        <v>7941</v>
      </c>
      <c r="BO732" s="13" t="s">
        <v>7865</v>
      </c>
      <c r="BS732" s="13" t="s">
        <v>127</v>
      </c>
      <c r="BU732" s="13" t="s">
        <v>129</v>
      </c>
      <c r="BX732" s="13" t="s">
        <v>7942</v>
      </c>
      <c r="DA732" s="13" t="s">
        <v>10348</v>
      </c>
      <c r="DB732" s="13" t="s">
        <v>10348</v>
      </c>
    </row>
    <row r="733" spans="1:106" s="13" customFormat="1" ht="12.75" customHeight="1" x14ac:dyDescent="0.2">
      <c r="A733" s="13" t="s">
        <v>102</v>
      </c>
      <c r="B733" s="13" t="s">
        <v>103</v>
      </c>
      <c r="D733" s="13" t="s">
        <v>7712</v>
      </c>
      <c r="E733" s="13" t="s">
        <v>471</v>
      </c>
      <c r="F733" s="13" t="s">
        <v>7712</v>
      </c>
      <c r="G733" s="13" t="s">
        <v>229</v>
      </c>
      <c r="H733" s="13" t="s">
        <v>820</v>
      </c>
      <c r="J733" s="13" t="s">
        <v>106</v>
      </c>
      <c r="W733" s="13">
        <v>732</v>
      </c>
      <c r="X733" s="13">
        <v>732</v>
      </c>
      <c r="Y733" s="13" t="s">
        <v>107</v>
      </c>
      <c r="Z733" s="13" t="s">
        <v>108</v>
      </c>
      <c r="AA733" s="36" t="s">
        <v>107</v>
      </c>
      <c r="AB733" s="13" t="s">
        <v>7943</v>
      </c>
      <c r="AC733" s="13" t="s">
        <v>7943</v>
      </c>
      <c r="AD733" s="13" t="s">
        <v>7943</v>
      </c>
      <c r="AE733" s="20" t="s">
        <v>112</v>
      </c>
      <c r="AF733" s="13" t="s">
        <v>7943</v>
      </c>
      <c r="AG733" s="13" t="s">
        <v>7943</v>
      </c>
      <c r="AH733" s="20" t="s">
        <v>7944</v>
      </c>
      <c r="AL733" s="13" t="s">
        <v>7945</v>
      </c>
      <c r="AN733" s="13">
        <v>329</v>
      </c>
      <c r="AO733" s="13" t="s">
        <v>7946</v>
      </c>
      <c r="AQ733" s="13" t="s">
        <v>7943</v>
      </c>
      <c r="AR733" s="13" t="s">
        <v>7943</v>
      </c>
      <c r="AS733" s="13" t="s">
        <v>116</v>
      </c>
      <c r="AT733" s="13" t="s">
        <v>7947</v>
      </c>
      <c r="AU733" s="13" t="s">
        <v>7860</v>
      </c>
      <c r="AV733" s="14" t="s">
        <v>2204</v>
      </c>
      <c r="AW733" s="15" t="s">
        <v>1691</v>
      </c>
      <c r="AX733" s="15" t="s">
        <v>1692</v>
      </c>
      <c r="AY733" s="13" t="s">
        <v>7947</v>
      </c>
      <c r="AZ733" s="13" t="s">
        <v>7948</v>
      </c>
      <c r="BA733" s="13" t="s">
        <v>7948</v>
      </c>
      <c r="BB733" s="13" t="s">
        <v>7949</v>
      </c>
      <c r="BC733" s="13" t="s">
        <v>7950</v>
      </c>
      <c r="BD733" s="13">
        <f t="shared" si="26"/>
        <v>57</v>
      </c>
      <c r="BE733" s="13" t="s">
        <v>1697</v>
      </c>
      <c r="BF733" s="13" t="s">
        <v>951</v>
      </c>
      <c r="BG733" s="13" t="s">
        <v>2454</v>
      </c>
      <c r="BJ733" s="13" t="s">
        <v>7951</v>
      </c>
      <c r="BO733" s="13" t="s">
        <v>7865</v>
      </c>
      <c r="BS733" s="13" t="s">
        <v>127</v>
      </c>
      <c r="BU733" s="13" t="s">
        <v>129</v>
      </c>
      <c r="BX733" s="13" t="s">
        <v>7952</v>
      </c>
      <c r="DA733" s="13" t="s">
        <v>10348</v>
      </c>
      <c r="DB733" s="13" t="s">
        <v>10348</v>
      </c>
    </row>
    <row r="734" spans="1:106" s="13" customFormat="1" ht="12.75" customHeight="1" x14ac:dyDescent="0.2">
      <c r="A734" s="13" t="s">
        <v>102</v>
      </c>
      <c r="B734" s="13" t="s">
        <v>103</v>
      </c>
      <c r="D734" s="13" t="s">
        <v>7712</v>
      </c>
      <c r="E734" s="13" t="s">
        <v>471</v>
      </c>
      <c r="F734" s="13" t="s">
        <v>7712</v>
      </c>
      <c r="G734" s="13" t="s">
        <v>229</v>
      </c>
      <c r="H734" s="13" t="s">
        <v>820</v>
      </c>
      <c r="J734" s="13" t="s">
        <v>106</v>
      </c>
      <c r="W734" s="13">
        <v>733</v>
      </c>
      <c r="X734" s="13">
        <v>733</v>
      </c>
      <c r="Y734" s="13" t="s">
        <v>107</v>
      </c>
      <c r="Z734" s="13" t="s">
        <v>108</v>
      </c>
      <c r="AA734" s="36" t="s">
        <v>107</v>
      </c>
      <c r="AB734" s="13" t="s">
        <v>7953</v>
      </c>
      <c r="AC734" s="13" t="s">
        <v>7953</v>
      </c>
      <c r="AD734" s="13" t="s">
        <v>7953</v>
      </c>
      <c r="AE734" s="20" t="s">
        <v>112</v>
      </c>
      <c r="AF734" s="13" t="s">
        <v>7953</v>
      </c>
      <c r="AG734" s="13" t="s">
        <v>7953</v>
      </c>
      <c r="AH734" s="20" t="s">
        <v>7954</v>
      </c>
      <c r="AL734" s="13" t="s">
        <v>7955</v>
      </c>
      <c r="AN734" s="13">
        <v>329</v>
      </c>
      <c r="AO734" s="13" t="s">
        <v>7956</v>
      </c>
      <c r="AQ734" s="13" t="s">
        <v>7953</v>
      </c>
      <c r="AR734" s="13" t="s">
        <v>7953</v>
      </c>
      <c r="AS734" s="13" t="s">
        <v>116</v>
      </c>
      <c r="AT734" s="13" t="s">
        <v>7957</v>
      </c>
      <c r="AU734" s="13" t="s">
        <v>7958</v>
      </c>
      <c r="AV734" s="14" t="s">
        <v>2204</v>
      </c>
      <c r="AW734" s="15" t="s">
        <v>1691</v>
      </c>
      <c r="AX734" s="15" t="s">
        <v>1692</v>
      </c>
      <c r="AY734" s="13" t="s">
        <v>7957</v>
      </c>
      <c r="AZ734" s="13" t="s">
        <v>7959</v>
      </c>
      <c r="BA734" s="13" t="s">
        <v>7959</v>
      </c>
      <c r="BB734" s="13" t="s">
        <v>7960</v>
      </c>
      <c r="BC734" s="13" t="s">
        <v>7960</v>
      </c>
      <c r="BD734" s="13">
        <f t="shared" si="26"/>
        <v>39</v>
      </c>
      <c r="BE734" s="13" t="s">
        <v>1697</v>
      </c>
      <c r="BF734" s="13" t="s">
        <v>2453</v>
      </c>
      <c r="BG734" s="13" t="s">
        <v>2454</v>
      </c>
      <c r="BJ734" s="13" t="s">
        <v>7961</v>
      </c>
      <c r="BS734" s="13" t="s">
        <v>127</v>
      </c>
      <c r="BU734" s="13" t="s">
        <v>129</v>
      </c>
      <c r="BX734" s="13" t="s">
        <v>7962</v>
      </c>
      <c r="CC734" s="13" t="s">
        <v>7963</v>
      </c>
      <c r="DA734" s="13" t="s">
        <v>10348</v>
      </c>
      <c r="DB734" s="13" t="s">
        <v>10348</v>
      </c>
    </row>
    <row r="735" spans="1:106" s="13" customFormat="1" ht="12.75" customHeight="1" x14ac:dyDescent="0.2">
      <c r="A735" s="13" t="s">
        <v>102</v>
      </c>
      <c r="B735" s="13" t="s">
        <v>103</v>
      </c>
      <c r="D735" s="13" t="s">
        <v>7712</v>
      </c>
      <c r="E735" s="13" t="s">
        <v>471</v>
      </c>
      <c r="F735" s="13" t="s">
        <v>7712</v>
      </c>
      <c r="G735" s="13" t="s">
        <v>229</v>
      </c>
      <c r="H735" s="13" t="s">
        <v>820</v>
      </c>
      <c r="J735" s="13" t="s">
        <v>106</v>
      </c>
      <c r="W735" s="13">
        <v>734</v>
      </c>
      <c r="X735" s="13">
        <v>734</v>
      </c>
      <c r="Y735" s="13" t="s">
        <v>107</v>
      </c>
      <c r="Z735" s="13" t="s">
        <v>108</v>
      </c>
      <c r="AA735" s="36" t="s">
        <v>107</v>
      </c>
      <c r="AB735" s="13" t="s">
        <v>7964</v>
      </c>
      <c r="AC735" s="13" t="s">
        <v>7964</v>
      </c>
      <c r="AD735" s="13" t="s">
        <v>7964</v>
      </c>
      <c r="AE735" s="20" t="s">
        <v>112</v>
      </c>
      <c r="AF735" s="13" t="s">
        <v>7964</v>
      </c>
      <c r="AG735" s="13" t="s">
        <v>7964</v>
      </c>
      <c r="AH735" s="20" t="s">
        <v>7965</v>
      </c>
      <c r="AL735" s="13" t="s">
        <v>7966</v>
      </c>
      <c r="AN735" s="13">
        <v>329</v>
      </c>
      <c r="AO735" s="13" t="s">
        <v>7967</v>
      </c>
      <c r="AQ735" s="13" t="s">
        <v>7964</v>
      </c>
      <c r="AR735" s="13" t="s">
        <v>7964</v>
      </c>
      <c r="AS735" s="13" t="s">
        <v>116</v>
      </c>
      <c r="AT735" s="13" t="s">
        <v>7968</v>
      </c>
      <c r="AU735" s="13" t="s">
        <v>7958</v>
      </c>
      <c r="AV735" s="14" t="s">
        <v>2204</v>
      </c>
      <c r="AW735" s="15" t="s">
        <v>1691</v>
      </c>
      <c r="AX735" s="15" t="s">
        <v>1692</v>
      </c>
      <c r="AY735" s="13" t="s">
        <v>7968</v>
      </c>
      <c r="AZ735" s="13" t="s">
        <v>7969</v>
      </c>
      <c r="BA735" s="13" t="s">
        <v>7969</v>
      </c>
      <c r="BB735" s="13" t="s">
        <v>7970</v>
      </c>
      <c r="BC735" s="13" t="s">
        <v>7970</v>
      </c>
      <c r="BD735" s="13">
        <f t="shared" si="26"/>
        <v>39</v>
      </c>
      <c r="BE735" s="13" t="s">
        <v>1697</v>
      </c>
      <c r="BF735" s="13" t="s">
        <v>2453</v>
      </c>
      <c r="BG735" s="13" t="s">
        <v>2454</v>
      </c>
      <c r="BJ735" s="13" t="s">
        <v>5953</v>
      </c>
      <c r="BS735" s="13" t="s">
        <v>127</v>
      </c>
      <c r="BU735" s="13" t="s">
        <v>129</v>
      </c>
      <c r="BX735" s="13" t="s">
        <v>7971</v>
      </c>
      <c r="CC735" s="13" t="s">
        <v>7963</v>
      </c>
      <c r="DA735" s="13" t="s">
        <v>10348</v>
      </c>
      <c r="DB735" s="13" t="s">
        <v>10348</v>
      </c>
    </row>
    <row r="736" spans="1:106" s="13" customFormat="1" ht="12.75" customHeight="1" x14ac:dyDescent="0.2">
      <c r="A736" s="13" t="s">
        <v>102</v>
      </c>
      <c r="B736" s="13" t="s">
        <v>103</v>
      </c>
      <c r="D736" s="13" t="s">
        <v>7712</v>
      </c>
      <c r="E736" s="13" t="s">
        <v>471</v>
      </c>
      <c r="F736" s="13" t="s">
        <v>7712</v>
      </c>
      <c r="G736" s="13" t="s">
        <v>229</v>
      </c>
      <c r="H736" s="13" t="s">
        <v>820</v>
      </c>
      <c r="J736" s="13" t="s">
        <v>106</v>
      </c>
      <c r="W736" s="13">
        <v>735</v>
      </c>
      <c r="X736" s="13">
        <v>735</v>
      </c>
      <c r="Y736" s="13" t="s">
        <v>107</v>
      </c>
      <c r="Z736" s="13" t="s">
        <v>108</v>
      </c>
      <c r="AA736" s="36" t="s">
        <v>107</v>
      </c>
      <c r="AB736" s="13" t="s">
        <v>7972</v>
      </c>
      <c r="AC736" s="13" t="s">
        <v>7972</v>
      </c>
      <c r="AD736" s="13" t="s">
        <v>7972</v>
      </c>
      <c r="AE736" s="20" t="s">
        <v>112</v>
      </c>
      <c r="AF736" s="13" t="s">
        <v>7972</v>
      </c>
      <c r="AG736" s="13" t="s">
        <v>7972</v>
      </c>
      <c r="AH736" s="20" t="s">
        <v>7973</v>
      </c>
      <c r="AL736" s="13" t="s">
        <v>7974</v>
      </c>
      <c r="AN736" s="13">
        <v>329</v>
      </c>
      <c r="AO736" s="13" t="s">
        <v>7975</v>
      </c>
      <c r="AQ736" s="13" t="s">
        <v>7972</v>
      </c>
      <c r="AR736" s="13" t="s">
        <v>7972</v>
      </c>
      <c r="AS736" s="13" t="s">
        <v>116</v>
      </c>
      <c r="AT736" s="13" t="s">
        <v>7976</v>
      </c>
      <c r="AU736" s="13" t="s">
        <v>7958</v>
      </c>
      <c r="AV736" s="14" t="s">
        <v>2204</v>
      </c>
      <c r="AW736" s="15" t="s">
        <v>1691</v>
      </c>
      <c r="AX736" s="15" t="s">
        <v>1692</v>
      </c>
      <c r="AY736" s="13" t="s">
        <v>7976</v>
      </c>
      <c r="AZ736" s="13" t="s">
        <v>7977</v>
      </c>
      <c r="BA736" s="13" t="s">
        <v>7977</v>
      </c>
      <c r="BB736" s="13" t="s">
        <v>7978</v>
      </c>
      <c r="BC736" s="25" t="s">
        <v>7979</v>
      </c>
      <c r="BD736" s="13">
        <f t="shared" si="26"/>
        <v>56</v>
      </c>
      <c r="BE736" s="13" t="s">
        <v>1697</v>
      </c>
      <c r="BF736" s="13" t="s">
        <v>2453</v>
      </c>
      <c r="BG736" s="13" t="s">
        <v>2454</v>
      </c>
      <c r="BJ736" s="13" t="s">
        <v>7980</v>
      </c>
      <c r="BO736" s="13" t="s">
        <v>7981</v>
      </c>
      <c r="BS736" s="13" t="s">
        <v>127</v>
      </c>
      <c r="BU736" s="13" t="s">
        <v>129</v>
      </c>
      <c r="BX736" s="13" t="s">
        <v>7982</v>
      </c>
      <c r="CC736" s="13" t="s">
        <v>7963</v>
      </c>
      <c r="DA736" s="13" t="s">
        <v>10348</v>
      </c>
      <c r="DB736" s="13" t="s">
        <v>10348</v>
      </c>
    </row>
    <row r="737" spans="1:106" s="13" customFormat="1" ht="12.75" customHeight="1" x14ac:dyDescent="0.2">
      <c r="A737" s="13" t="s">
        <v>102</v>
      </c>
      <c r="B737" s="13" t="s">
        <v>103</v>
      </c>
      <c r="D737" s="13" t="s">
        <v>7712</v>
      </c>
      <c r="E737" s="13" t="s">
        <v>471</v>
      </c>
      <c r="F737" s="13" t="s">
        <v>7712</v>
      </c>
      <c r="G737" s="13" t="s">
        <v>229</v>
      </c>
      <c r="H737" s="13" t="s">
        <v>820</v>
      </c>
      <c r="J737" s="13" t="s">
        <v>106</v>
      </c>
      <c r="W737" s="13">
        <v>736</v>
      </c>
      <c r="X737" s="13">
        <v>736</v>
      </c>
      <c r="Y737" s="13" t="s">
        <v>107</v>
      </c>
      <c r="Z737" s="13" t="s">
        <v>108</v>
      </c>
      <c r="AA737" s="36" t="s">
        <v>107</v>
      </c>
      <c r="AB737" s="13" t="s">
        <v>7983</v>
      </c>
      <c r="AC737" s="13" t="s">
        <v>7983</v>
      </c>
      <c r="AD737" s="13" t="s">
        <v>7983</v>
      </c>
      <c r="AE737" s="20" t="s">
        <v>112</v>
      </c>
      <c r="AF737" s="13" t="s">
        <v>7983</v>
      </c>
      <c r="AG737" s="13" t="s">
        <v>7983</v>
      </c>
      <c r="AH737" s="20" t="s">
        <v>7984</v>
      </c>
      <c r="AL737" s="13" t="s">
        <v>7985</v>
      </c>
      <c r="AN737" s="13">
        <v>329</v>
      </c>
      <c r="AO737" s="13" t="s">
        <v>7986</v>
      </c>
      <c r="AQ737" s="13" t="s">
        <v>7983</v>
      </c>
      <c r="AR737" s="13" t="s">
        <v>7983</v>
      </c>
      <c r="AS737" s="13" t="s">
        <v>116</v>
      </c>
      <c r="AT737" s="13" t="s">
        <v>7987</v>
      </c>
      <c r="AU737" s="13" t="s">
        <v>7958</v>
      </c>
      <c r="AV737" s="14" t="s">
        <v>2204</v>
      </c>
      <c r="AW737" s="15" t="s">
        <v>1691</v>
      </c>
      <c r="AX737" s="15" t="s">
        <v>1692</v>
      </c>
      <c r="AY737" s="13" t="s">
        <v>7987</v>
      </c>
      <c r="AZ737" s="13" t="s">
        <v>7988</v>
      </c>
      <c r="BA737" s="13" t="s">
        <v>7988</v>
      </c>
      <c r="BB737" s="13" t="s">
        <v>7989</v>
      </c>
      <c r="BC737" s="13" t="s">
        <v>7990</v>
      </c>
      <c r="BD737" s="13">
        <f t="shared" si="26"/>
        <v>60</v>
      </c>
      <c r="BE737" s="13" t="s">
        <v>1697</v>
      </c>
      <c r="BF737" s="13" t="s">
        <v>2453</v>
      </c>
      <c r="BG737" s="13" t="s">
        <v>2454</v>
      </c>
      <c r="BJ737" s="13" t="s">
        <v>7991</v>
      </c>
      <c r="BO737" s="13" t="s">
        <v>7992</v>
      </c>
      <c r="BS737" s="13" t="s">
        <v>127</v>
      </c>
      <c r="BU737" s="13" t="s">
        <v>129</v>
      </c>
      <c r="BX737" s="13" t="s">
        <v>7993</v>
      </c>
      <c r="CC737" s="13" t="s">
        <v>7963</v>
      </c>
      <c r="DA737" s="13" t="s">
        <v>10348</v>
      </c>
      <c r="DB737" s="13" t="s">
        <v>10348</v>
      </c>
    </row>
    <row r="738" spans="1:106" s="13" customFormat="1" ht="12.75" customHeight="1" x14ac:dyDescent="0.2">
      <c r="A738" s="13" t="s">
        <v>102</v>
      </c>
      <c r="B738" s="13" t="s">
        <v>103</v>
      </c>
      <c r="D738" s="13" t="s">
        <v>7712</v>
      </c>
      <c r="E738" s="13" t="s">
        <v>471</v>
      </c>
      <c r="F738" s="13" t="s">
        <v>7712</v>
      </c>
      <c r="G738" s="13" t="s">
        <v>229</v>
      </c>
      <c r="H738" s="13" t="s">
        <v>820</v>
      </c>
      <c r="J738" s="13" t="s">
        <v>106</v>
      </c>
      <c r="W738" s="13">
        <v>737</v>
      </c>
      <c r="X738" s="13">
        <v>737</v>
      </c>
      <c r="Y738" s="13" t="s">
        <v>107</v>
      </c>
      <c r="Z738" s="13" t="s">
        <v>108</v>
      </c>
      <c r="AA738" s="36" t="s">
        <v>107</v>
      </c>
      <c r="AB738" s="13" t="s">
        <v>7994</v>
      </c>
      <c r="AC738" s="13" t="s">
        <v>7994</v>
      </c>
      <c r="AD738" s="13" t="s">
        <v>7994</v>
      </c>
      <c r="AE738" s="20" t="s">
        <v>112</v>
      </c>
      <c r="AF738" s="13" t="s">
        <v>7994</v>
      </c>
      <c r="AG738" s="13" t="s">
        <v>7994</v>
      </c>
      <c r="AH738" s="20" t="s">
        <v>7995</v>
      </c>
      <c r="AL738" s="13" t="s">
        <v>7996</v>
      </c>
      <c r="AN738" s="13">
        <v>329</v>
      </c>
      <c r="AO738" s="13" t="s">
        <v>7997</v>
      </c>
      <c r="AQ738" s="13" t="s">
        <v>7994</v>
      </c>
      <c r="AR738" s="13" t="s">
        <v>7994</v>
      </c>
      <c r="AS738" s="13" t="s">
        <v>116</v>
      </c>
      <c r="AT738" s="13" t="s">
        <v>7998</v>
      </c>
      <c r="AU738" s="13" t="s">
        <v>7958</v>
      </c>
      <c r="AV738" s="14" t="s">
        <v>2204</v>
      </c>
      <c r="AW738" s="15" t="s">
        <v>1691</v>
      </c>
      <c r="AX738" s="15" t="s">
        <v>1692</v>
      </c>
      <c r="AY738" s="13" t="s">
        <v>7998</v>
      </c>
      <c r="AZ738" s="13" t="s">
        <v>7999</v>
      </c>
      <c r="BA738" s="13" t="s">
        <v>7999</v>
      </c>
      <c r="BB738" s="13" t="s">
        <v>8000</v>
      </c>
      <c r="BC738" s="13" t="s">
        <v>8000</v>
      </c>
      <c r="BD738" s="13">
        <f t="shared" si="26"/>
        <v>60</v>
      </c>
      <c r="BE738" s="13" t="s">
        <v>1697</v>
      </c>
      <c r="BF738" s="13" t="s">
        <v>2453</v>
      </c>
      <c r="BG738" s="13" t="s">
        <v>2454</v>
      </c>
      <c r="BJ738" s="13" t="s">
        <v>8001</v>
      </c>
      <c r="BO738" s="13" t="s">
        <v>8002</v>
      </c>
      <c r="BS738" s="13" t="s">
        <v>127</v>
      </c>
      <c r="BU738" s="13" t="s">
        <v>129</v>
      </c>
      <c r="BX738" s="13" t="s">
        <v>8003</v>
      </c>
      <c r="CC738" s="13" t="s">
        <v>7963</v>
      </c>
      <c r="DA738" s="13" t="s">
        <v>10348</v>
      </c>
      <c r="DB738" s="13" t="s">
        <v>10348</v>
      </c>
    </row>
    <row r="739" spans="1:106" s="13" customFormat="1" ht="12.75" customHeight="1" x14ac:dyDescent="0.2">
      <c r="A739" s="13" t="s">
        <v>102</v>
      </c>
      <c r="B739" s="13" t="s">
        <v>103</v>
      </c>
      <c r="D739" s="13" t="s">
        <v>7712</v>
      </c>
      <c r="E739" s="13" t="s">
        <v>471</v>
      </c>
      <c r="F739" s="13" t="s">
        <v>7712</v>
      </c>
      <c r="G739" s="13" t="s">
        <v>229</v>
      </c>
      <c r="H739" s="13" t="s">
        <v>820</v>
      </c>
      <c r="J739" s="13" t="s">
        <v>106</v>
      </c>
      <c r="W739" s="13">
        <v>738</v>
      </c>
      <c r="X739" s="13">
        <v>738</v>
      </c>
      <c r="Y739" s="13" t="s">
        <v>107</v>
      </c>
      <c r="Z739" s="13" t="s">
        <v>108</v>
      </c>
      <c r="AA739" s="36" t="s">
        <v>107</v>
      </c>
      <c r="AB739" s="13" t="s">
        <v>8004</v>
      </c>
      <c r="AC739" s="13" t="s">
        <v>8004</v>
      </c>
      <c r="AD739" s="13" t="s">
        <v>8004</v>
      </c>
      <c r="AE739" s="20" t="s">
        <v>112</v>
      </c>
      <c r="AF739" s="13" t="s">
        <v>8004</v>
      </c>
      <c r="AG739" s="13" t="s">
        <v>8004</v>
      </c>
      <c r="AH739" s="20" t="s">
        <v>8005</v>
      </c>
      <c r="AL739" s="13" t="s">
        <v>8006</v>
      </c>
      <c r="AN739" s="13">
        <v>329</v>
      </c>
      <c r="AO739" s="13" t="s">
        <v>8007</v>
      </c>
      <c r="AQ739" s="13" t="s">
        <v>8004</v>
      </c>
      <c r="AR739" s="13" t="s">
        <v>8004</v>
      </c>
      <c r="AS739" s="13" t="s">
        <v>116</v>
      </c>
      <c r="AT739" s="13" t="s">
        <v>8008</v>
      </c>
      <c r="AU739" s="13" t="s">
        <v>7958</v>
      </c>
      <c r="AV739" s="14" t="s">
        <v>2204</v>
      </c>
      <c r="AW739" s="15" t="s">
        <v>1691</v>
      </c>
      <c r="AX739" s="15" t="s">
        <v>1692</v>
      </c>
      <c r="AY739" s="13" t="s">
        <v>8008</v>
      </c>
      <c r="AZ739" s="13" t="s">
        <v>8009</v>
      </c>
      <c r="BA739" s="13" t="s">
        <v>8009</v>
      </c>
      <c r="BB739" s="13" t="s">
        <v>8010</v>
      </c>
      <c r="BC739" s="13" t="s">
        <v>8010</v>
      </c>
      <c r="BD739" s="13">
        <f t="shared" si="26"/>
        <v>52</v>
      </c>
      <c r="BE739" s="13" t="s">
        <v>1697</v>
      </c>
      <c r="BF739" s="13" t="s">
        <v>2453</v>
      </c>
      <c r="BG739" s="13" t="s">
        <v>2454</v>
      </c>
      <c r="BJ739" s="13" t="s">
        <v>8011</v>
      </c>
      <c r="BO739" s="13" t="s">
        <v>8012</v>
      </c>
      <c r="BS739" s="13" t="s">
        <v>127</v>
      </c>
      <c r="BU739" s="13" t="s">
        <v>129</v>
      </c>
      <c r="BX739" s="13" t="s">
        <v>8013</v>
      </c>
      <c r="CC739" s="13" t="s">
        <v>7963</v>
      </c>
      <c r="DA739" s="13" t="s">
        <v>10348</v>
      </c>
      <c r="DB739" s="13" t="s">
        <v>10348</v>
      </c>
    </row>
    <row r="740" spans="1:106" s="13" customFormat="1" ht="12.75" customHeight="1" x14ac:dyDescent="0.2">
      <c r="A740" s="13" t="s">
        <v>102</v>
      </c>
      <c r="B740" s="13" t="s">
        <v>103</v>
      </c>
      <c r="D740" s="13" t="s">
        <v>7712</v>
      </c>
      <c r="E740" s="13" t="s">
        <v>471</v>
      </c>
      <c r="F740" s="13" t="s">
        <v>7712</v>
      </c>
      <c r="G740" s="13" t="s">
        <v>229</v>
      </c>
      <c r="H740" s="13" t="s">
        <v>820</v>
      </c>
      <c r="J740" s="13" t="s">
        <v>106</v>
      </c>
      <c r="W740" s="13">
        <v>739</v>
      </c>
      <c r="X740" s="13">
        <v>739</v>
      </c>
      <c r="Y740" s="13" t="s">
        <v>107</v>
      </c>
      <c r="Z740" s="13" t="s">
        <v>108</v>
      </c>
      <c r="AA740" s="36" t="s">
        <v>107</v>
      </c>
      <c r="AB740" s="13" t="s">
        <v>8014</v>
      </c>
      <c r="AC740" s="13" t="s">
        <v>8014</v>
      </c>
      <c r="AD740" s="13" t="s">
        <v>8014</v>
      </c>
      <c r="AE740" s="20" t="s">
        <v>112</v>
      </c>
      <c r="AF740" s="13" t="s">
        <v>8014</v>
      </c>
      <c r="AG740" s="13" t="s">
        <v>8014</v>
      </c>
      <c r="AH740" s="20" t="s">
        <v>8015</v>
      </c>
      <c r="AL740" s="13" t="s">
        <v>8016</v>
      </c>
      <c r="AN740" s="13">
        <v>329</v>
      </c>
      <c r="AO740" s="13" t="s">
        <v>8017</v>
      </c>
      <c r="AQ740" s="13" t="s">
        <v>8014</v>
      </c>
      <c r="AR740" s="13" t="s">
        <v>8014</v>
      </c>
      <c r="AS740" s="13" t="s">
        <v>116</v>
      </c>
      <c r="AT740" s="13" t="s">
        <v>8018</v>
      </c>
      <c r="AU740" s="13" t="s">
        <v>7958</v>
      </c>
      <c r="AV740" s="14" t="s">
        <v>2204</v>
      </c>
      <c r="AW740" s="15" t="s">
        <v>1691</v>
      </c>
      <c r="AX740" s="15" t="s">
        <v>1692</v>
      </c>
      <c r="AY740" s="13" t="s">
        <v>8018</v>
      </c>
      <c r="AZ740" s="13" t="s">
        <v>8019</v>
      </c>
      <c r="BA740" s="13" t="s">
        <v>8019</v>
      </c>
      <c r="BB740" s="13" t="s">
        <v>8020</v>
      </c>
      <c r="BC740" s="13" t="s">
        <v>8020</v>
      </c>
      <c r="BD740" s="13">
        <f t="shared" ref="BD740:BD771" si="27">LEN(SUBSTITUTE(BC740, ", ",","))</f>
        <v>39</v>
      </c>
      <c r="BE740" s="13" t="s">
        <v>1697</v>
      </c>
      <c r="BF740" s="13" t="s">
        <v>2453</v>
      </c>
      <c r="BG740" s="13" t="s">
        <v>2454</v>
      </c>
      <c r="BJ740" s="13" t="s">
        <v>8021</v>
      </c>
      <c r="BS740" s="13" t="s">
        <v>127</v>
      </c>
      <c r="BU740" s="13" t="s">
        <v>129</v>
      </c>
      <c r="BX740" s="13" t="s">
        <v>8022</v>
      </c>
      <c r="CC740" s="13" t="s">
        <v>7963</v>
      </c>
      <c r="DA740" s="13" t="s">
        <v>10348</v>
      </c>
      <c r="DB740" s="13" t="s">
        <v>10348</v>
      </c>
    </row>
    <row r="741" spans="1:106" s="13" customFormat="1" ht="12.75" customHeight="1" x14ac:dyDescent="0.2">
      <c r="A741" s="13" t="s">
        <v>102</v>
      </c>
      <c r="B741" s="13" t="s">
        <v>103</v>
      </c>
      <c r="D741" s="13" t="s">
        <v>7712</v>
      </c>
      <c r="E741" s="13" t="s">
        <v>471</v>
      </c>
      <c r="F741" s="13" t="s">
        <v>7712</v>
      </c>
      <c r="G741" s="13" t="s">
        <v>229</v>
      </c>
      <c r="H741" s="13" t="s">
        <v>820</v>
      </c>
      <c r="J741" s="13" t="s">
        <v>106</v>
      </c>
      <c r="W741" s="13">
        <v>740</v>
      </c>
      <c r="X741" s="13">
        <v>740</v>
      </c>
      <c r="Y741" s="13" t="s">
        <v>107</v>
      </c>
      <c r="Z741" s="13" t="s">
        <v>108</v>
      </c>
      <c r="AA741" s="36" t="s">
        <v>107</v>
      </c>
      <c r="AB741" s="13" t="s">
        <v>8023</v>
      </c>
      <c r="AC741" s="13" t="s">
        <v>8023</v>
      </c>
      <c r="AD741" s="13" t="s">
        <v>8023</v>
      </c>
      <c r="AE741" s="20" t="s">
        <v>112</v>
      </c>
      <c r="AF741" s="13" t="s">
        <v>8023</v>
      </c>
      <c r="AG741" s="13" t="s">
        <v>8023</v>
      </c>
      <c r="AH741" s="20" t="s">
        <v>8024</v>
      </c>
      <c r="AL741" s="13" t="s">
        <v>8025</v>
      </c>
      <c r="AN741" s="13">
        <v>329</v>
      </c>
      <c r="AO741" s="13" t="s">
        <v>8026</v>
      </c>
      <c r="AQ741" s="13" t="s">
        <v>8023</v>
      </c>
      <c r="AR741" s="13" t="s">
        <v>8023</v>
      </c>
      <c r="AS741" s="13" t="s">
        <v>116</v>
      </c>
      <c r="AT741" s="13" t="s">
        <v>8027</v>
      </c>
      <c r="AU741" s="13" t="s">
        <v>7958</v>
      </c>
      <c r="AV741" s="14" t="s">
        <v>2204</v>
      </c>
      <c r="AW741" s="15" t="s">
        <v>1691</v>
      </c>
      <c r="AX741" s="15" t="s">
        <v>1692</v>
      </c>
      <c r="AY741" s="13" t="s">
        <v>8027</v>
      </c>
      <c r="AZ741" s="13" t="s">
        <v>8028</v>
      </c>
      <c r="BA741" s="13" t="s">
        <v>8028</v>
      </c>
      <c r="BB741" s="13" t="s">
        <v>8029</v>
      </c>
      <c r="BC741" s="13" t="s">
        <v>8030</v>
      </c>
      <c r="BD741" s="13">
        <f t="shared" si="27"/>
        <v>60</v>
      </c>
      <c r="BE741" s="13" t="s">
        <v>1697</v>
      </c>
      <c r="BF741" s="13" t="s">
        <v>2453</v>
      </c>
      <c r="BG741" s="13" t="s">
        <v>2454</v>
      </c>
      <c r="BJ741" s="13" t="s">
        <v>8031</v>
      </c>
      <c r="BO741" s="13" t="s">
        <v>7992</v>
      </c>
      <c r="BS741" s="13" t="s">
        <v>127</v>
      </c>
      <c r="BU741" s="13" t="s">
        <v>129</v>
      </c>
      <c r="BX741" s="13" t="s">
        <v>8032</v>
      </c>
      <c r="CC741" s="13" t="s">
        <v>7963</v>
      </c>
      <c r="DA741" s="13" t="s">
        <v>10348</v>
      </c>
      <c r="DB741" s="13" t="s">
        <v>10348</v>
      </c>
    </row>
    <row r="742" spans="1:106" s="13" customFormat="1" ht="12.75" customHeight="1" x14ac:dyDescent="0.2">
      <c r="A742" s="13" t="s">
        <v>102</v>
      </c>
      <c r="B742" s="13" t="s">
        <v>103</v>
      </c>
      <c r="D742" s="13" t="s">
        <v>7712</v>
      </c>
      <c r="E742" s="13" t="s">
        <v>228</v>
      </c>
      <c r="F742" s="13" t="s">
        <v>7712</v>
      </c>
      <c r="G742" s="13" t="s">
        <v>229</v>
      </c>
      <c r="H742" s="13" t="s">
        <v>820</v>
      </c>
      <c r="J742" s="13" t="s">
        <v>106</v>
      </c>
      <c r="W742" s="13">
        <v>741</v>
      </c>
      <c r="X742" s="13">
        <v>741</v>
      </c>
      <c r="Y742" s="13" t="s">
        <v>107</v>
      </c>
      <c r="Z742" s="13" t="s">
        <v>108</v>
      </c>
      <c r="AA742" s="36" t="s">
        <v>107</v>
      </c>
      <c r="AB742" s="13" t="s">
        <v>8033</v>
      </c>
      <c r="AC742" s="13" t="s">
        <v>8033</v>
      </c>
      <c r="AD742" s="13" t="s">
        <v>8033</v>
      </c>
      <c r="AE742" s="20" t="s">
        <v>112</v>
      </c>
      <c r="AF742" s="13" t="s">
        <v>8033</v>
      </c>
      <c r="AG742" s="13" t="s">
        <v>8033</v>
      </c>
      <c r="AH742" s="20" t="s">
        <v>8034</v>
      </c>
      <c r="AL742" s="13" t="s">
        <v>8035</v>
      </c>
      <c r="AN742" s="13">
        <v>329</v>
      </c>
      <c r="AO742" s="13" t="s">
        <v>8036</v>
      </c>
      <c r="AQ742" s="13" t="s">
        <v>8033</v>
      </c>
      <c r="AR742" s="13" t="s">
        <v>8033</v>
      </c>
      <c r="AS742" s="13" t="s">
        <v>116</v>
      </c>
      <c r="AT742" s="13" t="s">
        <v>8037</v>
      </c>
      <c r="AU742" s="13" t="s">
        <v>7958</v>
      </c>
      <c r="AV742" s="14" t="s">
        <v>2204</v>
      </c>
      <c r="AW742" s="15" t="s">
        <v>1691</v>
      </c>
      <c r="AX742" s="15" t="s">
        <v>1692</v>
      </c>
      <c r="AY742" s="13" t="s">
        <v>8038</v>
      </c>
      <c r="AZ742" s="13" t="s">
        <v>8039</v>
      </c>
      <c r="BA742" s="13" t="s">
        <v>8039</v>
      </c>
      <c r="BB742" s="13" t="s">
        <v>8040</v>
      </c>
      <c r="BC742" s="13" t="s">
        <v>8040</v>
      </c>
      <c r="BD742" s="13">
        <f t="shared" si="27"/>
        <v>39</v>
      </c>
      <c r="BE742" s="13" t="s">
        <v>1697</v>
      </c>
      <c r="BF742" s="13" t="s">
        <v>2453</v>
      </c>
      <c r="BG742" s="13" t="s">
        <v>2454</v>
      </c>
      <c r="BJ742" s="13" t="s">
        <v>5964</v>
      </c>
      <c r="BS742" s="13" t="s">
        <v>127</v>
      </c>
      <c r="BU742" s="13" t="s">
        <v>129</v>
      </c>
      <c r="BX742" s="13" t="s">
        <v>8041</v>
      </c>
      <c r="DA742" s="13" t="s">
        <v>10348</v>
      </c>
      <c r="DB742" s="13" t="s">
        <v>10348</v>
      </c>
    </row>
    <row r="743" spans="1:106" s="13" customFormat="1" ht="12.75" customHeight="1" x14ac:dyDescent="0.2">
      <c r="A743" s="13" t="s">
        <v>102</v>
      </c>
      <c r="B743" s="13" t="s">
        <v>103</v>
      </c>
      <c r="D743" s="13" t="s">
        <v>7712</v>
      </c>
      <c r="E743" s="13" t="s">
        <v>228</v>
      </c>
      <c r="F743" s="13" t="s">
        <v>7712</v>
      </c>
      <c r="G743" s="13" t="s">
        <v>229</v>
      </c>
      <c r="H743" s="13" t="s">
        <v>820</v>
      </c>
      <c r="J743" s="13" t="s">
        <v>106</v>
      </c>
      <c r="W743" s="13">
        <v>742</v>
      </c>
      <c r="X743" s="13">
        <v>742</v>
      </c>
      <c r="Y743" s="13" t="s">
        <v>107</v>
      </c>
      <c r="Z743" s="13" t="s">
        <v>108</v>
      </c>
      <c r="AA743" s="13" t="s">
        <v>107</v>
      </c>
      <c r="AB743" s="13" t="s">
        <v>8042</v>
      </c>
      <c r="AC743" s="13" t="s">
        <v>8042</v>
      </c>
      <c r="AD743" s="13" t="s">
        <v>8042</v>
      </c>
      <c r="AE743" s="14" t="s">
        <v>112</v>
      </c>
      <c r="AF743" s="13" t="s">
        <v>8042</v>
      </c>
      <c r="AG743" s="13" t="s">
        <v>8042</v>
      </c>
      <c r="AH743" s="14" t="s">
        <v>8043</v>
      </c>
      <c r="AL743" s="13" t="s">
        <v>8044</v>
      </c>
      <c r="AN743" s="13">
        <v>329</v>
      </c>
      <c r="AO743" s="13" t="s">
        <v>8045</v>
      </c>
      <c r="AQ743" s="13" t="s">
        <v>8042</v>
      </c>
      <c r="AR743" s="13" t="s">
        <v>8042</v>
      </c>
      <c r="AS743" s="13" t="s">
        <v>116</v>
      </c>
      <c r="AT743" s="13" t="s">
        <v>8046</v>
      </c>
      <c r="AU743" s="13" t="s">
        <v>7958</v>
      </c>
      <c r="AV743" s="14" t="s">
        <v>2204</v>
      </c>
      <c r="AW743" s="15" t="s">
        <v>1691</v>
      </c>
      <c r="AX743" s="15" t="s">
        <v>1692</v>
      </c>
      <c r="AY743" s="13" t="s">
        <v>8047</v>
      </c>
      <c r="AZ743" s="13" t="s">
        <v>8048</v>
      </c>
      <c r="BA743" s="13" t="s">
        <v>8048</v>
      </c>
      <c r="BB743" s="13" t="s">
        <v>8049</v>
      </c>
      <c r="BC743" s="25" t="s">
        <v>8050</v>
      </c>
      <c r="BD743" s="13">
        <f t="shared" si="27"/>
        <v>57</v>
      </c>
      <c r="BE743" s="13" t="s">
        <v>1697</v>
      </c>
      <c r="BF743" s="13" t="s">
        <v>2453</v>
      </c>
      <c r="BG743" s="13" t="s">
        <v>2454</v>
      </c>
      <c r="BJ743" s="13" t="s">
        <v>8051</v>
      </c>
      <c r="BO743" s="13" t="s">
        <v>7981</v>
      </c>
      <c r="BS743" s="13" t="s">
        <v>127</v>
      </c>
      <c r="BU743" s="13" t="s">
        <v>129</v>
      </c>
      <c r="BX743" s="13" t="s">
        <v>8052</v>
      </c>
      <c r="DA743" s="13" t="s">
        <v>10348</v>
      </c>
      <c r="DB743" s="13" t="s">
        <v>10348</v>
      </c>
    </row>
    <row r="744" spans="1:106" s="13" customFormat="1" ht="12.75" customHeight="1" x14ac:dyDescent="0.2">
      <c r="A744" s="13" t="s">
        <v>102</v>
      </c>
      <c r="B744" s="13" t="s">
        <v>103</v>
      </c>
      <c r="D744" s="13" t="s">
        <v>7712</v>
      </c>
      <c r="E744" s="13" t="s">
        <v>471</v>
      </c>
      <c r="F744" s="13" t="s">
        <v>7712</v>
      </c>
      <c r="G744" s="13" t="s">
        <v>229</v>
      </c>
      <c r="H744" s="13" t="s">
        <v>820</v>
      </c>
      <c r="J744" s="13" t="s">
        <v>106</v>
      </c>
      <c r="W744" s="13">
        <v>743</v>
      </c>
      <c r="X744" s="13">
        <v>743</v>
      </c>
      <c r="Y744" s="13" t="s">
        <v>107</v>
      </c>
      <c r="Z744" s="13" t="s">
        <v>108</v>
      </c>
      <c r="AA744" s="13" t="s">
        <v>107</v>
      </c>
      <c r="AB744" s="13" t="s">
        <v>8053</v>
      </c>
      <c r="AC744" s="13" t="s">
        <v>8053</v>
      </c>
      <c r="AD744" s="13" t="s">
        <v>8053</v>
      </c>
      <c r="AE744" s="14" t="s">
        <v>112</v>
      </c>
      <c r="AF744" s="13" t="s">
        <v>8053</v>
      </c>
      <c r="AG744" s="13" t="s">
        <v>8053</v>
      </c>
      <c r="AH744" s="14" t="s">
        <v>8054</v>
      </c>
      <c r="AL744" s="13" t="s">
        <v>8055</v>
      </c>
      <c r="AN744" s="13">
        <v>329</v>
      </c>
      <c r="AO744" s="13" t="s">
        <v>8056</v>
      </c>
      <c r="AQ744" s="13" t="s">
        <v>8053</v>
      </c>
      <c r="AR744" s="13" t="s">
        <v>8053</v>
      </c>
      <c r="AS744" s="13" t="s">
        <v>116</v>
      </c>
      <c r="AT744" s="13" t="s">
        <v>8057</v>
      </c>
      <c r="AU744" s="13" t="s">
        <v>7958</v>
      </c>
      <c r="AV744" s="14" t="s">
        <v>2204</v>
      </c>
      <c r="AW744" s="15" t="s">
        <v>1691</v>
      </c>
      <c r="AX744" s="15" t="s">
        <v>1692</v>
      </c>
      <c r="AY744" s="13" t="s">
        <v>8057</v>
      </c>
      <c r="AZ744" s="13" t="s">
        <v>8058</v>
      </c>
      <c r="BA744" s="13" t="s">
        <v>8058</v>
      </c>
      <c r="BB744" s="13" t="s">
        <v>8059</v>
      </c>
      <c r="BC744" s="13" t="s">
        <v>8060</v>
      </c>
      <c r="BD744" s="13">
        <f t="shared" si="27"/>
        <v>57</v>
      </c>
      <c r="BE744" s="13" t="s">
        <v>1697</v>
      </c>
      <c r="BF744" s="13" t="s">
        <v>2453</v>
      </c>
      <c r="BG744" s="13" t="s">
        <v>2454</v>
      </c>
      <c r="BJ744" s="13" t="s">
        <v>8061</v>
      </c>
      <c r="BO744" s="13" t="s">
        <v>8002</v>
      </c>
      <c r="BS744" s="13" t="s">
        <v>127</v>
      </c>
      <c r="BU744" s="13" t="s">
        <v>129</v>
      </c>
      <c r="BX744" s="13" t="s">
        <v>8062</v>
      </c>
      <c r="CC744" s="13" t="s">
        <v>7963</v>
      </c>
      <c r="DA744" s="13" t="s">
        <v>10348</v>
      </c>
      <c r="DB744" s="13" t="s">
        <v>10348</v>
      </c>
    </row>
    <row r="745" spans="1:106" s="13" customFormat="1" ht="12.75" customHeight="1" x14ac:dyDescent="0.2">
      <c r="A745" s="13" t="s">
        <v>102</v>
      </c>
      <c r="B745" s="13" t="s">
        <v>103</v>
      </c>
      <c r="D745" s="13" t="s">
        <v>7712</v>
      </c>
      <c r="E745" s="13" t="s">
        <v>471</v>
      </c>
      <c r="F745" s="13" t="s">
        <v>7712</v>
      </c>
      <c r="G745" s="13" t="s">
        <v>229</v>
      </c>
      <c r="H745" s="13" t="s">
        <v>820</v>
      </c>
      <c r="J745" s="13" t="s">
        <v>106</v>
      </c>
      <c r="W745" s="13">
        <v>744</v>
      </c>
      <c r="X745" s="13">
        <v>744</v>
      </c>
      <c r="Y745" s="13" t="s">
        <v>107</v>
      </c>
      <c r="Z745" s="13" t="s">
        <v>108</v>
      </c>
      <c r="AA745" s="13" t="s">
        <v>107</v>
      </c>
      <c r="AB745" s="13" t="s">
        <v>8063</v>
      </c>
      <c r="AC745" s="13" t="s">
        <v>8063</v>
      </c>
      <c r="AD745" s="13" t="s">
        <v>8063</v>
      </c>
      <c r="AE745" s="14" t="s">
        <v>112</v>
      </c>
      <c r="AF745" s="13" t="s">
        <v>8063</v>
      </c>
      <c r="AG745" s="13" t="s">
        <v>8063</v>
      </c>
      <c r="AH745" s="14" t="s">
        <v>8064</v>
      </c>
      <c r="AL745" s="13" t="s">
        <v>8065</v>
      </c>
      <c r="AN745" s="13">
        <v>329</v>
      </c>
      <c r="AO745" s="13" t="s">
        <v>8066</v>
      </c>
      <c r="AQ745" s="13" t="s">
        <v>8063</v>
      </c>
      <c r="AR745" s="13" t="s">
        <v>8063</v>
      </c>
      <c r="AS745" s="13" t="s">
        <v>116</v>
      </c>
      <c r="AT745" s="13" t="s">
        <v>8067</v>
      </c>
      <c r="AU745" s="13" t="s">
        <v>7958</v>
      </c>
      <c r="AV745" s="14" t="s">
        <v>2204</v>
      </c>
      <c r="AW745" s="15" t="s">
        <v>1691</v>
      </c>
      <c r="AX745" s="15" t="s">
        <v>1692</v>
      </c>
      <c r="AY745" s="13" t="s">
        <v>8067</v>
      </c>
      <c r="AZ745" s="13" t="s">
        <v>8068</v>
      </c>
      <c r="BA745" s="13" t="s">
        <v>8068</v>
      </c>
      <c r="BB745" s="13" t="s">
        <v>8069</v>
      </c>
      <c r="BC745" s="13" t="s">
        <v>8069</v>
      </c>
      <c r="BD745" s="13">
        <f t="shared" si="27"/>
        <v>53</v>
      </c>
      <c r="BE745" s="13" t="s">
        <v>1697</v>
      </c>
      <c r="BF745" s="13" t="s">
        <v>2453</v>
      </c>
      <c r="BG745" s="13" t="s">
        <v>2454</v>
      </c>
      <c r="BJ745" s="13" t="s">
        <v>8070</v>
      </c>
      <c r="BO745" s="13" t="s">
        <v>8012</v>
      </c>
      <c r="BS745" s="13" t="s">
        <v>127</v>
      </c>
      <c r="BU745" s="13" t="s">
        <v>129</v>
      </c>
      <c r="BX745" s="13" t="s">
        <v>8071</v>
      </c>
      <c r="CC745" s="13" t="s">
        <v>7963</v>
      </c>
      <c r="DA745" s="13" t="s">
        <v>10348</v>
      </c>
      <c r="DB745" s="13" t="s">
        <v>10348</v>
      </c>
    </row>
    <row r="746" spans="1:106" s="13" customFormat="1" ht="12.75" customHeight="1" x14ac:dyDescent="0.2">
      <c r="A746" s="13" t="s">
        <v>102</v>
      </c>
      <c r="B746" s="13" t="s">
        <v>103</v>
      </c>
      <c r="D746" s="13" t="s">
        <v>7712</v>
      </c>
      <c r="E746" s="13" t="s">
        <v>471</v>
      </c>
      <c r="F746" s="13" t="s">
        <v>7712</v>
      </c>
      <c r="G746" s="13" t="s">
        <v>229</v>
      </c>
      <c r="H746" s="13" t="s">
        <v>820</v>
      </c>
      <c r="J746" s="13" t="s">
        <v>106</v>
      </c>
      <c r="W746" s="13">
        <v>745</v>
      </c>
      <c r="X746" s="13">
        <v>745</v>
      </c>
      <c r="Y746" s="13" t="s">
        <v>107</v>
      </c>
      <c r="Z746" s="13" t="s">
        <v>108</v>
      </c>
      <c r="AA746" s="13" t="s">
        <v>107</v>
      </c>
      <c r="AB746" s="13" t="s">
        <v>8072</v>
      </c>
      <c r="AC746" s="13" t="s">
        <v>8072</v>
      </c>
      <c r="AD746" s="13" t="s">
        <v>8072</v>
      </c>
      <c r="AE746" s="14" t="s">
        <v>112</v>
      </c>
      <c r="AF746" s="13" t="s">
        <v>8072</v>
      </c>
      <c r="AG746" s="13" t="s">
        <v>8072</v>
      </c>
      <c r="AH746" s="14" t="s">
        <v>8073</v>
      </c>
      <c r="AL746" s="13" t="s">
        <v>8074</v>
      </c>
      <c r="AN746" s="13">
        <v>329</v>
      </c>
      <c r="AO746" s="13" t="s">
        <v>8075</v>
      </c>
      <c r="AQ746" s="13" t="s">
        <v>8072</v>
      </c>
      <c r="AR746" s="13" t="s">
        <v>8072</v>
      </c>
      <c r="AS746" s="13" t="s">
        <v>116</v>
      </c>
      <c r="AT746" s="13" t="s">
        <v>8076</v>
      </c>
      <c r="AU746" s="13" t="s">
        <v>7958</v>
      </c>
      <c r="AV746" s="14" t="s">
        <v>2204</v>
      </c>
      <c r="AW746" s="15" t="s">
        <v>1691</v>
      </c>
      <c r="AX746" s="15" t="s">
        <v>1692</v>
      </c>
      <c r="AY746" s="13" t="s">
        <v>8076</v>
      </c>
      <c r="AZ746" s="13" t="s">
        <v>8077</v>
      </c>
      <c r="BA746" s="13" t="s">
        <v>8077</v>
      </c>
      <c r="BB746" s="13" t="s">
        <v>8078</v>
      </c>
      <c r="BC746" s="13" t="s">
        <v>8078</v>
      </c>
      <c r="BD746" s="13">
        <f t="shared" si="27"/>
        <v>40</v>
      </c>
      <c r="BE746" s="13" t="s">
        <v>1697</v>
      </c>
      <c r="BF746" s="13" t="s">
        <v>2453</v>
      </c>
      <c r="BG746" s="13" t="s">
        <v>2454</v>
      </c>
      <c r="BJ746" s="13" t="s">
        <v>5974</v>
      </c>
      <c r="BS746" s="13" t="s">
        <v>127</v>
      </c>
      <c r="BU746" s="13" t="s">
        <v>129</v>
      </c>
      <c r="BX746" s="13" t="s">
        <v>8079</v>
      </c>
      <c r="CC746" s="13" t="s">
        <v>7963</v>
      </c>
      <c r="DA746" s="13" t="s">
        <v>10348</v>
      </c>
      <c r="DB746" s="13" t="s">
        <v>10348</v>
      </c>
    </row>
    <row r="747" spans="1:106" s="13" customFormat="1" ht="12.75" customHeight="1" x14ac:dyDescent="0.2">
      <c r="A747" s="13" t="s">
        <v>102</v>
      </c>
      <c r="B747" s="13" t="s">
        <v>103</v>
      </c>
      <c r="D747" s="13" t="s">
        <v>7712</v>
      </c>
      <c r="E747" s="13" t="s">
        <v>471</v>
      </c>
      <c r="F747" s="13" t="s">
        <v>7712</v>
      </c>
      <c r="G747" s="13" t="s">
        <v>229</v>
      </c>
      <c r="H747" s="13" t="s">
        <v>820</v>
      </c>
      <c r="J747" s="13" t="s">
        <v>106</v>
      </c>
      <c r="W747" s="13">
        <v>746</v>
      </c>
      <c r="X747" s="13">
        <v>746</v>
      </c>
      <c r="Y747" s="13" t="s">
        <v>107</v>
      </c>
      <c r="Z747" s="13" t="s">
        <v>108</v>
      </c>
      <c r="AA747" s="13" t="s">
        <v>107</v>
      </c>
      <c r="AB747" s="13" t="s">
        <v>8080</v>
      </c>
      <c r="AC747" s="13" t="s">
        <v>8080</v>
      </c>
      <c r="AD747" s="13" t="s">
        <v>8080</v>
      </c>
      <c r="AE747" s="14" t="s">
        <v>112</v>
      </c>
      <c r="AF747" s="13" t="s">
        <v>8080</v>
      </c>
      <c r="AG747" s="13" t="s">
        <v>8080</v>
      </c>
      <c r="AH747" s="14" t="s">
        <v>8081</v>
      </c>
      <c r="AL747" s="13" t="s">
        <v>8082</v>
      </c>
      <c r="AN747" s="13">
        <v>329</v>
      </c>
      <c r="AO747" s="13" t="s">
        <v>8083</v>
      </c>
      <c r="AQ747" s="13" t="s">
        <v>8080</v>
      </c>
      <c r="AR747" s="13" t="s">
        <v>8080</v>
      </c>
      <c r="AS747" s="13" t="s">
        <v>116</v>
      </c>
      <c r="AT747" s="13" t="s">
        <v>8084</v>
      </c>
      <c r="AU747" s="13" t="s">
        <v>7958</v>
      </c>
      <c r="AV747" s="14" t="s">
        <v>2204</v>
      </c>
      <c r="AW747" s="15" t="s">
        <v>1691</v>
      </c>
      <c r="AX747" s="15" t="s">
        <v>1692</v>
      </c>
      <c r="AY747" s="13" t="s">
        <v>8084</v>
      </c>
      <c r="AZ747" s="13" t="s">
        <v>8085</v>
      </c>
      <c r="BA747" s="13" t="s">
        <v>8085</v>
      </c>
      <c r="BB747" s="13" t="s">
        <v>8086</v>
      </c>
      <c r="BC747" s="13" t="s">
        <v>8086</v>
      </c>
      <c r="BD747" s="13">
        <f t="shared" si="27"/>
        <v>39</v>
      </c>
      <c r="BE747" s="13" t="s">
        <v>1697</v>
      </c>
      <c r="BF747" s="13" t="s">
        <v>2453</v>
      </c>
      <c r="BG747" s="13" t="s">
        <v>2454</v>
      </c>
      <c r="BJ747" s="13" t="s">
        <v>8087</v>
      </c>
      <c r="BS747" s="13" t="s">
        <v>127</v>
      </c>
      <c r="BU747" s="13" t="s">
        <v>129</v>
      </c>
      <c r="BX747" s="13" t="s">
        <v>8088</v>
      </c>
      <c r="CC747" s="13" t="s">
        <v>7963</v>
      </c>
      <c r="DA747" s="13" t="s">
        <v>10348</v>
      </c>
      <c r="DB747" s="13" t="s">
        <v>10348</v>
      </c>
    </row>
    <row r="748" spans="1:106" s="13" customFormat="1" ht="12.75" customHeight="1" x14ac:dyDescent="0.2">
      <c r="A748" s="13" t="s">
        <v>102</v>
      </c>
      <c r="B748" s="13" t="s">
        <v>103</v>
      </c>
      <c r="D748" s="13" t="s">
        <v>7712</v>
      </c>
      <c r="E748" s="13" t="s">
        <v>471</v>
      </c>
      <c r="F748" s="13" t="s">
        <v>7712</v>
      </c>
      <c r="G748" s="13" t="s">
        <v>229</v>
      </c>
      <c r="H748" s="13" t="s">
        <v>820</v>
      </c>
      <c r="J748" s="13" t="s">
        <v>106</v>
      </c>
      <c r="W748" s="13">
        <v>747</v>
      </c>
      <c r="X748" s="13">
        <v>747</v>
      </c>
      <c r="Y748" s="13" t="s">
        <v>107</v>
      </c>
      <c r="Z748" s="13" t="s">
        <v>108</v>
      </c>
      <c r="AA748" s="13" t="s">
        <v>107</v>
      </c>
      <c r="AB748" s="13" t="s">
        <v>8089</v>
      </c>
      <c r="AC748" s="13" t="s">
        <v>8089</v>
      </c>
      <c r="AD748" s="13" t="s">
        <v>8089</v>
      </c>
      <c r="AE748" s="14" t="s">
        <v>112</v>
      </c>
      <c r="AF748" s="13" t="s">
        <v>8089</v>
      </c>
      <c r="AG748" s="13" t="s">
        <v>8089</v>
      </c>
      <c r="AH748" s="14" t="s">
        <v>8090</v>
      </c>
      <c r="AL748" s="13" t="s">
        <v>8091</v>
      </c>
      <c r="AN748" s="13">
        <v>329</v>
      </c>
      <c r="AO748" s="13" t="s">
        <v>8092</v>
      </c>
      <c r="AQ748" s="13" t="s">
        <v>8089</v>
      </c>
      <c r="AR748" s="13" t="s">
        <v>8089</v>
      </c>
      <c r="AS748" s="13" t="s">
        <v>116</v>
      </c>
      <c r="AT748" s="13" t="s">
        <v>8093</v>
      </c>
      <c r="AU748" s="13" t="s">
        <v>7958</v>
      </c>
      <c r="AV748" s="14" t="s">
        <v>2204</v>
      </c>
      <c r="AW748" s="15" t="s">
        <v>1691</v>
      </c>
      <c r="AX748" s="15" t="s">
        <v>1692</v>
      </c>
      <c r="AY748" s="13" t="s">
        <v>8093</v>
      </c>
      <c r="AZ748" s="13" t="s">
        <v>8094</v>
      </c>
      <c r="BA748" s="13" t="s">
        <v>8094</v>
      </c>
      <c r="BB748" s="13" t="s">
        <v>8095</v>
      </c>
      <c r="BC748" s="13" t="s">
        <v>8095</v>
      </c>
      <c r="BD748" s="13">
        <f t="shared" si="27"/>
        <v>39</v>
      </c>
      <c r="BE748" s="13" t="s">
        <v>1697</v>
      </c>
      <c r="BF748" s="13" t="s">
        <v>2453</v>
      </c>
      <c r="BG748" s="13" t="s">
        <v>2454</v>
      </c>
      <c r="BJ748" s="13" t="s">
        <v>5984</v>
      </c>
      <c r="BS748" s="13" t="s">
        <v>127</v>
      </c>
      <c r="BU748" s="13" t="s">
        <v>129</v>
      </c>
      <c r="BX748" s="13" t="s">
        <v>8096</v>
      </c>
      <c r="CC748" s="13" t="s">
        <v>7963</v>
      </c>
      <c r="DA748" s="13" t="s">
        <v>10348</v>
      </c>
      <c r="DB748" s="13" t="s">
        <v>10348</v>
      </c>
    </row>
    <row r="749" spans="1:106" s="13" customFormat="1" ht="12.75" customHeight="1" x14ac:dyDescent="0.2">
      <c r="A749" s="13" t="s">
        <v>102</v>
      </c>
      <c r="B749" s="13" t="s">
        <v>103</v>
      </c>
      <c r="D749" s="13" t="s">
        <v>7712</v>
      </c>
      <c r="E749" s="13" t="s">
        <v>471</v>
      </c>
      <c r="F749" s="13" t="s">
        <v>7712</v>
      </c>
      <c r="G749" s="13" t="s">
        <v>229</v>
      </c>
      <c r="H749" s="13" t="s">
        <v>820</v>
      </c>
      <c r="J749" s="13" t="s">
        <v>106</v>
      </c>
      <c r="W749" s="13">
        <v>748</v>
      </c>
      <c r="X749" s="13">
        <v>748</v>
      </c>
      <c r="Y749" s="13" t="s">
        <v>107</v>
      </c>
      <c r="Z749" s="13" t="s">
        <v>108</v>
      </c>
      <c r="AA749" s="13" t="s">
        <v>107</v>
      </c>
      <c r="AB749" s="13" t="s">
        <v>8097</v>
      </c>
      <c r="AC749" s="13" t="s">
        <v>8097</v>
      </c>
      <c r="AD749" s="13" t="s">
        <v>8097</v>
      </c>
      <c r="AE749" s="14" t="s">
        <v>112</v>
      </c>
      <c r="AF749" s="13" t="s">
        <v>8097</v>
      </c>
      <c r="AG749" s="13" t="s">
        <v>8097</v>
      </c>
      <c r="AH749" s="14" t="s">
        <v>8098</v>
      </c>
      <c r="AL749" s="13" t="s">
        <v>8099</v>
      </c>
      <c r="AN749" s="13">
        <v>329</v>
      </c>
      <c r="AO749" s="13" t="s">
        <v>8100</v>
      </c>
      <c r="AQ749" s="13" t="s">
        <v>8097</v>
      </c>
      <c r="AR749" s="13" t="s">
        <v>8097</v>
      </c>
      <c r="AS749" s="13" t="s">
        <v>116</v>
      </c>
      <c r="AT749" s="13" t="s">
        <v>8101</v>
      </c>
      <c r="AU749" s="13" t="s">
        <v>7958</v>
      </c>
      <c r="AV749" s="14" t="s">
        <v>2204</v>
      </c>
      <c r="AW749" s="15" t="s">
        <v>1691</v>
      </c>
      <c r="AX749" s="15" t="s">
        <v>1692</v>
      </c>
      <c r="AY749" s="13" t="s">
        <v>8101</v>
      </c>
      <c r="AZ749" s="13" t="s">
        <v>8102</v>
      </c>
      <c r="BA749" s="13" t="s">
        <v>8102</v>
      </c>
      <c r="BB749" s="13" t="s">
        <v>8103</v>
      </c>
      <c r="BC749" s="13" t="s">
        <v>8104</v>
      </c>
      <c r="BD749" s="13">
        <f t="shared" si="27"/>
        <v>60</v>
      </c>
      <c r="BE749" s="13" t="s">
        <v>1697</v>
      </c>
      <c r="BF749" s="13" t="s">
        <v>2453</v>
      </c>
      <c r="BG749" s="13" t="s">
        <v>2454</v>
      </c>
      <c r="BJ749" s="13" t="s">
        <v>2242</v>
      </c>
      <c r="BO749" s="13" t="s">
        <v>7992</v>
      </c>
      <c r="BS749" s="13" t="s">
        <v>127</v>
      </c>
      <c r="BU749" s="13" t="s">
        <v>129</v>
      </c>
      <c r="BX749" s="13" t="s">
        <v>8105</v>
      </c>
      <c r="CC749" s="13" t="s">
        <v>7963</v>
      </c>
      <c r="DA749" s="13" t="s">
        <v>10348</v>
      </c>
      <c r="DB749" s="13" t="s">
        <v>10348</v>
      </c>
    </row>
    <row r="750" spans="1:106" s="13" customFormat="1" ht="12.75" customHeight="1" x14ac:dyDescent="0.2">
      <c r="A750" s="13" t="s">
        <v>102</v>
      </c>
      <c r="B750" s="13" t="s">
        <v>103</v>
      </c>
      <c r="D750" s="13" t="s">
        <v>7712</v>
      </c>
      <c r="E750" s="13" t="s">
        <v>471</v>
      </c>
      <c r="F750" s="13" t="s">
        <v>7712</v>
      </c>
      <c r="G750" s="13" t="s">
        <v>229</v>
      </c>
      <c r="H750" s="13" t="s">
        <v>820</v>
      </c>
      <c r="J750" s="13" t="s">
        <v>106</v>
      </c>
      <c r="W750" s="13">
        <v>749</v>
      </c>
      <c r="X750" s="13">
        <v>749</v>
      </c>
      <c r="Y750" s="13" t="s">
        <v>107</v>
      </c>
      <c r="Z750" s="13" t="s">
        <v>108</v>
      </c>
      <c r="AA750" s="13" t="s">
        <v>107</v>
      </c>
      <c r="AB750" s="13" t="s">
        <v>8106</v>
      </c>
      <c r="AC750" s="13" t="s">
        <v>8106</v>
      </c>
      <c r="AD750" s="13" t="s">
        <v>8106</v>
      </c>
      <c r="AE750" s="14" t="s">
        <v>112</v>
      </c>
      <c r="AF750" s="13" t="s">
        <v>8106</v>
      </c>
      <c r="AG750" s="13" t="s">
        <v>8106</v>
      </c>
      <c r="AH750" s="14" t="s">
        <v>8107</v>
      </c>
      <c r="AL750" s="13" t="s">
        <v>8108</v>
      </c>
      <c r="AN750" s="13">
        <v>329</v>
      </c>
      <c r="AO750" s="13" t="s">
        <v>8109</v>
      </c>
      <c r="AQ750" s="13" t="s">
        <v>8106</v>
      </c>
      <c r="AR750" s="13" t="s">
        <v>8106</v>
      </c>
      <c r="AS750" s="13" t="s">
        <v>116</v>
      </c>
      <c r="AT750" s="13" t="s">
        <v>8110</v>
      </c>
      <c r="AU750" s="13" t="s">
        <v>7958</v>
      </c>
      <c r="AV750" s="14" t="s">
        <v>2204</v>
      </c>
      <c r="AW750" s="15" t="s">
        <v>1691</v>
      </c>
      <c r="AX750" s="15" t="s">
        <v>1692</v>
      </c>
      <c r="AY750" s="13" t="s">
        <v>8110</v>
      </c>
      <c r="AZ750" s="13" t="s">
        <v>8111</v>
      </c>
      <c r="BA750" s="13" t="s">
        <v>8111</v>
      </c>
      <c r="BB750" s="13" t="s">
        <v>8112</v>
      </c>
      <c r="BC750" s="13" t="s">
        <v>8112</v>
      </c>
      <c r="BD750" s="13">
        <f t="shared" si="27"/>
        <v>60</v>
      </c>
      <c r="BE750" s="13" t="s">
        <v>1697</v>
      </c>
      <c r="BF750" s="13" t="s">
        <v>2453</v>
      </c>
      <c r="BG750" s="13" t="s">
        <v>2454</v>
      </c>
      <c r="BJ750" s="13" t="s">
        <v>8113</v>
      </c>
      <c r="BO750" s="13" t="s">
        <v>8002</v>
      </c>
      <c r="BS750" s="13" t="s">
        <v>127</v>
      </c>
      <c r="BU750" s="13" t="s">
        <v>129</v>
      </c>
      <c r="BX750" s="13" t="s">
        <v>8114</v>
      </c>
      <c r="CC750" s="13" t="s">
        <v>7963</v>
      </c>
      <c r="DA750" s="13" t="s">
        <v>10348</v>
      </c>
      <c r="DB750" s="13" t="s">
        <v>10348</v>
      </c>
    </row>
    <row r="751" spans="1:106" s="13" customFormat="1" ht="12.75" customHeight="1" x14ac:dyDescent="0.2">
      <c r="A751" s="13" t="s">
        <v>102</v>
      </c>
      <c r="B751" s="13" t="s">
        <v>103</v>
      </c>
      <c r="D751" s="13" t="s">
        <v>7712</v>
      </c>
      <c r="E751" s="13" t="s">
        <v>471</v>
      </c>
      <c r="F751" s="13" t="s">
        <v>7712</v>
      </c>
      <c r="G751" s="13" t="s">
        <v>229</v>
      </c>
      <c r="H751" s="13" t="s">
        <v>820</v>
      </c>
      <c r="J751" s="13" t="s">
        <v>106</v>
      </c>
      <c r="W751" s="13">
        <v>750</v>
      </c>
      <c r="X751" s="13">
        <v>750</v>
      </c>
      <c r="Y751" s="13" t="s">
        <v>107</v>
      </c>
      <c r="Z751" s="13" t="s">
        <v>108</v>
      </c>
      <c r="AA751" s="13" t="s">
        <v>107</v>
      </c>
      <c r="AB751" s="13" t="s">
        <v>8115</v>
      </c>
      <c r="AC751" s="13" t="s">
        <v>8115</v>
      </c>
      <c r="AD751" s="13" t="s">
        <v>8115</v>
      </c>
      <c r="AE751" s="14" t="s">
        <v>112</v>
      </c>
      <c r="AF751" s="13" t="s">
        <v>8115</v>
      </c>
      <c r="AG751" s="13" t="s">
        <v>8115</v>
      </c>
      <c r="AH751" s="14" t="s">
        <v>8116</v>
      </c>
      <c r="AL751" s="13" t="s">
        <v>8117</v>
      </c>
      <c r="AN751" s="13">
        <v>329</v>
      </c>
      <c r="AO751" s="13" t="s">
        <v>8118</v>
      </c>
      <c r="AQ751" s="13" t="s">
        <v>8115</v>
      </c>
      <c r="AR751" s="13" t="s">
        <v>8115</v>
      </c>
      <c r="AS751" s="13" t="s">
        <v>116</v>
      </c>
      <c r="AT751" s="13" t="s">
        <v>8119</v>
      </c>
      <c r="AU751" s="13" t="s">
        <v>7958</v>
      </c>
      <c r="AV751" s="14" t="s">
        <v>2204</v>
      </c>
      <c r="AW751" s="15" t="s">
        <v>1691</v>
      </c>
      <c r="AX751" s="15" t="s">
        <v>1692</v>
      </c>
      <c r="AY751" s="13" t="s">
        <v>8119</v>
      </c>
      <c r="AZ751" s="13" t="s">
        <v>8120</v>
      </c>
      <c r="BA751" s="13" t="s">
        <v>8120</v>
      </c>
      <c r="BB751" s="13" t="s">
        <v>8121</v>
      </c>
      <c r="BC751" s="13" t="s">
        <v>8121</v>
      </c>
      <c r="BD751" s="13">
        <f t="shared" si="27"/>
        <v>39</v>
      </c>
      <c r="BE751" s="13" t="s">
        <v>1697</v>
      </c>
      <c r="BF751" s="13" t="s">
        <v>2453</v>
      </c>
      <c r="BG751" s="13" t="s">
        <v>2454</v>
      </c>
      <c r="BJ751" s="13" t="s">
        <v>8122</v>
      </c>
      <c r="BS751" s="13" t="s">
        <v>127</v>
      </c>
      <c r="BU751" s="13" t="s">
        <v>129</v>
      </c>
      <c r="BX751" s="13" t="s">
        <v>8123</v>
      </c>
      <c r="CC751" s="13" t="s">
        <v>7963</v>
      </c>
      <c r="DA751" s="13" t="s">
        <v>10348</v>
      </c>
      <c r="DB751" s="13" t="s">
        <v>10348</v>
      </c>
    </row>
    <row r="752" spans="1:106" s="13" customFormat="1" ht="12.75" customHeight="1" x14ac:dyDescent="0.2">
      <c r="A752" s="13" t="s">
        <v>102</v>
      </c>
      <c r="B752" s="13" t="s">
        <v>103</v>
      </c>
      <c r="D752" s="13" t="s">
        <v>7712</v>
      </c>
      <c r="E752" s="13" t="s">
        <v>471</v>
      </c>
      <c r="F752" s="13" t="s">
        <v>7712</v>
      </c>
      <c r="G752" s="13" t="s">
        <v>229</v>
      </c>
      <c r="H752" s="13" t="s">
        <v>820</v>
      </c>
      <c r="J752" s="13" t="s">
        <v>106</v>
      </c>
      <c r="W752" s="13">
        <v>751</v>
      </c>
      <c r="X752" s="13">
        <v>751</v>
      </c>
      <c r="Y752" s="13" t="s">
        <v>107</v>
      </c>
      <c r="Z752" s="13" t="s">
        <v>108</v>
      </c>
      <c r="AA752" s="13" t="s">
        <v>107</v>
      </c>
      <c r="AB752" s="13" t="s">
        <v>8124</v>
      </c>
      <c r="AC752" s="13" t="s">
        <v>8124</v>
      </c>
      <c r="AD752" s="13" t="s">
        <v>8124</v>
      </c>
      <c r="AE752" s="14" t="s">
        <v>112</v>
      </c>
      <c r="AF752" s="13" t="s">
        <v>8124</v>
      </c>
      <c r="AG752" s="13" t="s">
        <v>8124</v>
      </c>
      <c r="AH752" s="14" t="s">
        <v>8125</v>
      </c>
      <c r="AL752" s="13" t="s">
        <v>8126</v>
      </c>
      <c r="AN752" s="13">
        <v>329</v>
      </c>
      <c r="AO752" s="13" t="s">
        <v>8127</v>
      </c>
      <c r="AQ752" s="13" t="s">
        <v>8124</v>
      </c>
      <c r="AR752" s="13" t="s">
        <v>8124</v>
      </c>
      <c r="AS752" s="13" t="s">
        <v>116</v>
      </c>
      <c r="AT752" s="13" t="s">
        <v>8128</v>
      </c>
      <c r="AU752" s="13" t="s">
        <v>7958</v>
      </c>
      <c r="AV752" s="14" t="s">
        <v>2204</v>
      </c>
      <c r="AW752" s="15" t="s">
        <v>1691</v>
      </c>
      <c r="AX752" s="15" t="s">
        <v>1692</v>
      </c>
      <c r="AY752" s="13" t="s">
        <v>8128</v>
      </c>
      <c r="AZ752" s="13" t="s">
        <v>8129</v>
      </c>
      <c r="BA752" s="13" t="s">
        <v>8129</v>
      </c>
      <c r="BB752" s="13" t="s">
        <v>8130</v>
      </c>
      <c r="BC752" s="13" t="s">
        <v>8131</v>
      </c>
      <c r="BD752" s="13">
        <f t="shared" si="27"/>
        <v>60</v>
      </c>
      <c r="BE752" s="13" t="s">
        <v>1697</v>
      </c>
      <c r="BF752" s="13" t="s">
        <v>2453</v>
      </c>
      <c r="BG752" s="13" t="s">
        <v>2454</v>
      </c>
      <c r="BJ752" s="13" t="s">
        <v>2253</v>
      </c>
      <c r="BO752" s="13" t="s">
        <v>7992</v>
      </c>
      <c r="BS752" s="13" t="s">
        <v>127</v>
      </c>
      <c r="BU752" s="13" t="s">
        <v>129</v>
      </c>
      <c r="BX752" s="13" t="s">
        <v>8132</v>
      </c>
      <c r="CC752" s="13" t="s">
        <v>7963</v>
      </c>
      <c r="DA752" s="13" t="s">
        <v>10348</v>
      </c>
      <c r="DB752" s="13" t="s">
        <v>10348</v>
      </c>
    </row>
    <row r="753" spans="1:106" s="13" customFormat="1" ht="12.75" customHeight="1" x14ac:dyDescent="0.2">
      <c r="A753" s="13" t="s">
        <v>102</v>
      </c>
      <c r="B753" s="13" t="s">
        <v>103</v>
      </c>
      <c r="D753" s="13" t="s">
        <v>7712</v>
      </c>
      <c r="E753" s="13" t="s">
        <v>471</v>
      </c>
      <c r="F753" s="13" t="s">
        <v>7712</v>
      </c>
      <c r="G753" s="13" t="s">
        <v>229</v>
      </c>
      <c r="H753" s="13" t="s">
        <v>820</v>
      </c>
      <c r="J753" s="13" t="s">
        <v>106</v>
      </c>
      <c r="W753" s="13">
        <v>752</v>
      </c>
      <c r="X753" s="13">
        <v>752</v>
      </c>
      <c r="Y753" s="13" t="s">
        <v>107</v>
      </c>
      <c r="Z753" s="13" t="s">
        <v>108</v>
      </c>
      <c r="AA753" s="13" t="s">
        <v>107</v>
      </c>
      <c r="AB753" s="13" t="s">
        <v>8133</v>
      </c>
      <c r="AC753" s="13" t="s">
        <v>8133</v>
      </c>
      <c r="AD753" s="13" t="s">
        <v>8133</v>
      </c>
      <c r="AE753" s="14" t="s">
        <v>112</v>
      </c>
      <c r="AF753" s="13" t="s">
        <v>8133</v>
      </c>
      <c r="AG753" s="13" t="s">
        <v>8133</v>
      </c>
      <c r="AH753" s="14" t="s">
        <v>8134</v>
      </c>
      <c r="AL753" s="13" t="s">
        <v>8135</v>
      </c>
      <c r="AN753" s="13">
        <v>329</v>
      </c>
      <c r="AO753" s="13" t="s">
        <v>8136</v>
      </c>
      <c r="AQ753" s="13" t="s">
        <v>8133</v>
      </c>
      <c r="AR753" s="13" t="s">
        <v>8133</v>
      </c>
      <c r="AS753" s="13" t="s">
        <v>116</v>
      </c>
      <c r="AT753" s="13" t="s">
        <v>8137</v>
      </c>
      <c r="AU753" s="13" t="s">
        <v>7958</v>
      </c>
      <c r="AV753" s="14" t="s">
        <v>2204</v>
      </c>
      <c r="AW753" s="15" t="s">
        <v>1691</v>
      </c>
      <c r="AX753" s="15" t="s">
        <v>1692</v>
      </c>
      <c r="AY753" s="13" t="s">
        <v>8137</v>
      </c>
      <c r="AZ753" s="13" t="s">
        <v>8138</v>
      </c>
      <c r="BA753" s="13" t="s">
        <v>8138</v>
      </c>
      <c r="BB753" s="13" t="s">
        <v>8139</v>
      </c>
      <c r="BC753" s="13" t="s">
        <v>8139</v>
      </c>
      <c r="BD753" s="13">
        <f t="shared" si="27"/>
        <v>39</v>
      </c>
      <c r="BE753" s="13" t="s">
        <v>1697</v>
      </c>
      <c r="BF753" s="13" t="s">
        <v>2453</v>
      </c>
      <c r="BG753" s="13" t="s">
        <v>2454</v>
      </c>
      <c r="BJ753" s="13" t="s">
        <v>8140</v>
      </c>
      <c r="BS753" s="13" t="s">
        <v>127</v>
      </c>
      <c r="BU753" s="13" t="s">
        <v>129</v>
      </c>
      <c r="BX753" s="13" t="s">
        <v>8141</v>
      </c>
      <c r="CC753" s="13" t="s">
        <v>7963</v>
      </c>
      <c r="DA753" s="13" t="s">
        <v>10348</v>
      </c>
      <c r="DB753" s="13" t="s">
        <v>10348</v>
      </c>
    </row>
    <row r="754" spans="1:106" s="13" customFormat="1" ht="12.75" customHeight="1" x14ac:dyDescent="0.2">
      <c r="A754" s="13" t="s">
        <v>102</v>
      </c>
      <c r="B754" s="13" t="s">
        <v>103</v>
      </c>
      <c r="D754" s="13" t="s">
        <v>7712</v>
      </c>
      <c r="E754" s="13" t="s">
        <v>471</v>
      </c>
      <c r="F754" s="13" t="s">
        <v>7712</v>
      </c>
      <c r="G754" s="13" t="s">
        <v>229</v>
      </c>
      <c r="H754" s="13" t="s">
        <v>820</v>
      </c>
      <c r="J754" s="13" t="s">
        <v>106</v>
      </c>
      <c r="W754" s="13">
        <v>753</v>
      </c>
      <c r="X754" s="13">
        <v>753</v>
      </c>
      <c r="Y754" s="13" t="s">
        <v>107</v>
      </c>
      <c r="Z754" s="13" t="s">
        <v>108</v>
      </c>
      <c r="AA754" s="13" t="s">
        <v>107</v>
      </c>
      <c r="AB754" s="13" t="s">
        <v>8142</v>
      </c>
      <c r="AC754" s="13" t="s">
        <v>8142</v>
      </c>
      <c r="AD754" s="13" t="s">
        <v>8142</v>
      </c>
      <c r="AE754" s="14" t="s">
        <v>112</v>
      </c>
      <c r="AF754" s="13" t="s">
        <v>8142</v>
      </c>
      <c r="AG754" s="13" t="s">
        <v>8142</v>
      </c>
      <c r="AH754" s="14" t="s">
        <v>8143</v>
      </c>
      <c r="AL754" s="13" t="s">
        <v>8144</v>
      </c>
      <c r="AN754" s="13">
        <v>329</v>
      </c>
      <c r="AO754" s="13" t="s">
        <v>8145</v>
      </c>
      <c r="AQ754" s="13" t="s">
        <v>8142</v>
      </c>
      <c r="AR754" s="13" t="s">
        <v>8142</v>
      </c>
      <c r="AS754" s="13" t="s">
        <v>116</v>
      </c>
      <c r="AT754" s="13" t="s">
        <v>8146</v>
      </c>
      <c r="AU754" s="13" t="s">
        <v>7958</v>
      </c>
      <c r="AV754" s="14" t="s">
        <v>2204</v>
      </c>
      <c r="AW754" s="15" t="s">
        <v>1691</v>
      </c>
      <c r="AX754" s="15" t="s">
        <v>1692</v>
      </c>
      <c r="AY754" s="13" t="s">
        <v>8146</v>
      </c>
      <c r="AZ754" s="13" t="s">
        <v>8147</v>
      </c>
      <c r="BA754" s="13" t="s">
        <v>8147</v>
      </c>
      <c r="BB754" s="13" t="s">
        <v>8148</v>
      </c>
      <c r="BC754" s="13" t="s">
        <v>8149</v>
      </c>
      <c r="BD754" s="13">
        <f t="shared" si="27"/>
        <v>57</v>
      </c>
      <c r="BE754" s="13" t="s">
        <v>1697</v>
      </c>
      <c r="BF754" s="13" t="s">
        <v>2453</v>
      </c>
      <c r="BG754" s="13" t="s">
        <v>2454</v>
      </c>
      <c r="BJ754" s="13" t="s">
        <v>8150</v>
      </c>
      <c r="BO754" s="13" t="s">
        <v>8002</v>
      </c>
      <c r="BS754" s="13" t="s">
        <v>127</v>
      </c>
      <c r="BU754" s="13" t="s">
        <v>129</v>
      </c>
      <c r="BX754" s="13" t="s">
        <v>8151</v>
      </c>
      <c r="CC754" s="13" t="s">
        <v>7963</v>
      </c>
      <c r="DA754" s="13" t="s">
        <v>10348</v>
      </c>
      <c r="DB754" s="13" t="s">
        <v>10348</v>
      </c>
    </row>
    <row r="755" spans="1:106" s="13" customFormat="1" ht="12.75" customHeight="1" x14ac:dyDescent="0.2">
      <c r="A755" s="13" t="s">
        <v>102</v>
      </c>
      <c r="B755" s="13" t="s">
        <v>103</v>
      </c>
      <c r="D755" s="13" t="s">
        <v>7712</v>
      </c>
      <c r="E755" s="13" t="s">
        <v>471</v>
      </c>
      <c r="F755" s="13" t="s">
        <v>7712</v>
      </c>
      <c r="G755" s="13" t="s">
        <v>229</v>
      </c>
      <c r="H755" s="13" t="s">
        <v>820</v>
      </c>
      <c r="J755" s="13" t="s">
        <v>106</v>
      </c>
      <c r="W755" s="13">
        <v>754</v>
      </c>
      <c r="X755" s="13">
        <v>754</v>
      </c>
      <c r="Y755" s="13" t="s">
        <v>107</v>
      </c>
      <c r="Z755" s="13" t="s">
        <v>108</v>
      </c>
      <c r="AA755" s="13" t="s">
        <v>107</v>
      </c>
      <c r="AB755" s="13" t="s">
        <v>8152</v>
      </c>
      <c r="AC755" s="13" t="s">
        <v>8152</v>
      </c>
      <c r="AD755" s="13" t="s">
        <v>8152</v>
      </c>
      <c r="AE755" s="14" t="s">
        <v>112</v>
      </c>
      <c r="AF755" s="13" t="s">
        <v>8152</v>
      </c>
      <c r="AG755" s="13" t="s">
        <v>8152</v>
      </c>
      <c r="AH755" s="14" t="s">
        <v>8153</v>
      </c>
      <c r="AL755" s="13" t="s">
        <v>8154</v>
      </c>
      <c r="AN755" s="13">
        <v>329</v>
      </c>
      <c r="AO755" s="13" t="s">
        <v>8155</v>
      </c>
      <c r="AQ755" s="13" t="s">
        <v>8152</v>
      </c>
      <c r="AR755" s="13" t="s">
        <v>8152</v>
      </c>
      <c r="AS755" s="13" t="s">
        <v>116</v>
      </c>
      <c r="AT755" s="13" t="s">
        <v>8156</v>
      </c>
      <c r="AU755" s="13" t="s">
        <v>7958</v>
      </c>
      <c r="AV755" s="14" t="s">
        <v>2204</v>
      </c>
      <c r="AW755" s="15" t="s">
        <v>1691</v>
      </c>
      <c r="AX755" s="15" t="s">
        <v>1692</v>
      </c>
      <c r="AY755" s="13" t="s">
        <v>8156</v>
      </c>
      <c r="AZ755" s="13" t="s">
        <v>8157</v>
      </c>
      <c r="BA755" s="13" t="s">
        <v>8157</v>
      </c>
      <c r="BB755" s="13" t="s">
        <v>8158</v>
      </c>
      <c r="BC755" s="13" t="s">
        <v>8158</v>
      </c>
      <c r="BD755" s="13">
        <f t="shared" si="27"/>
        <v>40</v>
      </c>
      <c r="BE755" s="13" t="s">
        <v>1697</v>
      </c>
      <c r="BF755" s="13" t="s">
        <v>2453</v>
      </c>
      <c r="BG755" s="13" t="s">
        <v>2454</v>
      </c>
      <c r="BJ755" s="13" t="s">
        <v>8159</v>
      </c>
      <c r="BS755" s="13" t="s">
        <v>127</v>
      </c>
      <c r="BU755" s="13" t="s">
        <v>129</v>
      </c>
      <c r="BX755" s="13" t="s">
        <v>8160</v>
      </c>
      <c r="CC755" s="13" t="s">
        <v>7963</v>
      </c>
      <c r="DA755" s="13" t="s">
        <v>10348</v>
      </c>
      <c r="DB755" s="13" t="s">
        <v>10348</v>
      </c>
    </row>
    <row r="756" spans="1:106" s="13" customFormat="1" ht="12.75" customHeight="1" x14ac:dyDescent="0.2">
      <c r="A756" s="13" t="s">
        <v>102</v>
      </c>
      <c r="B756" s="13" t="s">
        <v>103</v>
      </c>
      <c r="D756" s="13" t="s">
        <v>7712</v>
      </c>
      <c r="E756" s="13" t="s">
        <v>471</v>
      </c>
      <c r="F756" s="13" t="s">
        <v>7712</v>
      </c>
      <c r="G756" s="13" t="s">
        <v>229</v>
      </c>
      <c r="H756" s="13" t="s">
        <v>820</v>
      </c>
      <c r="J756" s="13" t="s">
        <v>106</v>
      </c>
      <c r="W756" s="13">
        <v>755</v>
      </c>
      <c r="X756" s="13">
        <v>755</v>
      </c>
      <c r="Y756" s="13" t="s">
        <v>107</v>
      </c>
      <c r="Z756" s="13" t="s">
        <v>108</v>
      </c>
      <c r="AA756" s="13" t="s">
        <v>107</v>
      </c>
      <c r="AB756" s="13" t="s">
        <v>8161</v>
      </c>
      <c r="AC756" s="13" t="s">
        <v>8161</v>
      </c>
      <c r="AD756" s="13" t="s">
        <v>8161</v>
      </c>
      <c r="AE756" s="14" t="s">
        <v>112</v>
      </c>
      <c r="AF756" s="13" t="s">
        <v>8161</v>
      </c>
      <c r="AG756" s="13" t="s">
        <v>8161</v>
      </c>
      <c r="AH756" s="14" t="s">
        <v>8162</v>
      </c>
      <c r="AL756" s="13" t="s">
        <v>8163</v>
      </c>
      <c r="AN756" s="13">
        <v>329</v>
      </c>
      <c r="AO756" s="13" t="s">
        <v>8164</v>
      </c>
      <c r="AQ756" s="13" t="s">
        <v>8161</v>
      </c>
      <c r="AR756" s="13" t="s">
        <v>8161</v>
      </c>
      <c r="AS756" s="13" t="s">
        <v>116</v>
      </c>
      <c r="AT756" s="13" t="s">
        <v>8165</v>
      </c>
      <c r="AU756" s="13" t="s">
        <v>7958</v>
      </c>
      <c r="AV756" s="14" t="s">
        <v>2204</v>
      </c>
      <c r="AW756" s="15" t="s">
        <v>1691</v>
      </c>
      <c r="AX756" s="15" t="s">
        <v>1692</v>
      </c>
      <c r="AY756" s="13" t="s">
        <v>8165</v>
      </c>
      <c r="AZ756" s="13" t="s">
        <v>8166</v>
      </c>
      <c r="BA756" s="13" t="s">
        <v>8166</v>
      </c>
      <c r="BB756" s="13" t="s">
        <v>8167</v>
      </c>
      <c r="BC756" s="13" t="s">
        <v>8168</v>
      </c>
      <c r="BD756" s="13">
        <f t="shared" si="27"/>
        <v>60</v>
      </c>
      <c r="BE756" s="13" t="s">
        <v>1697</v>
      </c>
      <c r="BF756" s="13" t="s">
        <v>2453</v>
      </c>
      <c r="BG756" s="13" t="s">
        <v>2454</v>
      </c>
      <c r="BJ756" s="13" t="s">
        <v>8169</v>
      </c>
      <c r="BO756" s="13" t="s">
        <v>7992</v>
      </c>
      <c r="BS756" s="13" t="s">
        <v>127</v>
      </c>
      <c r="BU756" s="13" t="s">
        <v>129</v>
      </c>
      <c r="BX756" s="13" t="s">
        <v>8170</v>
      </c>
      <c r="CC756" s="13" t="s">
        <v>7963</v>
      </c>
      <c r="DA756" s="13" t="s">
        <v>10348</v>
      </c>
      <c r="DB756" s="13" t="s">
        <v>10348</v>
      </c>
    </row>
    <row r="757" spans="1:106" s="13" customFormat="1" ht="12.75" customHeight="1" x14ac:dyDescent="0.2">
      <c r="A757" s="13" t="s">
        <v>102</v>
      </c>
      <c r="B757" s="13" t="s">
        <v>103</v>
      </c>
      <c r="D757" s="13" t="s">
        <v>7712</v>
      </c>
      <c r="E757" s="13" t="s">
        <v>471</v>
      </c>
      <c r="F757" s="13" t="s">
        <v>7712</v>
      </c>
      <c r="G757" s="13" t="s">
        <v>229</v>
      </c>
      <c r="H757" s="13" t="s">
        <v>820</v>
      </c>
      <c r="J757" s="13" t="s">
        <v>106</v>
      </c>
      <c r="W757" s="13">
        <v>756</v>
      </c>
      <c r="X757" s="13">
        <v>756</v>
      </c>
      <c r="Y757" s="13" t="s">
        <v>107</v>
      </c>
      <c r="Z757" s="13" t="s">
        <v>108</v>
      </c>
      <c r="AA757" s="13" t="s">
        <v>107</v>
      </c>
      <c r="AB757" s="13" t="s">
        <v>8171</v>
      </c>
      <c r="AC757" s="13" t="s">
        <v>8171</v>
      </c>
      <c r="AD757" s="13" t="s">
        <v>8171</v>
      </c>
      <c r="AE757" s="14" t="s">
        <v>112</v>
      </c>
      <c r="AF757" s="13" t="s">
        <v>8171</v>
      </c>
      <c r="AG757" s="13" t="s">
        <v>8171</v>
      </c>
      <c r="AH757" s="14" t="s">
        <v>8172</v>
      </c>
      <c r="AL757" s="13" t="s">
        <v>8173</v>
      </c>
      <c r="AN757" s="13">
        <v>329</v>
      </c>
      <c r="AO757" s="13" t="s">
        <v>8174</v>
      </c>
      <c r="AQ757" s="13" t="s">
        <v>8171</v>
      </c>
      <c r="AR757" s="13" t="s">
        <v>8171</v>
      </c>
      <c r="AS757" s="13" t="s">
        <v>116</v>
      </c>
      <c r="AT757" s="13" t="s">
        <v>8175</v>
      </c>
      <c r="AU757" s="13" t="s">
        <v>7958</v>
      </c>
      <c r="AV757" s="14" t="s">
        <v>2204</v>
      </c>
      <c r="AW757" s="15" t="s">
        <v>1691</v>
      </c>
      <c r="AX757" s="15" t="s">
        <v>1692</v>
      </c>
      <c r="AY757" s="13" t="s">
        <v>8175</v>
      </c>
      <c r="AZ757" s="13" t="s">
        <v>8176</v>
      </c>
      <c r="BA757" s="13" t="s">
        <v>8176</v>
      </c>
      <c r="BB757" s="13" t="s">
        <v>8177</v>
      </c>
      <c r="BC757" s="13" t="s">
        <v>8177</v>
      </c>
      <c r="BD757" s="13">
        <f t="shared" si="27"/>
        <v>40</v>
      </c>
      <c r="BE757" s="13" t="s">
        <v>1697</v>
      </c>
      <c r="BF757" s="13" t="s">
        <v>2453</v>
      </c>
      <c r="BG757" s="13" t="s">
        <v>2454</v>
      </c>
      <c r="BJ757" s="13" t="s">
        <v>8178</v>
      </c>
      <c r="BS757" s="13" t="s">
        <v>127</v>
      </c>
      <c r="BU757" s="13" t="s">
        <v>129</v>
      </c>
      <c r="BX757" s="13" t="s">
        <v>8179</v>
      </c>
      <c r="CC757" s="13" t="s">
        <v>7963</v>
      </c>
      <c r="DA757" s="13" t="s">
        <v>10348</v>
      </c>
      <c r="DB757" s="13" t="s">
        <v>10348</v>
      </c>
    </row>
    <row r="758" spans="1:106" s="13" customFormat="1" ht="12.75" customHeight="1" x14ac:dyDescent="0.2">
      <c r="A758" s="13" t="s">
        <v>102</v>
      </c>
      <c r="B758" s="13" t="s">
        <v>103</v>
      </c>
      <c r="D758" s="13" t="s">
        <v>7712</v>
      </c>
      <c r="E758" s="13" t="s">
        <v>471</v>
      </c>
      <c r="F758" s="13" t="s">
        <v>7712</v>
      </c>
      <c r="G758" s="13" t="s">
        <v>229</v>
      </c>
      <c r="H758" s="13" t="s">
        <v>820</v>
      </c>
      <c r="J758" s="13" t="s">
        <v>106</v>
      </c>
      <c r="W758" s="13">
        <v>757</v>
      </c>
      <c r="X758" s="13">
        <v>757</v>
      </c>
      <c r="Y758" s="13" t="s">
        <v>107</v>
      </c>
      <c r="Z758" s="13" t="s">
        <v>108</v>
      </c>
      <c r="AA758" s="13" t="s">
        <v>107</v>
      </c>
      <c r="AB758" s="13" t="s">
        <v>8180</v>
      </c>
      <c r="AC758" s="13" t="s">
        <v>8180</v>
      </c>
      <c r="AD758" s="13" t="s">
        <v>8180</v>
      </c>
      <c r="AE758" s="14" t="s">
        <v>112</v>
      </c>
      <c r="AF758" s="13" t="s">
        <v>8180</v>
      </c>
      <c r="AG758" s="13" t="s">
        <v>8180</v>
      </c>
      <c r="AH758" s="14" t="s">
        <v>8181</v>
      </c>
      <c r="AL758" s="13" t="s">
        <v>8182</v>
      </c>
      <c r="AN758" s="13">
        <v>329</v>
      </c>
      <c r="AO758" s="13" t="s">
        <v>8183</v>
      </c>
      <c r="AQ758" s="13" t="s">
        <v>8180</v>
      </c>
      <c r="AR758" s="13" t="s">
        <v>8180</v>
      </c>
      <c r="AS758" s="13" t="s">
        <v>116</v>
      </c>
      <c r="AT758" s="13" t="s">
        <v>8184</v>
      </c>
      <c r="AU758" s="13" t="s">
        <v>7958</v>
      </c>
      <c r="AV758" s="14" t="s">
        <v>2204</v>
      </c>
      <c r="AW758" s="15" t="s">
        <v>1691</v>
      </c>
      <c r="AX758" s="15" t="s">
        <v>1692</v>
      </c>
      <c r="AY758" s="13" t="s">
        <v>8184</v>
      </c>
      <c r="AZ758" s="13" t="s">
        <v>8185</v>
      </c>
      <c r="BA758" s="13" t="s">
        <v>8185</v>
      </c>
      <c r="BB758" s="13" t="s">
        <v>8186</v>
      </c>
      <c r="BC758" s="13" t="s">
        <v>8186</v>
      </c>
      <c r="BD758" s="13">
        <f t="shared" si="27"/>
        <v>39</v>
      </c>
      <c r="BE758" s="13" t="s">
        <v>1697</v>
      </c>
      <c r="BF758" s="13" t="s">
        <v>2453</v>
      </c>
      <c r="BG758" s="13" t="s">
        <v>2454</v>
      </c>
      <c r="BJ758" s="13" t="s">
        <v>8187</v>
      </c>
      <c r="BS758" s="13" t="s">
        <v>127</v>
      </c>
      <c r="BU758" s="13" t="s">
        <v>129</v>
      </c>
      <c r="BX758" s="13" t="s">
        <v>8188</v>
      </c>
      <c r="CC758" s="13" t="s">
        <v>7963</v>
      </c>
      <c r="DA758" s="13" t="s">
        <v>10348</v>
      </c>
      <c r="DB758" s="13" t="s">
        <v>10348</v>
      </c>
    </row>
    <row r="759" spans="1:106" s="13" customFormat="1" ht="12.75" customHeight="1" x14ac:dyDescent="0.2">
      <c r="A759" s="13" t="s">
        <v>102</v>
      </c>
      <c r="B759" s="13" t="s">
        <v>103</v>
      </c>
      <c r="D759" s="13" t="s">
        <v>7712</v>
      </c>
      <c r="E759" s="13" t="s">
        <v>471</v>
      </c>
      <c r="F759" s="13" t="s">
        <v>7712</v>
      </c>
      <c r="G759" s="13" t="s">
        <v>229</v>
      </c>
      <c r="H759" s="13" t="s">
        <v>820</v>
      </c>
      <c r="J759" s="13" t="s">
        <v>106</v>
      </c>
      <c r="W759" s="13">
        <v>758</v>
      </c>
      <c r="X759" s="13">
        <v>758</v>
      </c>
      <c r="Y759" s="13" t="s">
        <v>107</v>
      </c>
      <c r="Z759" s="13" t="s">
        <v>108</v>
      </c>
      <c r="AA759" s="13" t="s">
        <v>107</v>
      </c>
      <c r="AB759" s="13" t="s">
        <v>8189</v>
      </c>
      <c r="AC759" s="13" t="s">
        <v>8189</v>
      </c>
      <c r="AD759" s="13" t="s">
        <v>8189</v>
      </c>
      <c r="AE759" s="14" t="s">
        <v>112</v>
      </c>
      <c r="AF759" s="13" t="s">
        <v>8189</v>
      </c>
      <c r="AG759" s="13" t="s">
        <v>8189</v>
      </c>
      <c r="AH759" s="14" t="s">
        <v>8190</v>
      </c>
      <c r="AL759" s="13" t="s">
        <v>8191</v>
      </c>
      <c r="AN759" s="13">
        <v>329</v>
      </c>
      <c r="AO759" s="13" t="s">
        <v>8192</v>
      </c>
      <c r="AQ759" s="13" t="s">
        <v>8189</v>
      </c>
      <c r="AR759" s="13" t="s">
        <v>8189</v>
      </c>
      <c r="AS759" s="13" t="s">
        <v>116</v>
      </c>
      <c r="AT759" s="13" t="s">
        <v>8193</v>
      </c>
      <c r="AU759" s="13" t="s">
        <v>7958</v>
      </c>
      <c r="AV759" s="14" t="s">
        <v>2204</v>
      </c>
      <c r="AW759" s="15" t="s">
        <v>1691</v>
      </c>
      <c r="AX759" s="15" t="s">
        <v>1692</v>
      </c>
      <c r="AY759" s="13" t="s">
        <v>8193</v>
      </c>
      <c r="AZ759" s="13" t="s">
        <v>8194</v>
      </c>
      <c r="BA759" s="13" t="s">
        <v>8194</v>
      </c>
      <c r="BB759" s="13" t="s">
        <v>8195</v>
      </c>
      <c r="BC759" s="13" t="s">
        <v>8195</v>
      </c>
      <c r="BD759" s="13">
        <f t="shared" si="27"/>
        <v>39</v>
      </c>
      <c r="BE759" s="13" t="s">
        <v>1697</v>
      </c>
      <c r="BF759" s="13" t="s">
        <v>2453</v>
      </c>
      <c r="BG759" s="13" t="s">
        <v>2454</v>
      </c>
      <c r="BJ759" s="13" t="s">
        <v>8196</v>
      </c>
      <c r="BS759" s="13" t="s">
        <v>127</v>
      </c>
      <c r="BU759" s="13" t="s">
        <v>129</v>
      </c>
      <c r="BX759" s="13" t="s">
        <v>8197</v>
      </c>
      <c r="CC759" s="13" t="s">
        <v>7963</v>
      </c>
      <c r="DA759" s="13" t="s">
        <v>10348</v>
      </c>
      <c r="DB759" s="13" t="s">
        <v>10348</v>
      </c>
    </row>
    <row r="760" spans="1:106" s="13" customFormat="1" ht="12.75" customHeight="1" x14ac:dyDescent="0.2">
      <c r="A760" s="13" t="s">
        <v>102</v>
      </c>
      <c r="B760" s="13" t="s">
        <v>103</v>
      </c>
      <c r="D760" s="13" t="s">
        <v>7712</v>
      </c>
      <c r="E760" s="13" t="s">
        <v>471</v>
      </c>
      <c r="F760" s="13" t="s">
        <v>7712</v>
      </c>
      <c r="G760" s="13" t="s">
        <v>229</v>
      </c>
      <c r="H760" s="13" t="s">
        <v>820</v>
      </c>
      <c r="J760" s="13" t="s">
        <v>106</v>
      </c>
      <c r="W760" s="13">
        <v>759</v>
      </c>
      <c r="X760" s="13">
        <v>759</v>
      </c>
      <c r="Y760" s="13" t="s">
        <v>107</v>
      </c>
      <c r="Z760" s="13" t="s">
        <v>108</v>
      </c>
      <c r="AA760" s="13" t="s">
        <v>107</v>
      </c>
      <c r="AB760" s="13" t="s">
        <v>8198</v>
      </c>
      <c r="AC760" s="13" t="s">
        <v>8198</v>
      </c>
      <c r="AD760" s="13" t="s">
        <v>8198</v>
      </c>
      <c r="AE760" s="14" t="s">
        <v>112</v>
      </c>
      <c r="AF760" s="13" t="s">
        <v>8198</v>
      </c>
      <c r="AG760" s="13" t="s">
        <v>8198</v>
      </c>
      <c r="AH760" s="14" t="s">
        <v>8199</v>
      </c>
      <c r="AL760" s="13" t="s">
        <v>8200</v>
      </c>
      <c r="AN760" s="13">
        <v>329</v>
      </c>
      <c r="AO760" s="13" t="s">
        <v>8201</v>
      </c>
      <c r="AQ760" s="13" t="s">
        <v>8198</v>
      </c>
      <c r="AR760" s="13" t="s">
        <v>8198</v>
      </c>
      <c r="AS760" s="13" t="s">
        <v>116</v>
      </c>
      <c r="AT760" s="13" t="s">
        <v>8202</v>
      </c>
      <c r="AU760" s="13" t="s">
        <v>7958</v>
      </c>
      <c r="AV760" s="14" t="s">
        <v>2204</v>
      </c>
      <c r="AW760" s="15" t="s">
        <v>1691</v>
      </c>
      <c r="AX760" s="15" t="s">
        <v>1692</v>
      </c>
      <c r="AY760" s="13" t="s">
        <v>8202</v>
      </c>
      <c r="AZ760" s="13" t="s">
        <v>8203</v>
      </c>
      <c r="BA760" s="13" t="s">
        <v>8203</v>
      </c>
      <c r="BB760" s="13" t="s">
        <v>8204</v>
      </c>
      <c r="BC760" s="13" t="s">
        <v>8205</v>
      </c>
      <c r="BD760" s="13">
        <f t="shared" si="27"/>
        <v>60</v>
      </c>
      <c r="BE760" s="13" t="s">
        <v>1697</v>
      </c>
      <c r="BF760" s="13" t="s">
        <v>2453</v>
      </c>
      <c r="BG760" s="13" t="s">
        <v>2454</v>
      </c>
      <c r="BJ760" s="13" t="s">
        <v>2212</v>
      </c>
      <c r="BO760" s="13" t="s">
        <v>7992</v>
      </c>
      <c r="BS760" s="13" t="s">
        <v>127</v>
      </c>
      <c r="BU760" s="13" t="s">
        <v>129</v>
      </c>
      <c r="BX760" s="13" t="s">
        <v>8206</v>
      </c>
      <c r="CC760" s="13" t="s">
        <v>7963</v>
      </c>
      <c r="DA760" s="13" t="s">
        <v>10348</v>
      </c>
      <c r="DB760" s="13" t="s">
        <v>10348</v>
      </c>
    </row>
    <row r="761" spans="1:106" s="13" customFormat="1" ht="12.75" customHeight="1" x14ac:dyDescent="0.2">
      <c r="A761" s="13" t="s">
        <v>102</v>
      </c>
      <c r="B761" s="13" t="s">
        <v>103</v>
      </c>
      <c r="D761" s="13" t="s">
        <v>7712</v>
      </c>
      <c r="E761" s="13" t="s">
        <v>471</v>
      </c>
      <c r="F761" s="13" t="s">
        <v>7712</v>
      </c>
      <c r="G761" s="13" t="s">
        <v>229</v>
      </c>
      <c r="H761" s="13" t="s">
        <v>820</v>
      </c>
      <c r="J761" s="13" t="s">
        <v>106</v>
      </c>
      <c r="W761" s="13">
        <v>760</v>
      </c>
      <c r="X761" s="13">
        <v>760</v>
      </c>
      <c r="Y761" s="13" t="s">
        <v>107</v>
      </c>
      <c r="Z761" s="13" t="s">
        <v>108</v>
      </c>
      <c r="AA761" s="13" t="s">
        <v>107</v>
      </c>
      <c r="AB761" s="13" t="s">
        <v>8207</v>
      </c>
      <c r="AC761" s="13" t="s">
        <v>8207</v>
      </c>
      <c r="AD761" s="13" t="s">
        <v>8207</v>
      </c>
      <c r="AE761" s="14" t="s">
        <v>112</v>
      </c>
      <c r="AF761" s="13" t="s">
        <v>8207</v>
      </c>
      <c r="AG761" s="13" t="s">
        <v>8207</v>
      </c>
      <c r="AH761" s="14" t="s">
        <v>8208</v>
      </c>
      <c r="AL761" s="13" t="s">
        <v>8209</v>
      </c>
      <c r="AN761" s="13">
        <v>329</v>
      </c>
      <c r="AO761" s="13" t="s">
        <v>8210</v>
      </c>
      <c r="AQ761" s="13" t="s">
        <v>8207</v>
      </c>
      <c r="AR761" s="13" t="s">
        <v>8207</v>
      </c>
      <c r="AS761" s="13" t="s">
        <v>116</v>
      </c>
      <c r="AT761" s="13" t="s">
        <v>8211</v>
      </c>
      <c r="AU761" s="13" t="s">
        <v>7958</v>
      </c>
      <c r="AV761" s="14" t="s">
        <v>2204</v>
      </c>
      <c r="AW761" s="15" t="s">
        <v>1691</v>
      </c>
      <c r="AX761" s="15" t="s">
        <v>1692</v>
      </c>
      <c r="AY761" s="13" t="s">
        <v>8211</v>
      </c>
      <c r="AZ761" s="13" t="s">
        <v>8212</v>
      </c>
      <c r="BA761" s="13" t="s">
        <v>8212</v>
      </c>
      <c r="BB761" s="13" t="s">
        <v>8213</v>
      </c>
      <c r="BC761" s="13" t="s">
        <v>8214</v>
      </c>
      <c r="BD761" s="13">
        <f t="shared" si="27"/>
        <v>60</v>
      </c>
      <c r="BE761" s="13" t="s">
        <v>1697</v>
      </c>
      <c r="BF761" s="13" t="s">
        <v>2453</v>
      </c>
      <c r="BG761" s="13" t="s">
        <v>2454</v>
      </c>
      <c r="BJ761" s="13" t="s">
        <v>8215</v>
      </c>
      <c r="BO761" s="13" t="s">
        <v>8216</v>
      </c>
      <c r="BS761" s="13" t="s">
        <v>127</v>
      </c>
      <c r="BU761" s="13" t="s">
        <v>129</v>
      </c>
      <c r="BX761" s="13" t="s">
        <v>8217</v>
      </c>
      <c r="CC761" s="13" t="s">
        <v>7963</v>
      </c>
      <c r="DA761" s="13" t="s">
        <v>10348</v>
      </c>
      <c r="DB761" s="13" t="s">
        <v>10348</v>
      </c>
    </row>
    <row r="762" spans="1:106" s="13" customFormat="1" ht="12.75" customHeight="1" x14ac:dyDescent="0.2">
      <c r="A762" s="13" t="s">
        <v>102</v>
      </c>
      <c r="B762" s="13" t="s">
        <v>103</v>
      </c>
      <c r="D762" s="13" t="s">
        <v>7712</v>
      </c>
      <c r="E762" s="13" t="s">
        <v>471</v>
      </c>
      <c r="F762" s="13" t="s">
        <v>7712</v>
      </c>
      <c r="G762" s="13" t="s">
        <v>229</v>
      </c>
      <c r="H762" s="13" t="s">
        <v>820</v>
      </c>
      <c r="J762" s="13" t="s">
        <v>106</v>
      </c>
      <c r="W762" s="13">
        <v>761</v>
      </c>
      <c r="X762" s="13">
        <v>761</v>
      </c>
      <c r="Y762" s="13" t="s">
        <v>107</v>
      </c>
      <c r="Z762" s="13" t="s">
        <v>108</v>
      </c>
      <c r="AA762" s="13" t="s">
        <v>107</v>
      </c>
      <c r="AB762" s="13" t="s">
        <v>8218</v>
      </c>
      <c r="AC762" s="13" t="s">
        <v>8218</v>
      </c>
      <c r="AD762" s="13" t="s">
        <v>8218</v>
      </c>
      <c r="AE762" s="14" t="s">
        <v>112</v>
      </c>
      <c r="AF762" s="13" t="s">
        <v>8218</v>
      </c>
      <c r="AG762" s="13" t="s">
        <v>8218</v>
      </c>
      <c r="AH762" s="14" t="s">
        <v>8219</v>
      </c>
      <c r="AL762" s="13" t="s">
        <v>8220</v>
      </c>
      <c r="AN762" s="13">
        <v>329</v>
      </c>
      <c r="AO762" s="13" t="s">
        <v>8221</v>
      </c>
      <c r="AQ762" s="13" t="s">
        <v>8218</v>
      </c>
      <c r="AR762" s="13" t="s">
        <v>8218</v>
      </c>
      <c r="AS762" s="13" t="s">
        <v>116</v>
      </c>
      <c r="AT762" s="13" t="s">
        <v>8222</v>
      </c>
      <c r="AU762" s="13" t="s">
        <v>7958</v>
      </c>
      <c r="AV762" s="14" t="s">
        <v>2204</v>
      </c>
      <c r="AW762" s="15" t="s">
        <v>1691</v>
      </c>
      <c r="AX762" s="15" t="s">
        <v>1692</v>
      </c>
      <c r="AY762" s="13" t="s">
        <v>8222</v>
      </c>
      <c r="AZ762" s="13" t="s">
        <v>8223</v>
      </c>
      <c r="BA762" s="13" t="s">
        <v>8223</v>
      </c>
      <c r="BB762" s="13" t="s">
        <v>8224</v>
      </c>
      <c r="BC762" s="13" t="s">
        <v>8224</v>
      </c>
      <c r="BD762" s="13">
        <f t="shared" si="27"/>
        <v>39</v>
      </c>
      <c r="BE762" s="13" t="s">
        <v>1697</v>
      </c>
      <c r="BF762" s="13" t="s">
        <v>2453</v>
      </c>
      <c r="BG762" s="13" t="s">
        <v>2454</v>
      </c>
      <c r="BJ762" s="13" t="s">
        <v>8225</v>
      </c>
      <c r="BS762" s="13" t="s">
        <v>127</v>
      </c>
      <c r="BU762" s="13" t="s">
        <v>129</v>
      </c>
      <c r="BX762" s="13" t="s">
        <v>8226</v>
      </c>
      <c r="CC762" s="13" t="s">
        <v>7963</v>
      </c>
      <c r="DA762" s="13" t="s">
        <v>10348</v>
      </c>
      <c r="DB762" s="13" t="s">
        <v>10348</v>
      </c>
    </row>
    <row r="763" spans="1:106" s="13" customFormat="1" ht="12.75" customHeight="1" x14ac:dyDescent="0.2">
      <c r="A763" s="13" t="s">
        <v>102</v>
      </c>
      <c r="B763" s="13" t="s">
        <v>103</v>
      </c>
      <c r="D763" s="13" t="s">
        <v>7712</v>
      </c>
      <c r="E763" s="13" t="s">
        <v>471</v>
      </c>
      <c r="F763" s="13" t="s">
        <v>7712</v>
      </c>
      <c r="G763" s="13" t="s">
        <v>229</v>
      </c>
      <c r="H763" s="13" t="s">
        <v>820</v>
      </c>
      <c r="J763" s="13" t="s">
        <v>106</v>
      </c>
      <c r="W763" s="13">
        <v>762</v>
      </c>
      <c r="X763" s="13">
        <v>762</v>
      </c>
      <c r="Y763" s="13" t="s">
        <v>107</v>
      </c>
      <c r="Z763" s="13" t="s">
        <v>108</v>
      </c>
      <c r="AA763" s="13" t="s">
        <v>107</v>
      </c>
      <c r="AB763" s="13" t="s">
        <v>8227</v>
      </c>
      <c r="AC763" s="13" t="s">
        <v>8227</v>
      </c>
      <c r="AD763" s="13" t="s">
        <v>8227</v>
      </c>
      <c r="AE763" s="14" t="s">
        <v>112</v>
      </c>
      <c r="AF763" s="13" t="s">
        <v>8227</v>
      </c>
      <c r="AG763" s="13" t="s">
        <v>8227</v>
      </c>
      <c r="AH763" s="14" t="s">
        <v>8228</v>
      </c>
      <c r="AL763" s="13" t="s">
        <v>8229</v>
      </c>
      <c r="AN763" s="13">
        <v>329</v>
      </c>
      <c r="AO763" s="13" t="s">
        <v>8230</v>
      </c>
      <c r="AQ763" s="13" t="s">
        <v>8227</v>
      </c>
      <c r="AR763" s="13" t="s">
        <v>8227</v>
      </c>
      <c r="AS763" s="13" t="s">
        <v>116</v>
      </c>
      <c r="AT763" s="13" t="s">
        <v>8231</v>
      </c>
      <c r="AU763" s="13" t="s">
        <v>7958</v>
      </c>
      <c r="AV763" s="14" t="s">
        <v>2204</v>
      </c>
      <c r="AW763" s="15" t="s">
        <v>1691</v>
      </c>
      <c r="AX763" s="15" t="s">
        <v>1692</v>
      </c>
      <c r="AY763" s="13" t="s">
        <v>8231</v>
      </c>
      <c r="AZ763" s="13" t="s">
        <v>8232</v>
      </c>
      <c r="BA763" s="13" t="s">
        <v>8232</v>
      </c>
      <c r="BB763" s="13" t="s">
        <v>8233</v>
      </c>
      <c r="BC763" s="13" t="s">
        <v>8234</v>
      </c>
      <c r="BD763" s="13">
        <f t="shared" si="27"/>
        <v>60</v>
      </c>
      <c r="BE763" s="13" t="s">
        <v>1697</v>
      </c>
      <c r="BF763" s="13" t="s">
        <v>2453</v>
      </c>
      <c r="BG763" s="13" t="s">
        <v>2454</v>
      </c>
      <c r="BJ763" s="13" t="s">
        <v>2228</v>
      </c>
      <c r="BO763" s="13" t="s">
        <v>7992</v>
      </c>
      <c r="BS763" s="13" t="s">
        <v>127</v>
      </c>
      <c r="BU763" s="13" t="s">
        <v>129</v>
      </c>
      <c r="BX763" s="13" t="s">
        <v>8235</v>
      </c>
      <c r="CC763" s="13" t="s">
        <v>7963</v>
      </c>
      <c r="DA763" s="13" t="s">
        <v>10348</v>
      </c>
      <c r="DB763" s="13" t="s">
        <v>10348</v>
      </c>
    </row>
    <row r="764" spans="1:106" s="13" customFormat="1" ht="12.75" customHeight="1" x14ac:dyDescent="0.2">
      <c r="A764" s="13" t="s">
        <v>102</v>
      </c>
      <c r="B764" s="13" t="s">
        <v>103</v>
      </c>
      <c r="D764" s="13" t="s">
        <v>7712</v>
      </c>
      <c r="E764" s="13" t="s">
        <v>471</v>
      </c>
      <c r="F764" s="13" t="s">
        <v>7712</v>
      </c>
      <c r="G764" s="13" t="s">
        <v>229</v>
      </c>
      <c r="H764" s="13" t="s">
        <v>820</v>
      </c>
      <c r="J764" s="13" t="s">
        <v>106</v>
      </c>
      <c r="W764" s="13">
        <v>763</v>
      </c>
      <c r="X764" s="13">
        <v>763</v>
      </c>
      <c r="Y764" s="13" t="s">
        <v>107</v>
      </c>
      <c r="Z764" s="13" t="s">
        <v>108</v>
      </c>
      <c r="AA764" s="13" t="s">
        <v>107</v>
      </c>
      <c r="AB764" s="13" t="s">
        <v>8236</v>
      </c>
      <c r="AC764" s="13" t="s">
        <v>8236</v>
      </c>
      <c r="AD764" s="13" t="s">
        <v>8236</v>
      </c>
      <c r="AE764" s="14" t="s">
        <v>112</v>
      </c>
      <c r="AF764" s="13" t="s">
        <v>8236</v>
      </c>
      <c r="AG764" s="13" t="s">
        <v>8236</v>
      </c>
      <c r="AH764" s="14" t="s">
        <v>8237</v>
      </c>
      <c r="AL764" s="13" t="s">
        <v>8238</v>
      </c>
      <c r="AN764" s="13">
        <v>329</v>
      </c>
      <c r="AO764" s="13" t="s">
        <v>8239</v>
      </c>
      <c r="AQ764" s="13" t="s">
        <v>8236</v>
      </c>
      <c r="AR764" s="13" t="s">
        <v>8236</v>
      </c>
      <c r="AS764" s="13" t="s">
        <v>116</v>
      </c>
      <c r="AT764" s="13" t="s">
        <v>8240</v>
      </c>
      <c r="AU764" s="13" t="s">
        <v>7958</v>
      </c>
      <c r="AV764" s="14" t="s">
        <v>2204</v>
      </c>
      <c r="AW764" s="15" t="s">
        <v>1691</v>
      </c>
      <c r="AX764" s="15" t="s">
        <v>1692</v>
      </c>
      <c r="AY764" s="13" t="s">
        <v>8240</v>
      </c>
      <c r="AZ764" s="13" t="s">
        <v>8241</v>
      </c>
      <c r="BA764" s="13" t="s">
        <v>8241</v>
      </c>
      <c r="BB764" s="13" t="s">
        <v>8242</v>
      </c>
      <c r="BC764" s="25" t="s">
        <v>8243</v>
      </c>
      <c r="BD764" s="13">
        <f t="shared" si="27"/>
        <v>57</v>
      </c>
      <c r="BE764" s="13" t="s">
        <v>1697</v>
      </c>
      <c r="BF764" s="13" t="s">
        <v>2453</v>
      </c>
      <c r="BG764" s="13" t="s">
        <v>2454</v>
      </c>
      <c r="BJ764" s="13" t="s">
        <v>8244</v>
      </c>
      <c r="BO764" s="13" t="s">
        <v>7981</v>
      </c>
      <c r="BS764" s="13" t="s">
        <v>127</v>
      </c>
      <c r="BU764" s="13" t="s">
        <v>129</v>
      </c>
      <c r="BX764" s="13" t="s">
        <v>8245</v>
      </c>
      <c r="CC764" s="13" t="s">
        <v>7963</v>
      </c>
      <c r="DA764" s="13" t="s">
        <v>10348</v>
      </c>
      <c r="DB764" s="13" t="s">
        <v>10348</v>
      </c>
    </row>
    <row r="765" spans="1:106" s="13" customFormat="1" ht="12.75" customHeight="1" x14ac:dyDescent="0.2">
      <c r="A765" s="13" t="s">
        <v>102</v>
      </c>
      <c r="B765" s="13" t="s">
        <v>103</v>
      </c>
      <c r="D765" s="13" t="s">
        <v>7712</v>
      </c>
      <c r="E765" s="13" t="s">
        <v>471</v>
      </c>
      <c r="F765" s="13" t="s">
        <v>7712</v>
      </c>
      <c r="G765" s="13" t="s">
        <v>229</v>
      </c>
      <c r="H765" s="13" t="s">
        <v>820</v>
      </c>
      <c r="J765" s="13" t="s">
        <v>106</v>
      </c>
      <c r="W765" s="13">
        <v>764</v>
      </c>
      <c r="X765" s="13">
        <v>764</v>
      </c>
      <c r="Y765" s="13" t="s">
        <v>107</v>
      </c>
      <c r="Z765" s="13" t="s">
        <v>108</v>
      </c>
      <c r="AA765" s="13" t="s">
        <v>107</v>
      </c>
      <c r="AB765" s="13" t="s">
        <v>8246</v>
      </c>
      <c r="AC765" s="13" t="s">
        <v>8246</v>
      </c>
      <c r="AD765" s="13" t="s">
        <v>8246</v>
      </c>
      <c r="AE765" s="14" t="s">
        <v>112</v>
      </c>
      <c r="AF765" s="13" t="s">
        <v>8246</v>
      </c>
      <c r="AG765" s="13" t="s">
        <v>8246</v>
      </c>
      <c r="AH765" s="14" t="s">
        <v>8247</v>
      </c>
      <c r="AL765" s="13" t="s">
        <v>8248</v>
      </c>
      <c r="AN765" s="13">
        <v>329</v>
      </c>
      <c r="AO765" s="13" t="s">
        <v>8249</v>
      </c>
      <c r="AQ765" s="13" t="s">
        <v>8246</v>
      </c>
      <c r="AR765" s="13" t="s">
        <v>8246</v>
      </c>
      <c r="AS765" s="13" t="s">
        <v>116</v>
      </c>
      <c r="AT765" s="13" t="s">
        <v>8250</v>
      </c>
      <c r="AU765" s="13" t="s">
        <v>7958</v>
      </c>
      <c r="AV765" s="14" t="s">
        <v>2204</v>
      </c>
      <c r="AW765" s="15" t="s">
        <v>1691</v>
      </c>
      <c r="AX765" s="15" t="s">
        <v>1692</v>
      </c>
      <c r="AY765" s="13" t="s">
        <v>8250</v>
      </c>
      <c r="AZ765" s="13" t="s">
        <v>8251</v>
      </c>
      <c r="BA765" s="13" t="s">
        <v>8251</v>
      </c>
      <c r="BB765" s="13" t="s">
        <v>8252</v>
      </c>
      <c r="BC765" s="13" t="s">
        <v>8253</v>
      </c>
      <c r="BD765" s="13">
        <f t="shared" si="27"/>
        <v>56</v>
      </c>
      <c r="BE765" s="13" t="s">
        <v>1697</v>
      </c>
      <c r="BF765" s="13" t="s">
        <v>2453</v>
      </c>
      <c r="BG765" s="13" t="s">
        <v>2454</v>
      </c>
      <c r="BJ765" s="13" t="s">
        <v>8254</v>
      </c>
      <c r="BO765" s="13" t="s">
        <v>8216</v>
      </c>
      <c r="BS765" s="13" t="s">
        <v>127</v>
      </c>
      <c r="BU765" s="13" t="s">
        <v>129</v>
      </c>
      <c r="BX765" s="13" t="s">
        <v>8255</v>
      </c>
      <c r="CC765" s="13" t="s">
        <v>7963</v>
      </c>
      <c r="DA765" s="13" t="s">
        <v>10348</v>
      </c>
      <c r="DB765" s="13" t="s">
        <v>10348</v>
      </c>
    </row>
    <row r="766" spans="1:106" s="13" customFormat="1" ht="12.75" customHeight="1" x14ac:dyDescent="0.2">
      <c r="A766" s="13" t="s">
        <v>102</v>
      </c>
      <c r="B766" s="13" t="s">
        <v>103</v>
      </c>
      <c r="D766" s="13" t="s">
        <v>7712</v>
      </c>
      <c r="E766" s="13" t="s">
        <v>471</v>
      </c>
      <c r="F766" s="13" t="s">
        <v>7712</v>
      </c>
      <c r="G766" s="13" t="s">
        <v>229</v>
      </c>
      <c r="H766" s="13" t="s">
        <v>820</v>
      </c>
      <c r="J766" s="13" t="s">
        <v>106</v>
      </c>
      <c r="W766" s="13">
        <v>765</v>
      </c>
      <c r="X766" s="13">
        <v>765</v>
      </c>
      <c r="Y766" s="13" t="s">
        <v>107</v>
      </c>
      <c r="Z766" s="13" t="s">
        <v>108</v>
      </c>
      <c r="AA766" s="13" t="s">
        <v>107</v>
      </c>
      <c r="AB766" s="13" t="s">
        <v>8256</v>
      </c>
      <c r="AC766" s="13" t="s">
        <v>8256</v>
      </c>
      <c r="AD766" s="13" t="s">
        <v>8256</v>
      </c>
      <c r="AE766" s="14" t="s">
        <v>112</v>
      </c>
      <c r="AF766" s="13" t="s">
        <v>8256</v>
      </c>
      <c r="AG766" s="13" t="s">
        <v>8256</v>
      </c>
      <c r="AH766" s="14" t="s">
        <v>8257</v>
      </c>
      <c r="AL766" s="13" t="s">
        <v>8258</v>
      </c>
      <c r="AN766" s="13">
        <v>329</v>
      </c>
      <c r="AO766" s="13" t="s">
        <v>8259</v>
      </c>
      <c r="AQ766" s="13" t="s">
        <v>8256</v>
      </c>
      <c r="AR766" s="13" t="s">
        <v>8256</v>
      </c>
      <c r="AS766" s="13" t="s">
        <v>116</v>
      </c>
      <c r="AT766" s="13" t="s">
        <v>8260</v>
      </c>
      <c r="AU766" s="13" t="s">
        <v>7958</v>
      </c>
      <c r="AV766" s="14" t="s">
        <v>2204</v>
      </c>
      <c r="AW766" s="15" t="s">
        <v>1691</v>
      </c>
      <c r="AX766" s="15" t="s">
        <v>1692</v>
      </c>
      <c r="AY766" s="13" t="s">
        <v>8260</v>
      </c>
      <c r="AZ766" s="13" t="s">
        <v>8261</v>
      </c>
      <c r="BA766" s="13" t="s">
        <v>8261</v>
      </c>
      <c r="BB766" s="13" t="s">
        <v>8262</v>
      </c>
      <c r="BC766" s="13" t="s">
        <v>8262</v>
      </c>
      <c r="BD766" s="13">
        <f t="shared" si="27"/>
        <v>40</v>
      </c>
      <c r="BE766" s="13" t="s">
        <v>1697</v>
      </c>
      <c r="BF766" s="13" t="s">
        <v>2453</v>
      </c>
      <c r="BG766" s="13" t="s">
        <v>2454</v>
      </c>
      <c r="BJ766" s="13" t="s">
        <v>8263</v>
      </c>
      <c r="BS766" s="13" t="s">
        <v>127</v>
      </c>
      <c r="BU766" s="13" t="s">
        <v>129</v>
      </c>
      <c r="BX766" s="13" t="s">
        <v>8264</v>
      </c>
      <c r="CC766" s="13" t="s">
        <v>7963</v>
      </c>
      <c r="DA766" s="13" t="s">
        <v>10348</v>
      </c>
      <c r="DB766" s="13" t="s">
        <v>10348</v>
      </c>
    </row>
    <row r="767" spans="1:106" s="13" customFormat="1" ht="12.75" customHeight="1" x14ac:dyDescent="0.2">
      <c r="A767" s="13" t="s">
        <v>102</v>
      </c>
      <c r="B767" s="13" t="s">
        <v>103</v>
      </c>
      <c r="D767" s="13" t="s">
        <v>7712</v>
      </c>
      <c r="E767" s="13" t="s">
        <v>471</v>
      </c>
      <c r="F767" s="13" t="s">
        <v>7712</v>
      </c>
      <c r="G767" s="13" t="s">
        <v>229</v>
      </c>
      <c r="H767" s="13" t="s">
        <v>820</v>
      </c>
      <c r="J767" s="13" t="s">
        <v>106</v>
      </c>
      <c r="W767" s="13">
        <v>766</v>
      </c>
      <c r="X767" s="13">
        <v>766</v>
      </c>
      <c r="Y767" s="13" t="s">
        <v>107</v>
      </c>
      <c r="Z767" s="13" t="s">
        <v>108</v>
      </c>
      <c r="AA767" s="13" t="s">
        <v>107</v>
      </c>
      <c r="AB767" s="13" t="s">
        <v>8265</v>
      </c>
      <c r="AC767" s="13" t="s">
        <v>8265</v>
      </c>
      <c r="AD767" s="13" t="s">
        <v>8265</v>
      </c>
      <c r="AE767" s="14" t="s">
        <v>112</v>
      </c>
      <c r="AF767" s="13" t="s">
        <v>8265</v>
      </c>
      <c r="AG767" s="13" t="s">
        <v>8265</v>
      </c>
      <c r="AH767" s="14" t="s">
        <v>8266</v>
      </c>
      <c r="AL767" s="13" t="s">
        <v>8267</v>
      </c>
      <c r="AN767" s="13">
        <v>329</v>
      </c>
      <c r="AO767" s="13" t="s">
        <v>8268</v>
      </c>
      <c r="AQ767" s="13" t="s">
        <v>8265</v>
      </c>
      <c r="AR767" s="13" t="s">
        <v>8265</v>
      </c>
      <c r="AS767" s="13" t="s">
        <v>116</v>
      </c>
      <c r="AT767" s="13" t="s">
        <v>8269</v>
      </c>
      <c r="AU767" s="13" t="s">
        <v>7958</v>
      </c>
      <c r="AV767" s="14" t="s">
        <v>2204</v>
      </c>
      <c r="AW767" s="15" t="s">
        <v>1691</v>
      </c>
      <c r="AX767" s="15" t="s">
        <v>1692</v>
      </c>
      <c r="AY767" s="13" t="s">
        <v>8269</v>
      </c>
      <c r="AZ767" s="13" t="s">
        <v>8270</v>
      </c>
      <c r="BA767" s="13" t="s">
        <v>8270</v>
      </c>
      <c r="BB767" s="13" t="s">
        <v>8271</v>
      </c>
      <c r="BC767" s="13" t="s">
        <v>8272</v>
      </c>
      <c r="BD767" s="13">
        <f t="shared" si="27"/>
        <v>57</v>
      </c>
      <c r="BE767" s="13" t="s">
        <v>1697</v>
      </c>
      <c r="BF767" s="13" t="s">
        <v>2453</v>
      </c>
      <c r="BG767" s="13" t="s">
        <v>2454</v>
      </c>
      <c r="BJ767" s="13" t="s">
        <v>8273</v>
      </c>
      <c r="BO767" s="13" t="s">
        <v>7981</v>
      </c>
      <c r="BS767" s="13" t="s">
        <v>127</v>
      </c>
      <c r="BU767" s="13" t="s">
        <v>129</v>
      </c>
      <c r="BX767" s="13" t="s">
        <v>8274</v>
      </c>
      <c r="CC767" s="13" t="s">
        <v>7963</v>
      </c>
      <c r="DA767" s="13" t="s">
        <v>10348</v>
      </c>
      <c r="DB767" s="13" t="s">
        <v>10348</v>
      </c>
    </row>
    <row r="768" spans="1:106" s="13" customFormat="1" ht="12.75" customHeight="1" x14ac:dyDescent="0.2">
      <c r="A768" s="13" t="s">
        <v>102</v>
      </c>
      <c r="B768" s="13" t="s">
        <v>103</v>
      </c>
      <c r="D768" s="13" t="s">
        <v>7712</v>
      </c>
      <c r="E768" s="13" t="s">
        <v>471</v>
      </c>
      <c r="F768" s="13" t="s">
        <v>7712</v>
      </c>
      <c r="G768" s="13" t="s">
        <v>229</v>
      </c>
      <c r="H768" s="13" t="s">
        <v>820</v>
      </c>
      <c r="J768" s="13" t="s">
        <v>106</v>
      </c>
      <c r="W768" s="13">
        <v>767</v>
      </c>
      <c r="X768" s="13">
        <v>767</v>
      </c>
      <c r="Y768" s="13" t="s">
        <v>107</v>
      </c>
      <c r="Z768" s="13" t="s">
        <v>108</v>
      </c>
      <c r="AA768" s="13" t="s">
        <v>107</v>
      </c>
      <c r="AB768" s="13" t="s">
        <v>8275</v>
      </c>
      <c r="AC768" s="13" t="s">
        <v>8275</v>
      </c>
      <c r="AD768" s="13" t="s">
        <v>8275</v>
      </c>
      <c r="AE768" s="14" t="s">
        <v>112</v>
      </c>
      <c r="AF768" s="13" t="s">
        <v>8275</v>
      </c>
      <c r="AG768" s="13" t="s">
        <v>8275</v>
      </c>
      <c r="AH768" s="14" t="s">
        <v>8276</v>
      </c>
      <c r="AL768" s="13" t="s">
        <v>8277</v>
      </c>
      <c r="AN768" s="13">
        <v>329</v>
      </c>
      <c r="AO768" s="13" t="s">
        <v>8278</v>
      </c>
      <c r="AQ768" s="13" t="s">
        <v>8275</v>
      </c>
      <c r="AR768" s="13" t="s">
        <v>8275</v>
      </c>
      <c r="AS768" s="13" t="s">
        <v>116</v>
      </c>
      <c r="AT768" s="13" t="s">
        <v>8279</v>
      </c>
      <c r="AU768" s="13" t="s">
        <v>7958</v>
      </c>
      <c r="AV768" s="14" t="s">
        <v>2204</v>
      </c>
      <c r="AW768" s="15" t="s">
        <v>1691</v>
      </c>
      <c r="AX768" s="15" t="s">
        <v>1692</v>
      </c>
      <c r="AY768" s="13" t="s">
        <v>8279</v>
      </c>
      <c r="AZ768" s="13" t="s">
        <v>8280</v>
      </c>
      <c r="BA768" s="13" t="s">
        <v>8280</v>
      </c>
      <c r="BB768" s="13" t="s">
        <v>8281</v>
      </c>
      <c r="BC768" s="13" t="s">
        <v>8282</v>
      </c>
      <c r="BD768" s="13">
        <f t="shared" si="27"/>
        <v>60</v>
      </c>
      <c r="BE768" s="13" t="s">
        <v>1697</v>
      </c>
      <c r="BF768" s="13" t="s">
        <v>2453</v>
      </c>
      <c r="BG768" s="13" t="s">
        <v>2454</v>
      </c>
      <c r="BJ768" s="13" t="s">
        <v>7951</v>
      </c>
      <c r="BO768" s="13" t="s">
        <v>8283</v>
      </c>
      <c r="BS768" s="13" t="s">
        <v>127</v>
      </c>
      <c r="BU768" s="13" t="s">
        <v>129</v>
      </c>
      <c r="BX768" s="13" t="s">
        <v>8284</v>
      </c>
      <c r="CC768" s="13" t="s">
        <v>7963</v>
      </c>
      <c r="DA768" s="13" t="s">
        <v>10348</v>
      </c>
      <c r="DB768" s="13" t="s">
        <v>10348</v>
      </c>
    </row>
    <row r="769" spans="1:106" s="13" customFormat="1" ht="12.75" customHeight="1" x14ac:dyDescent="0.2">
      <c r="A769" s="13" t="s">
        <v>102</v>
      </c>
      <c r="B769" s="13" t="s">
        <v>103</v>
      </c>
      <c r="D769" s="13" t="s">
        <v>7712</v>
      </c>
      <c r="E769" s="13" t="s">
        <v>471</v>
      </c>
      <c r="F769" s="13" t="s">
        <v>7712</v>
      </c>
      <c r="G769" s="13" t="s">
        <v>229</v>
      </c>
      <c r="H769" s="13" t="s">
        <v>820</v>
      </c>
      <c r="J769" s="13" t="s">
        <v>106</v>
      </c>
      <c r="W769" s="13">
        <v>768</v>
      </c>
      <c r="X769" s="13">
        <v>768</v>
      </c>
      <c r="Y769" s="13" t="s">
        <v>107</v>
      </c>
      <c r="Z769" s="13" t="s">
        <v>108</v>
      </c>
      <c r="AA769" s="13" t="s">
        <v>107</v>
      </c>
      <c r="AB769" s="13" t="s">
        <v>8285</v>
      </c>
      <c r="AC769" s="13" t="s">
        <v>8285</v>
      </c>
      <c r="AD769" s="13" t="s">
        <v>8285</v>
      </c>
      <c r="AE769" s="14" t="s">
        <v>112</v>
      </c>
      <c r="AF769" s="13" t="s">
        <v>8285</v>
      </c>
      <c r="AG769" s="13" t="s">
        <v>8285</v>
      </c>
      <c r="AH769" s="14" t="s">
        <v>8286</v>
      </c>
      <c r="AL769" s="13" t="s">
        <v>8287</v>
      </c>
      <c r="AN769" s="13">
        <v>329</v>
      </c>
      <c r="AO769" s="13" t="s">
        <v>8288</v>
      </c>
      <c r="AQ769" s="13" t="s">
        <v>8285</v>
      </c>
      <c r="AR769" s="13" t="s">
        <v>8285</v>
      </c>
      <c r="AS769" s="13" t="s">
        <v>116</v>
      </c>
      <c r="AT769" s="13" t="s">
        <v>8289</v>
      </c>
      <c r="AU769" s="13" t="s">
        <v>7958</v>
      </c>
      <c r="AV769" s="14" t="s">
        <v>2204</v>
      </c>
      <c r="AW769" s="15" t="s">
        <v>1691</v>
      </c>
      <c r="AX769" s="15" t="s">
        <v>1692</v>
      </c>
      <c r="AY769" s="13" t="s">
        <v>8289</v>
      </c>
      <c r="AZ769" s="13" t="s">
        <v>8290</v>
      </c>
      <c r="BA769" s="13" t="s">
        <v>8290</v>
      </c>
      <c r="BB769" s="13" t="s">
        <v>8291</v>
      </c>
      <c r="BC769" s="13" t="s">
        <v>8291</v>
      </c>
      <c r="BD769" s="13">
        <f t="shared" si="27"/>
        <v>40</v>
      </c>
      <c r="BE769" s="13" t="s">
        <v>1697</v>
      </c>
      <c r="BF769" s="13" t="s">
        <v>2453</v>
      </c>
      <c r="BG769" s="13" t="s">
        <v>2454</v>
      </c>
      <c r="BJ769" s="13" t="s">
        <v>8292</v>
      </c>
      <c r="BS769" s="13" t="s">
        <v>127</v>
      </c>
      <c r="BU769" s="13" t="s">
        <v>129</v>
      </c>
      <c r="BX769" s="13" t="s">
        <v>8293</v>
      </c>
      <c r="CC769" s="13" t="s">
        <v>7963</v>
      </c>
      <c r="DA769" s="13" t="s">
        <v>10348</v>
      </c>
      <c r="DB769" s="13" t="s">
        <v>10348</v>
      </c>
    </row>
    <row r="770" spans="1:106" s="13" customFormat="1" ht="12.75" customHeight="1" x14ac:dyDescent="0.2">
      <c r="A770" s="13" t="s">
        <v>102</v>
      </c>
      <c r="B770" s="13" t="s">
        <v>103</v>
      </c>
      <c r="D770" s="13" t="s">
        <v>7712</v>
      </c>
      <c r="E770" s="13" t="s">
        <v>471</v>
      </c>
      <c r="F770" s="13" t="s">
        <v>7712</v>
      </c>
      <c r="G770" s="13" t="s">
        <v>229</v>
      </c>
      <c r="H770" s="13" t="s">
        <v>820</v>
      </c>
      <c r="J770" s="13" t="s">
        <v>106</v>
      </c>
      <c r="W770" s="13">
        <v>769</v>
      </c>
      <c r="X770" s="13">
        <v>769</v>
      </c>
      <c r="Y770" s="13" t="s">
        <v>107</v>
      </c>
      <c r="Z770" s="13" t="s">
        <v>108</v>
      </c>
      <c r="AA770" s="13" t="s">
        <v>107</v>
      </c>
      <c r="AB770" s="13" t="s">
        <v>8294</v>
      </c>
      <c r="AC770" s="13" t="s">
        <v>8294</v>
      </c>
      <c r="AD770" s="13" t="s">
        <v>8294</v>
      </c>
      <c r="AE770" s="14" t="s">
        <v>112</v>
      </c>
      <c r="AF770" s="13" t="s">
        <v>8294</v>
      </c>
      <c r="AG770" s="13" t="s">
        <v>8294</v>
      </c>
      <c r="AH770" s="14" t="s">
        <v>8295</v>
      </c>
      <c r="AL770" s="13" t="s">
        <v>8296</v>
      </c>
      <c r="AN770" s="13">
        <v>329</v>
      </c>
      <c r="AO770" s="13" t="s">
        <v>8297</v>
      </c>
      <c r="AQ770" s="13" t="s">
        <v>8294</v>
      </c>
      <c r="AR770" s="13" t="s">
        <v>8294</v>
      </c>
      <c r="AS770" s="13" t="s">
        <v>116</v>
      </c>
      <c r="AT770" s="13" t="s">
        <v>8298</v>
      </c>
      <c r="AU770" s="13" t="s">
        <v>7958</v>
      </c>
      <c r="AV770" s="14" t="s">
        <v>2204</v>
      </c>
      <c r="AW770" s="15" t="s">
        <v>1691</v>
      </c>
      <c r="AX770" s="15" t="s">
        <v>1692</v>
      </c>
      <c r="AY770" s="13" t="s">
        <v>8298</v>
      </c>
      <c r="AZ770" s="13" t="s">
        <v>8299</v>
      </c>
      <c r="BA770" s="13" t="s">
        <v>8299</v>
      </c>
      <c r="BB770" s="13" t="s">
        <v>8300</v>
      </c>
      <c r="BC770" s="13" t="s">
        <v>8301</v>
      </c>
      <c r="BD770" s="13">
        <f t="shared" si="27"/>
        <v>56</v>
      </c>
      <c r="BE770" s="13" t="s">
        <v>1697</v>
      </c>
      <c r="BF770" s="13" t="s">
        <v>2453</v>
      </c>
      <c r="BG770" s="13" t="s">
        <v>2454</v>
      </c>
      <c r="BJ770" s="13" t="s">
        <v>8302</v>
      </c>
      <c r="BO770" s="13" t="s">
        <v>8216</v>
      </c>
      <c r="BS770" s="13" t="s">
        <v>127</v>
      </c>
      <c r="BU770" s="13" t="s">
        <v>129</v>
      </c>
      <c r="BX770" s="13" t="s">
        <v>8303</v>
      </c>
      <c r="CC770" s="13" t="s">
        <v>7963</v>
      </c>
      <c r="DA770" s="13" t="s">
        <v>10348</v>
      </c>
      <c r="DB770" s="13" t="s">
        <v>10348</v>
      </c>
    </row>
    <row r="771" spans="1:106" s="13" customFormat="1" ht="12.75" customHeight="1" x14ac:dyDescent="0.2">
      <c r="A771" s="13" t="s">
        <v>102</v>
      </c>
      <c r="B771" s="13" t="s">
        <v>103</v>
      </c>
      <c r="D771" s="13" t="s">
        <v>7712</v>
      </c>
      <c r="E771" s="13" t="s">
        <v>471</v>
      </c>
      <c r="F771" s="13" t="s">
        <v>7712</v>
      </c>
      <c r="G771" s="13" t="s">
        <v>229</v>
      </c>
      <c r="H771" s="13" t="s">
        <v>820</v>
      </c>
      <c r="J771" s="13" t="s">
        <v>106</v>
      </c>
      <c r="W771" s="13">
        <v>770</v>
      </c>
      <c r="X771" s="13">
        <v>770</v>
      </c>
      <c r="Y771" s="13" t="s">
        <v>107</v>
      </c>
      <c r="Z771" s="13" t="s">
        <v>108</v>
      </c>
      <c r="AA771" s="13" t="s">
        <v>107</v>
      </c>
      <c r="AB771" s="13" t="s">
        <v>8304</v>
      </c>
      <c r="AC771" s="13" t="s">
        <v>8304</v>
      </c>
      <c r="AD771" s="13" t="s">
        <v>8304</v>
      </c>
      <c r="AE771" s="14" t="s">
        <v>112</v>
      </c>
      <c r="AF771" s="13" t="s">
        <v>8304</v>
      </c>
      <c r="AG771" s="13" t="s">
        <v>8304</v>
      </c>
      <c r="AH771" s="14" t="s">
        <v>8305</v>
      </c>
      <c r="AL771" s="13" t="s">
        <v>8306</v>
      </c>
      <c r="AN771" s="13">
        <v>329</v>
      </c>
      <c r="AO771" s="13" t="s">
        <v>8307</v>
      </c>
      <c r="AQ771" s="13" t="s">
        <v>8304</v>
      </c>
      <c r="AR771" s="13" t="s">
        <v>8304</v>
      </c>
      <c r="AS771" s="13" t="s">
        <v>116</v>
      </c>
      <c r="AT771" s="13" t="s">
        <v>8308</v>
      </c>
      <c r="AU771" s="13" t="s">
        <v>7958</v>
      </c>
      <c r="AV771" s="14" t="s">
        <v>2204</v>
      </c>
      <c r="AW771" s="15" t="s">
        <v>1691</v>
      </c>
      <c r="AX771" s="15" t="s">
        <v>1692</v>
      </c>
      <c r="AY771" s="13" t="s">
        <v>8308</v>
      </c>
      <c r="AZ771" s="13" t="s">
        <v>8309</v>
      </c>
      <c r="BA771" s="13" t="s">
        <v>8309</v>
      </c>
      <c r="BB771" s="13" t="s">
        <v>8310</v>
      </c>
      <c r="BC771" s="13" t="s">
        <v>8310</v>
      </c>
      <c r="BD771" s="13">
        <f t="shared" si="27"/>
        <v>39</v>
      </c>
      <c r="BE771" s="13" t="s">
        <v>1697</v>
      </c>
      <c r="BF771" s="13" t="s">
        <v>2453</v>
      </c>
      <c r="BG771" s="13" t="s">
        <v>2454</v>
      </c>
      <c r="BJ771" s="13" t="s">
        <v>1745</v>
      </c>
      <c r="BS771" s="13" t="s">
        <v>127</v>
      </c>
      <c r="BU771" s="13" t="s">
        <v>129</v>
      </c>
      <c r="BX771" s="13" t="s">
        <v>8311</v>
      </c>
      <c r="CC771" s="13" t="s">
        <v>7963</v>
      </c>
      <c r="DA771" s="13" t="s">
        <v>10348</v>
      </c>
      <c r="DB771" s="13" t="s">
        <v>10348</v>
      </c>
    </row>
    <row r="772" spans="1:106" s="13" customFormat="1" ht="12.75" customHeight="1" x14ac:dyDescent="0.2">
      <c r="A772" s="13" t="s">
        <v>102</v>
      </c>
      <c r="B772" s="13" t="s">
        <v>103</v>
      </c>
      <c r="D772" s="13" t="s">
        <v>7712</v>
      </c>
      <c r="E772" s="13" t="s">
        <v>471</v>
      </c>
      <c r="F772" s="13" t="s">
        <v>7712</v>
      </c>
      <c r="G772" s="13" t="s">
        <v>229</v>
      </c>
      <c r="H772" s="13" t="s">
        <v>820</v>
      </c>
      <c r="J772" s="13" t="s">
        <v>106</v>
      </c>
      <c r="W772" s="13">
        <v>771</v>
      </c>
      <c r="X772" s="13">
        <v>771</v>
      </c>
      <c r="Y772" s="13" t="s">
        <v>107</v>
      </c>
      <c r="Z772" s="13" t="s">
        <v>108</v>
      </c>
      <c r="AA772" s="13" t="s">
        <v>107</v>
      </c>
      <c r="AB772" s="13" t="s">
        <v>8312</v>
      </c>
      <c r="AC772" s="13" t="s">
        <v>8312</v>
      </c>
      <c r="AD772" s="13" t="s">
        <v>8312</v>
      </c>
      <c r="AE772" s="14" t="s">
        <v>112</v>
      </c>
      <c r="AF772" s="13" t="s">
        <v>8312</v>
      </c>
      <c r="AG772" s="13" t="s">
        <v>8312</v>
      </c>
      <c r="AH772" s="14" t="s">
        <v>8313</v>
      </c>
      <c r="AL772" s="13" t="s">
        <v>8314</v>
      </c>
      <c r="AN772" s="13">
        <v>329</v>
      </c>
      <c r="AO772" s="13" t="s">
        <v>8315</v>
      </c>
      <c r="AQ772" s="13" t="s">
        <v>8312</v>
      </c>
      <c r="AR772" s="13" t="s">
        <v>8312</v>
      </c>
      <c r="AS772" s="13" t="s">
        <v>116</v>
      </c>
      <c r="AT772" s="13" t="s">
        <v>8316</v>
      </c>
      <c r="AU772" s="13" t="s">
        <v>7958</v>
      </c>
      <c r="AV772" s="14" t="s">
        <v>2204</v>
      </c>
      <c r="AW772" s="15" t="s">
        <v>1691</v>
      </c>
      <c r="AX772" s="15" t="s">
        <v>1692</v>
      </c>
      <c r="AY772" s="13" t="s">
        <v>8316</v>
      </c>
      <c r="AZ772" s="13" t="s">
        <v>8317</v>
      </c>
      <c r="BA772" s="13" t="s">
        <v>8317</v>
      </c>
      <c r="BB772" s="13" t="s">
        <v>8318</v>
      </c>
      <c r="BC772" s="25" t="s">
        <v>8319</v>
      </c>
      <c r="BD772" s="13">
        <f t="shared" ref="BD772:BD803" si="28">LEN(SUBSTITUTE(BC772, ", ",","))</f>
        <v>56</v>
      </c>
      <c r="BE772" s="13" t="s">
        <v>1697</v>
      </c>
      <c r="BF772" s="13" t="s">
        <v>2453</v>
      </c>
      <c r="BG772" s="13" t="s">
        <v>2454</v>
      </c>
      <c r="BJ772" s="13" t="s">
        <v>8320</v>
      </c>
      <c r="BO772" s="13" t="s">
        <v>7981</v>
      </c>
      <c r="BS772" s="13" t="s">
        <v>127</v>
      </c>
      <c r="BU772" s="13" t="s">
        <v>129</v>
      </c>
      <c r="BX772" s="13" t="s">
        <v>8321</v>
      </c>
      <c r="CC772" s="13" t="s">
        <v>7963</v>
      </c>
      <c r="DA772" s="13" t="s">
        <v>10348</v>
      </c>
      <c r="DB772" s="13" t="s">
        <v>10348</v>
      </c>
    </row>
    <row r="773" spans="1:106" s="13" customFormat="1" ht="12.75" customHeight="1" x14ac:dyDescent="0.2">
      <c r="A773" s="13" t="s">
        <v>102</v>
      </c>
      <c r="B773" s="13" t="s">
        <v>103</v>
      </c>
      <c r="D773" s="13" t="s">
        <v>7712</v>
      </c>
      <c r="E773" s="13" t="s">
        <v>471</v>
      </c>
      <c r="F773" s="13" t="s">
        <v>7712</v>
      </c>
      <c r="G773" s="13" t="s">
        <v>229</v>
      </c>
      <c r="H773" s="13" t="s">
        <v>820</v>
      </c>
      <c r="J773" s="13" t="s">
        <v>106</v>
      </c>
      <c r="W773" s="13">
        <v>772</v>
      </c>
      <c r="X773" s="13">
        <v>772</v>
      </c>
      <c r="Y773" s="13" t="s">
        <v>107</v>
      </c>
      <c r="Z773" s="13" t="s">
        <v>108</v>
      </c>
      <c r="AA773" s="13" t="s">
        <v>107</v>
      </c>
      <c r="AB773" s="13" t="s">
        <v>8322</v>
      </c>
      <c r="AC773" s="13" t="s">
        <v>8322</v>
      </c>
      <c r="AD773" s="13" t="s">
        <v>8322</v>
      </c>
      <c r="AE773" s="14" t="s">
        <v>112</v>
      </c>
      <c r="AF773" s="13" t="s">
        <v>8322</v>
      </c>
      <c r="AG773" s="13" t="s">
        <v>8322</v>
      </c>
      <c r="AH773" s="14" t="s">
        <v>8323</v>
      </c>
      <c r="AL773" s="13" t="s">
        <v>8324</v>
      </c>
      <c r="AN773" s="13">
        <v>329</v>
      </c>
      <c r="AO773" s="13" t="s">
        <v>8325</v>
      </c>
      <c r="AQ773" s="13" t="s">
        <v>8322</v>
      </c>
      <c r="AR773" s="13" t="s">
        <v>8322</v>
      </c>
      <c r="AS773" s="13" t="s">
        <v>116</v>
      </c>
      <c r="AT773" s="13" t="s">
        <v>8326</v>
      </c>
      <c r="AU773" s="13" t="s">
        <v>7958</v>
      </c>
      <c r="AV773" s="14" t="s">
        <v>2204</v>
      </c>
      <c r="AW773" s="15" t="s">
        <v>1691</v>
      </c>
      <c r="AX773" s="15" t="s">
        <v>1692</v>
      </c>
      <c r="AY773" s="13" t="s">
        <v>8326</v>
      </c>
      <c r="AZ773" s="13" t="s">
        <v>8327</v>
      </c>
      <c r="BA773" s="13" t="s">
        <v>8327</v>
      </c>
      <c r="BB773" s="13" t="s">
        <v>8328</v>
      </c>
      <c r="BC773" s="13" t="s">
        <v>8328</v>
      </c>
      <c r="BD773" s="13">
        <f t="shared" si="28"/>
        <v>39</v>
      </c>
      <c r="BE773" s="13" t="s">
        <v>1697</v>
      </c>
      <c r="BF773" s="13" t="s">
        <v>2453</v>
      </c>
      <c r="BG773" s="13" t="s">
        <v>2454</v>
      </c>
      <c r="BJ773" s="13" t="s">
        <v>8329</v>
      </c>
      <c r="BS773" s="13" t="s">
        <v>127</v>
      </c>
      <c r="BU773" s="13" t="s">
        <v>129</v>
      </c>
      <c r="BX773" s="13" t="s">
        <v>8330</v>
      </c>
      <c r="CC773" s="13" t="s">
        <v>7963</v>
      </c>
      <c r="DA773" s="13" t="s">
        <v>10348</v>
      </c>
      <c r="DB773" s="13" t="s">
        <v>10348</v>
      </c>
    </row>
    <row r="774" spans="1:106" s="13" customFormat="1" ht="12.75" customHeight="1" x14ac:dyDescent="0.2">
      <c r="A774" s="13" t="s">
        <v>102</v>
      </c>
      <c r="B774" s="13" t="s">
        <v>103</v>
      </c>
      <c r="D774" s="13" t="s">
        <v>7712</v>
      </c>
      <c r="E774" s="13" t="s">
        <v>471</v>
      </c>
      <c r="F774" s="13" t="s">
        <v>7712</v>
      </c>
      <c r="G774" s="13" t="s">
        <v>229</v>
      </c>
      <c r="H774" s="13" t="s">
        <v>820</v>
      </c>
      <c r="J774" s="13" t="s">
        <v>106</v>
      </c>
      <c r="W774" s="13">
        <v>773</v>
      </c>
      <c r="X774" s="13">
        <v>773</v>
      </c>
      <c r="Y774" s="13" t="s">
        <v>107</v>
      </c>
      <c r="Z774" s="13" t="s">
        <v>108</v>
      </c>
      <c r="AA774" s="13" t="s">
        <v>107</v>
      </c>
      <c r="AB774" s="13" t="s">
        <v>8331</v>
      </c>
      <c r="AC774" s="13" t="s">
        <v>8331</v>
      </c>
      <c r="AD774" s="13" t="s">
        <v>8331</v>
      </c>
      <c r="AE774" s="14" t="s">
        <v>112</v>
      </c>
      <c r="AF774" s="13" t="s">
        <v>8331</v>
      </c>
      <c r="AG774" s="13" t="s">
        <v>8331</v>
      </c>
      <c r="AH774" s="14" t="s">
        <v>8332</v>
      </c>
      <c r="AL774" s="13" t="s">
        <v>8333</v>
      </c>
      <c r="AN774" s="13">
        <v>329</v>
      </c>
      <c r="AO774" s="13" t="s">
        <v>8334</v>
      </c>
      <c r="AQ774" s="13" t="s">
        <v>8331</v>
      </c>
      <c r="AR774" s="13" t="s">
        <v>8331</v>
      </c>
      <c r="AS774" s="13" t="s">
        <v>116</v>
      </c>
      <c r="AT774" s="13" t="s">
        <v>8335</v>
      </c>
      <c r="AU774" s="13" t="s">
        <v>7958</v>
      </c>
      <c r="AV774" s="14" t="s">
        <v>2204</v>
      </c>
      <c r="AW774" s="15" t="s">
        <v>1691</v>
      </c>
      <c r="AX774" s="15" t="s">
        <v>1692</v>
      </c>
      <c r="AY774" s="13" t="s">
        <v>8335</v>
      </c>
      <c r="AZ774" s="13" t="s">
        <v>8336</v>
      </c>
      <c r="BA774" s="13" t="s">
        <v>8336</v>
      </c>
      <c r="BB774" s="13" t="s">
        <v>8337</v>
      </c>
      <c r="BC774" s="13" t="s">
        <v>8338</v>
      </c>
      <c r="BD774" s="13">
        <f t="shared" si="28"/>
        <v>60</v>
      </c>
      <c r="BE774" s="13" t="s">
        <v>1697</v>
      </c>
      <c r="BF774" s="13" t="s">
        <v>2453</v>
      </c>
      <c r="BG774" s="13" t="s">
        <v>2454</v>
      </c>
      <c r="BJ774" s="13" t="s">
        <v>8339</v>
      </c>
      <c r="BO774" s="13" t="s">
        <v>8216</v>
      </c>
      <c r="BS774" s="13" t="s">
        <v>127</v>
      </c>
      <c r="BU774" s="13" t="s">
        <v>129</v>
      </c>
      <c r="BX774" s="13" t="s">
        <v>8340</v>
      </c>
      <c r="CC774" s="13" t="s">
        <v>7963</v>
      </c>
      <c r="DA774" s="13" t="s">
        <v>10348</v>
      </c>
      <c r="DB774" s="13" t="s">
        <v>10348</v>
      </c>
    </row>
    <row r="775" spans="1:106" s="13" customFormat="1" ht="12.75" customHeight="1" x14ac:dyDescent="0.2">
      <c r="A775" s="13" t="s">
        <v>102</v>
      </c>
      <c r="B775" s="13" t="s">
        <v>103</v>
      </c>
      <c r="D775" s="13" t="s">
        <v>7712</v>
      </c>
      <c r="E775" s="13" t="s">
        <v>471</v>
      </c>
      <c r="F775" s="13" t="s">
        <v>7712</v>
      </c>
      <c r="G775" s="13" t="s">
        <v>229</v>
      </c>
      <c r="H775" s="13" t="s">
        <v>820</v>
      </c>
      <c r="J775" s="13" t="s">
        <v>106</v>
      </c>
      <c r="W775" s="13">
        <v>774</v>
      </c>
      <c r="X775" s="13">
        <v>774</v>
      </c>
      <c r="Y775" s="13" t="s">
        <v>107</v>
      </c>
      <c r="Z775" s="13" t="s">
        <v>108</v>
      </c>
      <c r="AA775" s="13" t="s">
        <v>107</v>
      </c>
      <c r="AB775" s="13" t="s">
        <v>8341</v>
      </c>
      <c r="AC775" s="13" t="s">
        <v>8341</v>
      </c>
      <c r="AD775" s="13" t="s">
        <v>8341</v>
      </c>
      <c r="AE775" s="14" t="s">
        <v>112</v>
      </c>
      <c r="AF775" s="13" t="s">
        <v>8341</v>
      </c>
      <c r="AG775" s="13" t="s">
        <v>8341</v>
      </c>
      <c r="AH775" s="14" t="s">
        <v>8342</v>
      </c>
      <c r="AL775" s="13" t="s">
        <v>8343</v>
      </c>
      <c r="AN775" s="13">
        <v>329</v>
      </c>
      <c r="AO775" s="13" t="s">
        <v>8344</v>
      </c>
      <c r="AQ775" s="13" t="s">
        <v>8341</v>
      </c>
      <c r="AR775" s="13" t="s">
        <v>8341</v>
      </c>
      <c r="AS775" s="13" t="s">
        <v>116</v>
      </c>
      <c r="AT775" s="13" t="s">
        <v>8345</v>
      </c>
      <c r="AU775" s="13" t="s">
        <v>7958</v>
      </c>
      <c r="AV775" s="14" t="s">
        <v>2204</v>
      </c>
      <c r="AW775" s="15" t="s">
        <v>1691</v>
      </c>
      <c r="AX775" s="15" t="s">
        <v>1692</v>
      </c>
      <c r="AY775" s="13" t="s">
        <v>8345</v>
      </c>
      <c r="AZ775" s="13" t="s">
        <v>8346</v>
      </c>
      <c r="BA775" s="13" t="s">
        <v>8346</v>
      </c>
      <c r="BB775" s="13" t="s">
        <v>8347</v>
      </c>
      <c r="BC775" s="13" t="s">
        <v>8347</v>
      </c>
      <c r="BD775" s="13">
        <f t="shared" si="28"/>
        <v>39</v>
      </c>
      <c r="BE775" s="13" t="s">
        <v>1697</v>
      </c>
      <c r="BF775" s="13" t="s">
        <v>2453</v>
      </c>
      <c r="BG775" s="13" t="s">
        <v>2454</v>
      </c>
      <c r="BJ775" s="13" t="s">
        <v>8348</v>
      </c>
      <c r="BS775" s="13" t="s">
        <v>127</v>
      </c>
      <c r="BU775" s="13" t="s">
        <v>129</v>
      </c>
      <c r="BX775" s="13" t="s">
        <v>8349</v>
      </c>
      <c r="CC775" s="13" t="s">
        <v>7963</v>
      </c>
      <c r="DA775" s="13" t="s">
        <v>10348</v>
      </c>
      <c r="DB775" s="13" t="s">
        <v>10348</v>
      </c>
    </row>
    <row r="776" spans="1:106" s="13" customFormat="1" ht="12.75" customHeight="1" x14ac:dyDescent="0.2">
      <c r="A776" s="13" t="s">
        <v>102</v>
      </c>
      <c r="B776" s="13" t="s">
        <v>103</v>
      </c>
      <c r="D776" s="13" t="s">
        <v>7712</v>
      </c>
      <c r="E776" s="13" t="s">
        <v>471</v>
      </c>
      <c r="F776" s="13" t="s">
        <v>7712</v>
      </c>
      <c r="G776" s="13" t="s">
        <v>229</v>
      </c>
      <c r="H776" s="13" t="s">
        <v>820</v>
      </c>
      <c r="J776" s="13" t="s">
        <v>106</v>
      </c>
      <c r="W776" s="13">
        <v>775</v>
      </c>
      <c r="X776" s="13">
        <v>775</v>
      </c>
      <c r="Y776" s="13" t="s">
        <v>107</v>
      </c>
      <c r="Z776" s="13" t="s">
        <v>108</v>
      </c>
      <c r="AA776" s="13" t="s">
        <v>107</v>
      </c>
      <c r="AB776" s="13" t="s">
        <v>8350</v>
      </c>
      <c r="AC776" s="13" t="s">
        <v>8350</v>
      </c>
      <c r="AD776" s="13" t="s">
        <v>8350</v>
      </c>
      <c r="AE776" s="14" t="s">
        <v>112</v>
      </c>
      <c r="AF776" s="13" t="s">
        <v>8350</v>
      </c>
      <c r="AG776" s="13" t="s">
        <v>8350</v>
      </c>
      <c r="AH776" s="14" t="s">
        <v>8351</v>
      </c>
      <c r="AL776" s="13" t="s">
        <v>8352</v>
      </c>
      <c r="AN776" s="13">
        <v>329</v>
      </c>
      <c r="AO776" s="13" t="s">
        <v>8353</v>
      </c>
      <c r="AQ776" s="13" t="s">
        <v>8350</v>
      </c>
      <c r="AR776" s="13" t="s">
        <v>8350</v>
      </c>
      <c r="AS776" s="13" t="s">
        <v>116</v>
      </c>
      <c r="AT776" s="13" t="s">
        <v>8354</v>
      </c>
      <c r="AU776" s="13" t="s">
        <v>7958</v>
      </c>
      <c r="AV776" s="14" t="s">
        <v>2204</v>
      </c>
      <c r="AW776" s="15" t="s">
        <v>1691</v>
      </c>
      <c r="AX776" s="15" t="s">
        <v>1692</v>
      </c>
      <c r="AY776" s="13" t="s">
        <v>8354</v>
      </c>
      <c r="AZ776" s="13" t="s">
        <v>8355</v>
      </c>
      <c r="BA776" s="13" t="s">
        <v>8355</v>
      </c>
      <c r="BB776" s="13" t="s">
        <v>8356</v>
      </c>
      <c r="BC776" s="13" t="s">
        <v>8357</v>
      </c>
      <c r="BD776" s="13">
        <f t="shared" si="28"/>
        <v>56</v>
      </c>
      <c r="BE776" s="13" t="s">
        <v>1697</v>
      </c>
      <c r="BF776" s="13" t="s">
        <v>2453</v>
      </c>
      <c r="BG776" s="13" t="s">
        <v>2454</v>
      </c>
      <c r="BJ776" s="13" t="s">
        <v>8358</v>
      </c>
      <c r="BO776" s="13" t="s">
        <v>8216</v>
      </c>
      <c r="BS776" s="13" t="s">
        <v>127</v>
      </c>
      <c r="BU776" s="13" t="s">
        <v>129</v>
      </c>
      <c r="BX776" s="13" t="s">
        <v>8359</v>
      </c>
      <c r="CC776" s="13" t="s">
        <v>7963</v>
      </c>
      <c r="DA776" s="13" t="s">
        <v>10348</v>
      </c>
      <c r="DB776" s="13" t="s">
        <v>10348</v>
      </c>
    </row>
    <row r="777" spans="1:106" s="13" customFormat="1" ht="12.75" customHeight="1" x14ac:dyDescent="0.2">
      <c r="A777" s="13" t="s">
        <v>102</v>
      </c>
      <c r="B777" s="13" t="s">
        <v>103</v>
      </c>
      <c r="D777" s="13" t="s">
        <v>7712</v>
      </c>
      <c r="E777" s="13" t="s">
        <v>471</v>
      </c>
      <c r="F777" s="13" t="s">
        <v>7712</v>
      </c>
      <c r="G777" s="13" t="s">
        <v>229</v>
      </c>
      <c r="H777" s="13" t="s">
        <v>820</v>
      </c>
      <c r="J777" s="13" t="s">
        <v>106</v>
      </c>
      <c r="W777" s="13">
        <v>776</v>
      </c>
      <c r="X777" s="13">
        <v>776</v>
      </c>
      <c r="Y777" s="13" t="s">
        <v>107</v>
      </c>
      <c r="Z777" s="13" t="s">
        <v>108</v>
      </c>
      <c r="AA777" s="13" t="s">
        <v>107</v>
      </c>
      <c r="AB777" s="13" t="s">
        <v>8360</v>
      </c>
      <c r="AC777" s="13" t="s">
        <v>8360</v>
      </c>
      <c r="AD777" s="13" t="s">
        <v>8360</v>
      </c>
      <c r="AE777" s="14" t="s">
        <v>112</v>
      </c>
      <c r="AF777" s="13" t="s">
        <v>8360</v>
      </c>
      <c r="AG777" s="13" t="s">
        <v>8360</v>
      </c>
      <c r="AH777" s="14" t="s">
        <v>8361</v>
      </c>
      <c r="AL777" s="13" t="s">
        <v>8362</v>
      </c>
      <c r="AN777" s="13">
        <v>329</v>
      </c>
      <c r="AO777" s="13" t="s">
        <v>8363</v>
      </c>
      <c r="AQ777" s="13" t="s">
        <v>8360</v>
      </c>
      <c r="AR777" s="13" t="s">
        <v>8360</v>
      </c>
      <c r="AS777" s="13" t="s">
        <v>116</v>
      </c>
      <c r="AT777" s="13" t="s">
        <v>8364</v>
      </c>
      <c r="AU777" s="13" t="s">
        <v>7958</v>
      </c>
      <c r="AV777" s="14" t="s">
        <v>2204</v>
      </c>
      <c r="AW777" s="15" t="s">
        <v>1691</v>
      </c>
      <c r="AX777" s="15" t="s">
        <v>1692</v>
      </c>
      <c r="AY777" s="13" t="s">
        <v>8364</v>
      </c>
      <c r="AZ777" s="13" t="s">
        <v>8365</v>
      </c>
      <c r="BA777" s="13" t="s">
        <v>8365</v>
      </c>
      <c r="BB777" s="13" t="s">
        <v>8366</v>
      </c>
      <c r="BC777" s="13" t="s">
        <v>8366</v>
      </c>
      <c r="BD777" s="13">
        <f t="shared" si="28"/>
        <v>40</v>
      </c>
      <c r="BE777" s="13" t="s">
        <v>1697</v>
      </c>
      <c r="BF777" s="13" t="s">
        <v>2453</v>
      </c>
      <c r="BG777" s="13" t="s">
        <v>2454</v>
      </c>
      <c r="BJ777" s="13" t="s">
        <v>8367</v>
      </c>
      <c r="BS777" s="13" t="s">
        <v>127</v>
      </c>
      <c r="BU777" s="13" t="s">
        <v>129</v>
      </c>
      <c r="BX777" s="13" t="s">
        <v>8368</v>
      </c>
      <c r="CC777" s="13" t="s">
        <v>7963</v>
      </c>
      <c r="DA777" s="13" t="s">
        <v>10348</v>
      </c>
      <c r="DB777" s="13" t="s">
        <v>10348</v>
      </c>
    </row>
    <row r="778" spans="1:106" s="13" customFormat="1" ht="12.75" customHeight="1" x14ac:dyDescent="0.2">
      <c r="A778" s="13" t="s">
        <v>102</v>
      </c>
      <c r="B778" s="13" t="s">
        <v>103</v>
      </c>
      <c r="D778" s="13" t="s">
        <v>7712</v>
      </c>
      <c r="E778" s="13" t="s">
        <v>471</v>
      </c>
      <c r="F778" s="13" t="s">
        <v>7712</v>
      </c>
      <c r="G778" s="13" t="s">
        <v>229</v>
      </c>
      <c r="H778" s="13" t="s">
        <v>820</v>
      </c>
      <c r="J778" s="13" t="s">
        <v>106</v>
      </c>
      <c r="W778" s="13">
        <v>777</v>
      </c>
      <c r="X778" s="13">
        <v>777</v>
      </c>
      <c r="Y778" s="13" t="s">
        <v>107</v>
      </c>
      <c r="Z778" s="13" t="s">
        <v>108</v>
      </c>
      <c r="AA778" s="13" t="s">
        <v>107</v>
      </c>
      <c r="AB778" s="13" t="s">
        <v>8369</v>
      </c>
      <c r="AC778" s="13" t="s">
        <v>8369</v>
      </c>
      <c r="AD778" s="13" t="s">
        <v>8369</v>
      </c>
      <c r="AE778" s="14" t="s">
        <v>112</v>
      </c>
      <c r="AF778" s="13" t="s">
        <v>8369</v>
      </c>
      <c r="AG778" s="13" t="s">
        <v>8369</v>
      </c>
      <c r="AH778" s="14" t="s">
        <v>8370</v>
      </c>
      <c r="AL778" s="13" t="s">
        <v>8371</v>
      </c>
      <c r="AN778" s="13">
        <v>329</v>
      </c>
      <c r="AO778" s="13" t="s">
        <v>8372</v>
      </c>
      <c r="AQ778" s="13" t="s">
        <v>8369</v>
      </c>
      <c r="AR778" s="13" t="s">
        <v>8369</v>
      </c>
      <c r="AS778" s="13" t="s">
        <v>116</v>
      </c>
      <c r="AT778" s="13" t="s">
        <v>8373</v>
      </c>
      <c r="AU778" s="13" t="s">
        <v>7958</v>
      </c>
      <c r="AV778" s="14" t="s">
        <v>2204</v>
      </c>
      <c r="AW778" s="15" t="s">
        <v>1691</v>
      </c>
      <c r="AX778" s="15" t="s">
        <v>1692</v>
      </c>
      <c r="AY778" s="13" t="s">
        <v>8373</v>
      </c>
      <c r="AZ778" s="13" t="s">
        <v>8374</v>
      </c>
      <c r="BA778" s="13" t="s">
        <v>8374</v>
      </c>
      <c r="BB778" s="13" t="s">
        <v>8375</v>
      </c>
      <c r="BC778" s="13" t="s">
        <v>8375</v>
      </c>
      <c r="BD778" s="13">
        <f t="shared" si="28"/>
        <v>40</v>
      </c>
      <c r="BE778" s="13" t="s">
        <v>1697</v>
      </c>
      <c r="BF778" s="13" t="s">
        <v>2453</v>
      </c>
      <c r="BG778" s="13" t="s">
        <v>2454</v>
      </c>
      <c r="BJ778" s="13" t="s">
        <v>8376</v>
      </c>
      <c r="BS778" s="13" t="s">
        <v>127</v>
      </c>
      <c r="BU778" s="13" t="s">
        <v>129</v>
      </c>
      <c r="BX778" s="13" t="s">
        <v>8377</v>
      </c>
      <c r="CC778" s="13" t="s">
        <v>7963</v>
      </c>
      <c r="DA778" s="13" t="s">
        <v>10348</v>
      </c>
      <c r="DB778" s="13" t="s">
        <v>10348</v>
      </c>
    </row>
    <row r="779" spans="1:106" s="13" customFormat="1" ht="12.75" customHeight="1" x14ac:dyDescent="0.2">
      <c r="A779" s="13" t="s">
        <v>102</v>
      </c>
      <c r="B779" s="13" t="s">
        <v>103</v>
      </c>
      <c r="D779" s="13" t="s">
        <v>7712</v>
      </c>
      <c r="E779" s="13" t="s">
        <v>228</v>
      </c>
      <c r="F779" s="13" t="s">
        <v>7712</v>
      </c>
      <c r="G779" s="13" t="s">
        <v>229</v>
      </c>
      <c r="H779" s="13" t="s">
        <v>820</v>
      </c>
      <c r="J779" s="13" t="s">
        <v>106</v>
      </c>
      <c r="W779" s="13">
        <v>778</v>
      </c>
      <c r="X779" s="13">
        <v>778</v>
      </c>
      <c r="Y779" s="13" t="s">
        <v>107</v>
      </c>
      <c r="Z779" s="13" t="s">
        <v>108</v>
      </c>
      <c r="AA779" s="13" t="s">
        <v>107</v>
      </c>
      <c r="AB779" s="13" t="s">
        <v>8378</v>
      </c>
      <c r="AC779" s="13" t="s">
        <v>8378</v>
      </c>
      <c r="AD779" s="13" t="s">
        <v>8378</v>
      </c>
      <c r="AE779" s="14" t="s">
        <v>112</v>
      </c>
      <c r="AF779" s="13" t="s">
        <v>8378</v>
      </c>
      <c r="AG779" s="13" t="s">
        <v>8378</v>
      </c>
      <c r="AH779" s="14" t="s">
        <v>8379</v>
      </c>
      <c r="AL779" s="13" t="s">
        <v>8380</v>
      </c>
      <c r="AN779" s="13">
        <v>329</v>
      </c>
      <c r="AO779" s="13" t="s">
        <v>8381</v>
      </c>
      <c r="AQ779" s="13" t="s">
        <v>8378</v>
      </c>
      <c r="AR779" s="13" t="s">
        <v>8378</v>
      </c>
      <c r="AS779" s="13" t="s">
        <v>116</v>
      </c>
      <c r="AT779" s="13" t="s">
        <v>8382</v>
      </c>
      <c r="AU779" s="13" t="s">
        <v>8383</v>
      </c>
      <c r="AV779" s="14" t="s">
        <v>2204</v>
      </c>
      <c r="AW779" s="15" t="s">
        <v>1691</v>
      </c>
      <c r="AX779" s="15" t="s">
        <v>1692</v>
      </c>
      <c r="AY779" s="13" t="s">
        <v>8382</v>
      </c>
      <c r="AZ779" s="13" t="s">
        <v>8384</v>
      </c>
      <c r="BA779" s="13" t="s">
        <v>8384</v>
      </c>
      <c r="BB779" s="13" t="s">
        <v>8385</v>
      </c>
      <c r="BC779" s="13" t="s">
        <v>8385</v>
      </c>
      <c r="BD779" s="13">
        <f t="shared" si="28"/>
        <v>56</v>
      </c>
      <c r="BE779" s="13" t="s">
        <v>1697</v>
      </c>
      <c r="BF779" s="13" t="s">
        <v>951</v>
      </c>
      <c r="BG779" s="13" t="s">
        <v>7584</v>
      </c>
      <c r="BJ779" s="13" t="s">
        <v>7722</v>
      </c>
      <c r="BO779" s="13" t="s">
        <v>7723</v>
      </c>
      <c r="BS779" s="13" t="s">
        <v>127</v>
      </c>
      <c r="BU779" s="13" t="s">
        <v>129</v>
      </c>
      <c r="BX779" s="13" t="s">
        <v>8386</v>
      </c>
      <c r="DA779" s="13" t="s">
        <v>10348</v>
      </c>
      <c r="DB779" s="13" t="s">
        <v>10348</v>
      </c>
    </row>
    <row r="780" spans="1:106" s="13" customFormat="1" ht="12.75" customHeight="1" x14ac:dyDescent="0.2">
      <c r="A780" s="13" t="s">
        <v>102</v>
      </c>
      <c r="B780" s="13" t="s">
        <v>103</v>
      </c>
      <c r="D780" s="13" t="s">
        <v>7712</v>
      </c>
      <c r="E780" s="13" t="s">
        <v>228</v>
      </c>
      <c r="F780" s="13" t="s">
        <v>7712</v>
      </c>
      <c r="G780" s="13" t="s">
        <v>229</v>
      </c>
      <c r="H780" s="13" t="s">
        <v>820</v>
      </c>
      <c r="J780" s="13" t="s">
        <v>106</v>
      </c>
      <c r="W780" s="13">
        <v>779</v>
      </c>
      <c r="X780" s="13">
        <v>779</v>
      </c>
      <c r="Y780" s="13" t="s">
        <v>107</v>
      </c>
      <c r="Z780" s="13" t="s">
        <v>108</v>
      </c>
      <c r="AA780" s="13" t="s">
        <v>107</v>
      </c>
      <c r="AB780" s="13" t="s">
        <v>8387</v>
      </c>
      <c r="AC780" s="13" t="s">
        <v>8387</v>
      </c>
      <c r="AD780" s="13" t="s">
        <v>8387</v>
      </c>
      <c r="AE780" s="14" t="s">
        <v>112</v>
      </c>
      <c r="AF780" s="13" t="s">
        <v>8387</v>
      </c>
      <c r="AG780" s="13" t="s">
        <v>8387</v>
      </c>
      <c r="AH780" s="14" t="s">
        <v>8388</v>
      </c>
      <c r="AL780" s="13" t="s">
        <v>8389</v>
      </c>
      <c r="AN780" s="13">
        <v>329</v>
      </c>
      <c r="AO780" s="13" t="s">
        <v>8390</v>
      </c>
      <c r="AQ780" s="13" t="s">
        <v>8387</v>
      </c>
      <c r="AR780" s="13" t="s">
        <v>8387</v>
      </c>
      <c r="AS780" s="13" t="s">
        <v>116</v>
      </c>
      <c r="AT780" s="13" t="s">
        <v>8391</v>
      </c>
      <c r="AU780" s="13" t="s">
        <v>8383</v>
      </c>
      <c r="AV780" s="14" t="s">
        <v>2204</v>
      </c>
      <c r="AW780" s="15" t="s">
        <v>1691</v>
      </c>
      <c r="AX780" s="15" t="s">
        <v>1692</v>
      </c>
      <c r="AY780" s="13" t="s">
        <v>8391</v>
      </c>
      <c r="AZ780" s="13" t="s">
        <v>8392</v>
      </c>
      <c r="BA780" s="13" t="s">
        <v>8392</v>
      </c>
      <c r="BB780" s="13" t="s">
        <v>8393</v>
      </c>
      <c r="BC780" s="13" t="s">
        <v>8393</v>
      </c>
      <c r="BD780" s="13">
        <f t="shared" si="28"/>
        <v>57</v>
      </c>
      <c r="BE780" s="13" t="s">
        <v>1697</v>
      </c>
      <c r="BF780" s="13" t="s">
        <v>951</v>
      </c>
      <c r="BG780" s="13" t="s">
        <v>7584</v>
      </c>
      <c r="BJ780" s="13" t="s">
        <v>7585</v>
      </c>
      <c r="BO780" s="13" t="s">
        <v>7723</v>
      </c>
      <c r="BS780" s="13" t="s">
        <v>127</v>
      </c>
      <c r="BU780" s="13" t="s">
        <v>129</v>
      </c>
      <c r="BX780" s="13" t="s">
        <v>8394</v>
      </c>
      <c r="DA780" s="13" t="s">
        <v>10348</v>
      </c>
      <c r="DB780" s="13" t="s">
        <v>10348</v>
      </c>
    </row>
    <row r="781" spans="1:106" s="13" customFormat="1" ht="12.75" customHeight="1" x14ac:dyDescent="0.2">
      <c r="A781" s="13" t="s">
        <v>102</v>
      </c>
      <c r="B781" s="13" t="s">
        <v>103</v>
      </c>
      <c r="D781" s="13" t="s">
        <v>7712</v>
      </c>
      <c r="E781" s="13" t="s">
        <v>228</v>
      </c>
      <c r="F781" s="13" t="s">
        <v>7712</v>
      </c>
      <c r="G781" s="13" t="s">
        <v>229</v>
      </c>
      <c r="H781" s="13" t="s">
        <v>820</v>
      </c>
      <c r="J781" s="13" t="s">
        <v>106</v>
      </c>
      <c r="W781" s="13">
        <v>780</v>
      </c>
      <c r="X781" s="13">
        <v>780</v>
      </c>
      <c r="Y781" s="13" t="s">
        <v>107</v>
      </c>
      <c r="Z781" s="13" t="s">
        <v>108</v>
      </c>
      <c r="AA781" s="13" t="s">
        <v>107</v>
      </c>
      <c r="AB781" s="13" t="s">
        <v>8395</v>
      </c>
      <c r="AC781" s="13" t="s">
        <v>8395</v>
      </c>
      <c r="AD781" s="13" t="s">
        <v>8395</v>
      </c>
      <c r="AE781" s="14" t="s">
        <v>112</v>
      </c>
      <c r="AF781" s="13" t="s">
        <v>8395</v>
      </c>
      <c r="AG781" s="13" t="s">
        <v>8395</v>
      </c>
      <c r="AH781" s="14" t="s">
        <v>8396</v>
      </c>
      <c r="AL781" s="13" t="s">
        <v>8397</v>
      </c>
      <c r="AN781" s="13">
        <v>329</v>
      </c>
      <c r="AO781" s="13" t="s">
        <v>8398</v>
      </c>
      <c r="AQ781" s="13" t="s">
        <v>8395</v>
      </c>
      <c r="AR781" s="13" t="s">
        <v>8395</v>
      </c>
      <c r="AS781" s="13" t="s">
        <v>116</v>
      </c>
      <c r="AT781" s="13" t="s">
        <v>8399</v>
      </c>
      <c r="AU781" s="13" t="s">
        <v>8383</v>
      </c>
      <c r="AV781" s="14" t="s">
        <v>2204</v>
      </c>
      <c r="AW781" s="15" t="s">
        <v>1691</v>
      </c>
      <c r="AX781" s="15" t="s">
        <v>1692</v>
      </c>
      <c r="AY781" s="13" t="s">
        <v>8399</v>
      </c>
      <c r="AZ781" s="13" t="s">
        <v>8400</v>
      </c>
      <c r="BA781" s="13" t="s">
        <v>8400</v>
      </c>
      <c r="BB781" s="13" t="s">
        <v>8401</v>
      </c>
      <c r="BC781" s="13" t="s">
        <v>8401</v>
      </c>
      <c r="BD781" s="13">
        <f t="shared" si="28"/>
        <v>57</v>
      </c>
      <c r="BE781" s="13" t="s">
        <v>1697</v>
      </c>
      <c r="BF781" s="13" t="s">
        <v>951</v>
      </c>
      <c r="BG781" s="13" t="s">
        <v>7584</v>
      </c>
      <c r="BJ781" s="13" t="s">
        <v>5663</v>
      </c>
      <c r="BO781" s="13" t="s">
        <v>7723</v>
      </c>
      <c r="BS781" s="13" t="s">
        <v>127</v>
      </c>
      <c r="BU781" s="13" t="s">
        <v>129</v>
      </c>
      <c r="BX781" s="13" t="s">
        <v>8402</v>
      </c>
      <c r="DA781" s="13" t="s">
        <v>10348</v>
      </c>
      <c r="DB781" s="13" t="s">
        <v>10348</v>
      </c>
    </row>
    <row r="782" spans="1:106" s="13" customFormat="1" ht="12.75" customHeight="1" x14ac:dyDescent="0.2">
      <c r="A782" s="13" t="s">
        <v>102</v>
      </c>
      <c r="B782" s="13" t="s">
        <v>103</v>
      </c>
      <c r="D782" s="13" t="s">
        <v>7712</v>
      </c>
      <c r="E782" s="13" t="s">
        <v>228</v>
      </c>
      <c r="F782" s="13" t="s">
        <v>7712</v>
      </c>
      <c r="G782" s="13" t="s">
        <v>229</v>
      </c>
      <c r="H782" s="13" t="s">
        <v>820</v>
      </c>
      <c r="J782" s="13" t="s">
        <v>106</v>
      </c>
      <c r="W782" s="13">
        <v>781</v>
      </c>
      <c r="X782" s="13">
        <v>781</v>
      </c>
      <c r="Y782" s="13" t="s">
        <v>107</v>
      </c>
      <c r="Z782" s="13" t="s">
        <v>108</v>
      </c>
      <c r="AA782" s="13" t="s">
        <v>107</v>
      </c>
      <c r="AB782" s="13" t="s">
        <v>8403</v>
      </c>
      <c r="AC782" s="13" t="s">
        <v>8403</v>
      </c>
      <c r="AD782" s="13" t="s">
        <v>8403</v>
      </c>
      <c r="AE782" s="14" t="s">
        <v>112</v>
      </c>
      <c r="AF782" s="13" t="s">
        <v>8403</v>
      </c>
      <c r="AG782" s="13" t="s">
        <v>8403</v>
      </c>
      <c r="AH782" s="14" t="s">
        <v>8404</v>
      </c>
      <c r="AL782" s="13" t="s">
        <v>8405</v>
      </c>
      <c r="AN782" s="13">
        <v>329</v>
      </c>
      <c r="AO782" s="13" t="s">
        <v>8406</v>
      </c>
      <c r="AQ782" s="13" t="s">
        <v>8403</v>
      </c>
      <c r="AR782" s="13" t="s">
        <v>8403</v>
      </c>
      <c r="AS782" s="13" t="s">
        <v>116</v>
      </c>
      <c r="AT782" s="13" t="s">
        <v>8407</v>
      </c>
      <c r="AU782" s="13" t="s">
        <v>8383</v>
      </c>
      <c r="AV782" s="14" t="s">
        <v>2204</v>
      </c>
      <c r="AW782" s="15" t="s">
        <v>1691</v>
      </c>
      <c r="AX782" s="15" t="s">
        <v>1692</v>
      </c>
      <c r="AY782" s="13" t="s">
        <v>8407</v>
      </c>
      <c r="AZ782" s="13" t="s">
        <v>8408</v>
      </c>
      <c r="BA782" s="13" t="s">
        <v>8408</v>
      </c>
      <c r="BB782" s="13" t="s">
        <v>8409</v>
      </c>
      <c r="BC782" s="13" t="s">
        <v>8409</v>
      </c>
      <c r="BD782" s="13">
        <f t="shared" si="28"/>
        <v>56</v>
      </c>
      <c r="BE782" s="13" t="s">
        <v>1697</v>
      </c>
      <c r="BF782" s="13" t="s">
        <v>951</v>
      </c>
      <c r="BG782" s="13" t="s">
        <v>7584</v>
      </c>
      <c r="BJ782" s="13" t="s">
        <v>7769</v>
      </c>
      <c r="BO782" s="13" t="s">
        <v>7723</v>
      </c>
      <c r="BS782" s="13" t="s">
        <v>127</v>
      </c>
      <c r="BU782" s="13" t="s">
        <v>129</v>
      </c>
      <c r="BX782" s="13" t="s">
        <v>8410</v>
      </c>
      <c r="DA782" s="13" t="s">
        <v>10348</v>
      </c>
      <c r="DB782" s="13" t="s">
        <v>10348</v>
      </c>
    </row>
    <row r="783" spans="1:106" s="13" customFormat="1" ht="12.75" customHeight="1" x14ac:dyDescent="0.2">
      <c r="A783" s="13" t="s">
        <v>102</v>
      </c>
      <c r="B783" s="13" t="s">
        <v>103</v>
      </c>
      <c r="D783" s="13" t="s">
        <v>7712</v>
      </c>
      <c r="E783" s="13" t="s">
        <v>228</v>
      </c>
      <c r="F783" s="13" t="s">
        <v>7712</v>
      </c>
      <c r="G783" s="13" t="s">
        <v>229</v>
      </c>
      <c r="H783" s="13" t="s">
        <v>820</v>
      </c>
      <c r="J783" s="13" t="s">
        <v>106</v>
      </c>
      <c r="W783" s="13">
        <v>782</v>
      </c>
      <c r="X783" s="13">
        <v>782</v>
      </c>
      <c r="Y783" s="13" t="s">
        <v>107</v>
      </c>
      <c r="Z783" s="13" t="s">
        <v>108</v>
      </c>
      <c r="AA783" s="13" t="s">
        <v>107</v>
      </c>
      <c r="AB783" s="13" t="s">
        <v>8411</v>
      </c>
      <c r="AC783" s="13" t="s">
        <v>8411</v>
      </c>
      <c r="AD783" s="13" t="s">
        <v>8411</v>
      </c>
      <c r="AE783" s="14" t="s">
        <v>112</v>
      </c>
      <c r="AF783" s="13" t="s">
        <v>8411</v>
      </c>
      <c r="AG783" s="13" t="s">
        <v>8411</v>
      </c>
      <c r="AH783" s="14" t="s">
        <v>8412</v>
      </c>
      <c r="AL783" s="13" t="s">
        <v>8413</v>
      </c>
      <c r="AN783" s="13">
        <v>329</v>
      </c>
      <c r="AO783" s="13" t="s">
        <v>8414</v>
      </c>
      <c r="AQ783" s="13" t="s">
        <v>8411</v>
      </c>
      <c r="AR783" s="13" t="s">
        <v>8411</v>
      </c>
      <c r="AS783" s="13" t="s">
        <v>116</v>
      </c>
      <c r="AT783" s="13" t="s">
        <v>8415</v>
      </c>
      <c r="AU783" s="13" t="s">
        <v>8383</v>
      </c>
      <c r="AV783" s="14" t="s">
        <v>2204</v>
      </c>
      <c r="AW783" s="15" t="s">
        <v>1691</v>
      </c>
      <c r="AX783" s="15" t="s">
        <v>1692</v>
      </c>
      <c r="AY783" s="13" t="s">
        <v>8415</v>
      </c>
      <c r="AZ783" s="13" t="s">
        <v>8416</v>
      </c>
      <c r="BA783" s="13" t="s">
        <v>8416</v>
      </c>
      <c r="BB783" s="13" t="s">
        <v>8417</v>
      </c>
      <c r="BC783" s="13" t="s">
        <v>8417</v>
      </c>
      <c r="BD783" s="13">
        <f t="shared" si="28"/>
        <v>57</v>
      </c>
      <c r="BE783" s="13" t="s">
        <v>1697</v>
      </c>
      <c r="BF783" s="13" t="s">
        <v>951</v>
      </c>
      <c r="BG783" s="13" t="s">
        <v>7584</v>
      </c>
      <c r="BJ783" s="13" t="s">
        <v>7138</v>
      </c>
      <c r="BO783" s="13" t="s">
        <v>7723</v>
      </c>
      <c r="BS783" s="13" t="s">
        <v>127</v>
      </c>
      <c r="BU783" s="13" t="s">
        <v>129</v>
      </c>
      <c r="BX783" s="13" t="s">
        <v>8418</v>
      </c>
      <c r="DA783" s="13" t="s">
        <v>10348</v>
      </c>
      <c r="DB783" s="13" t="s">
        <v>10348</v>
      </c>
    </row>
    <row r="784" spans="1:106" s="13" customFormat="1" ht="12.75" customHeight="1" x14ac:dyDescent="0.2">
      <c r="A784" s="13" t="s">
        <v>102</v>
      </c>
      <c r="B784" s="13" t="s">
        <v>103</v>
      </c>
      <c r="D784" s="13" t="s">
        <v>7712</v>
      </c>
      <c r="E784" s="13" t="s">
        <v>228</v>
      </c>
      <c r="F784" s="13" t="s">
        <v>7712</v>
      </c>
      <c r="G784" s="13" t="s">
        <v>229</v>
      </c>
      <c r="H784" s="13" t="s">
        <v>820</v>
      </c>
      <c r="J784" s="13" t="s">
        <v>106</v>
      </c>
      <c r="W784" s="13">
        <v>783</v>
      </c>
      <c r="X784" s="13">
        <v>783</v>
      </c>
      <c r="Y784" s="13" t="s">
        <v>107</v>
      </c>
      <c r="Z784" s="13" t="s">
        <v>108</v>
      </c>
      <c r="AA784" s="13" t="s">
        <v>107</v>
      </c>
      <c r="AB784" s="13" t="s">
        <v>8419</v>
      </c>
      <c r="AC784" s="13" t="s">
        <v>8419</v>
      </c>
      <c r="AD784" s="13" t="s">
        <v>8419</v>
      </c>
      <c r="AE784" s="14" t="s">
        <v>112</v>
      </c>
      <c r="AF784" s="13" t="s">
        <v>8419</v>
      </c>
      <c r="AG784" s="13" t="s">
        <v>8419</v>
      </c>
      <c r="AH784" s="14" t="s">
        <v>8420</v>
      </c>
      <c r="AL784" s="13" t="s">
        <v>8421</v>
      </c>
      <c r="AN784" s="13">
        <v>329</v>
      </c>
      <c r="AO784" s="13" t="s">
        <v>8422</v>
      </c>
      <c r="AQ784" s="13" t="s">
        <v>8419</v>
      </c>
      <c r="AR784" s="13" t="s">
        <v>8419</v>
      </c>
      <c r="AS784" s="13" t="s">
        <v>116</v>
      </c>
      <c r="AT784" s="13" t="s">
        <v>8423</v>
      </c>
      <c r="AU784" s="13" t="s">
        <v>8383</v>
      </c>
      <c r="AV784" s="14" t="s">
        <v>2204</v>
      </c>
      <c r="AW784" s="15" t="s">
        <v>1691</v>
      </c>
      <c r="AX784" s="15" t="s">
        <v>1692</v>
      </c>
      <c r="AY784" s="13" t="s">
        <v>8423</v>
      </c>
      <c r="AZ784" s="13" t="s">
        <v>8424</v>
      </c>
      <c r="BA784" s="13" t="s">
        <v>8424</v>
      </c>
      <c r="BB784" s="13" t="s">
        <v>8425</v>
      </c>
      <c r="BC784" s="13" t="s">
        <v>8425</v>
      </c>
      <c r="BD784" s="13">
        <f t="shared" si="28"/>
        <v>57</v>
      </c>
      <c r="BE784" s="13" t="s">
        <v>1697</v>
      </c>
      <c r="BF784" s="13" t="s">
        <v>951</v>
      </c>
      <c r="BG784" s="13" t="s">
        <v>7584</v>
      </c>
      <c r="BJ784" s="13" t="s">
        <v>5942</v>
      </c>
      <c r="BO784" s="13" t="s">
        <v>7723</v>
      </c>
      <c r="BS784" s="13" t="s">
        <v>127</v>
      </c>
      <c r="BU784" s="13" t="s">
        <v>129</v>
      </c>
      <c r="BX784" s="13" t="s">
        <v>8426</v>
      </c>
      <c r="DA784" s="13" t="s">
        <v>10348</v>
      </c>
      <c r="DB784" s="13" t="s">
        <v>10348</v>
      </c>
    </row>
    <row r="785" spans="1:106" s="13" customFormat="1" ht="12.75" customHeight="1" x14ac:dyDescent="0.2">
      <c r="A785" s="13" t="s">
        <v>102</v>
      </c>
      <c r="B785" s="13" t="s">
        <v>103</v>
      </c>
      <c r="D785" s="13" t="s">
        <v>7712</v>
      </c>
      <c r="E785" s="13" t="s">
        <v>228</v>
      </c>
      <c r="F785" s="13" t="s">
        <v>7712</v>
      </c>
      <c r="G785" s="13" t="s">
        <v>229</v>
      </c>
      <c r="H785" s="13" t="s">
        <v>820</v>
      </c>
      <c r="J785" s="13" t="s">
        <v>106</v>
      </c>
      <c r="W785" s="13">
        <v>784</v>
      </c>
      <c r="X785" s="13">
        <v>784</v>
      </c>
      <c r="Y785" s="13" t="s">
        <v>107</v>
      </c>
      <c r="Z785" s="13" t="s">
        <v>108</v>
      </c>
      <c r="AA785" s="13" t="s">
        <v>107</v>
      </c>
      <c r="AB785" s="13" t="s">
        <v>8427</v>
      </c>
      <c r="AC785" s="13" t="s">
        <v>8427</v>
      </c>
      <c r="AD785" s="13" t="s">
        <v>8427</v>
      </c>
      <c r="AE785" s="14" t="s">
        <v>112</v>
      </c>
      <c r="AF785" s="13" t="s">
        <v>8427</v>
      </c>
      <c r="AG785" s="13" t="s">
        <v>8427</v>
      </c>
      <c r="AH785" s="14" t="s">
        <v>8428</v>
      </c>
      <c r="AL785" s="13" t="s">
        <v>8429</v>
      </c>
      <c r="AN785" s="13">
        <v>329</v>
      </c>
      <c r="AO785" s="13" t="s">
        <v>8430</v>
      </c>
      <c r="AQ785" s="13" t="s">
        <v>8427</v>
      </c>
      <c r="AR785" s="13" t="s">
        <v>8427</v>
      </c>
      <c r="AS785" s="13" t="s">
        <v>116</v>
      </c>
      <c r="AT785" s="13" t="s">
        <v>8431</v>
      </c>
      <c r="AU785" s="13" t="s">
        <v>8383</v>
      </c>
      <c r="AV785" s="14" t="s">
        <v>2204</v>
      </c>
      <c r="AW785" s="15" t="s">
        <v>1691</v>
      </c>
      <c r="AX785" s="15" t="s">
        <v>1692</v>
      </c>
      <c r="AY785" s="13" t="s">
        <v>8431</v>
      </c>
      <c r="AZ785" s="13" t="s">
        <v>7594</v>
      </c>
      <c r="BA785" s="13" t="s">
        <v>7594</v>
      </c>
      <c r="BB785" s="13" t="s">
        <v>7595</v>
      </c>
      <c r="BC785" s="13" t="s">
        <v>7595</v>
      </c>
      <c r="BD785" s="13">
        <f t="shared" si="28"/>
        <v>35</v>
      </c>
      <c r="BE785" s="13" t="s">
        <v>1697</v>
      </c>
      <c r="BF785" s="13" t="s">
        <v>951</v>
      </c>
      <c r="BG785" s="13" t="s">
        <v>7584</v>
      </c>
      <c r="BJ785" s="13" t="s">
        <v>7596</v>
      </c>
      <c r="BS785" s="13" t="s">
        <v>127</v>
      </c>
      <c r="BU785" s="13" t="s">
        <v>129</v>
      </c>
      <c r="BX785" s="13" t="s">
        <v>8432</v>
      </c>
      <c r="DA785" s="13" t="s">
        <v>10348</v>
      </c>
      <c r="DB785" s="13" t="s">
        <v>10348</v>
      </c>
    </row>
    <row r="786" spans="1:106" s="13" customFormat="1" ht="12.75" customHeight="1" x14ac:dyDescent="0.2">
      <c r="A786" s="13" t="s">
        <v>102</v>
      </c>
      <c r="B786" s="13" t="s">
        <v>103</v>
      </c>
      <c r="D786" s="13" t="s">
        <v>7712</v>
      </c>
      <c r="E786" s="13" t="s">
        <v>228</v>
      </c>
      <c r="F786" s="13" t="s">
        <v>7712</v>
      </c>
      <c r="G786" s="13" t="s">
        <v>229</v>
      </c>
      <c r="H786" s="13" t="s">
        <v>820</v>
      </c>
      <c r="J786" s="13" t="s">
        <v>106</v>
      </c>
      <c r="W786" s="13">
        <v>785</v>
      </c>
      <c r="X786" s="13">
        <v>785</v>
      </c>
      <c r="Y786" s="13" t="s">
        <v>107</v>
      </c>
      <c r="Z786" s="13" t="s">
        <v>108</v>
      </c>
      <c r="AA786" s="13" t="s">
        <v>107</v>
      </c>
      <c r="AB786" s="13" t="s">
        <v>8433</v>
      </c>
      <c r="AC786" s="13" t="s">
        <v>8433</v>
      </c>
      <c r="AD786" s="13" t="s">
        <v>8433</v>
      </c>
      <c r="AE786" s="14" t="s">
        <v>112</v>
      </c>
      <c r="AF786" s="13" t="s">
        <v>8433</v>
      </c>
      <c r="AG786" s="13" t="s">
        <v>8433</v>
      </c>
      <c r="AH786" s="14" t="s">
        <v>8434</v>
      </c>
      <c r="AL786" s="13" t="s">
        <v>8435</v>
      </c>
      <c r="AN786" s="13">
        <v>329</v>
      </c>
      <c r="AO786" s="13" t="s">
        <v>8436</v>
      </c>
      <c r="AQ786" s="13" t="s">
        <v>8433</v>
      </c>
      <c r="AR786" s="13" t="s">
        <v>8433</v>
      </c>
      <c r="AS786" s="13" t="s">
        <v>116</v>
      </c>
      <c r="AT786" s="13" t="s">
        <v>8437</v>
      </c>
      <c r="AU786" s="13" t="s">
        <v>8383</v>
      </c>
      <c r="AV786" s="14" t="s">
        <v>2204</v>
      </c>
      <c r="AW786" s="15" t="s">
        <v>1691</v>
      </c>
      <c r="AX786" s="15" t="s">
        <v>1692</v>
      </c>
      <c r="AY786" s="13" t="s">
        <v>8437</v>
      </c>
      <c r="AZ786" s="13" t="s">
        <v>7605</v>
      </c>
      <c r="BA786" s="13" t="s">
        <v>7605</v>
      </c>
      <c r="BB786" s="13" t="s">
        <v>7606</v>
      </c>
      <c r="BC786" s="13" t="s">
        <v>7606</v>
      </c>
      <c r="BD786" s="13">
        <f t="shared" si="28"/>
        <v>36</v>
      </c>
      <c r="BE786" s="13" t="s">
        <v>1697</v>
      </c>
      <c r="BF786" s="13" t="s">
        <v>951</v>
      </c>
      <c r="BG786" s="13" t="s">
        <v>7584</v>
      </c>
      <c r="BJ786" s="13" t="s">
        <v>7430</v>
      </c>
      <c r="BS786" s="13" t="s">
        <v>127</v>
      </c>
      <c r="BU786" s="13" t="s">
        <v>129</v>
      </c>
      <c r="BX786" s="13" t="s">
        <v>8438</v>
      </c>
      <c r="DA786" s="13" t="s">
        <v>10348</v>
      </c>
      <c r="DB786" s="13" t="s">
        <v>10348</v>
      </c>
    </row>
    <row r="787" spans="1:106" s="13" customFormat="1" ht="12.75" customHeight="1" x14ac:dyDescent="0.2">
      <c r="A787" s="13" t="s">
        <v>102</v>
      </c>
      <c r="B787" s="13" t="s">
        <v>103</v>
      </c>
      <c r="D787" s="13" t="s">
        <v>7712</v>
      </c>
      <c r="E787" s="13" t="s">
        <v>228</v>
      </c>
      <c r="F787" s="13" t="s">
        <v>7712</v>
      </c>
      <c r="G787" s="13" t="s">
        <v>229</v>
      </c>
      <c r="H787" s="13" t="s">
        <v>820</v>
      </c>
      <c r="J787" s="13" t="s">
        <v>106</v>
      </c>
      <c r="W787" s="13">
        <v>786</v>
      </c>
      <c r="X787" s="13">
        <v>786</v>
      </c>
      <c r="Y787" s="13" t="s">
        <v>107</v>
      </c>
      <c r="Z787" s="13" t="s">
        <v>108</v>
      </c>
      <c r="AA787" s="13" t="s">
        <v>107</v>
      </c>
      <c r="AB787" s="13" t="s">
        <v>8439</v>
      </c>
      <c r="AC787" s="13" t="s">
        <v>8439</v>
      </c>
      <c r="AD787" s="13" t="s">
        <v>8439</v>
      </c>
      <c r="AE787" s="14" t="s">
        <v>112</v>
      </c>
      <c r="AF787" s="13" t="s">
        <v>8439</v>
      </c>
      <c r="AG787" s="13" t="s">
        <v>8439</v>
      </c>
      <c r="AH787" s="14" t="s">
        <v>8440</v>
      </c>
      <c r="AL787" s="13" t="s">
        <v>8441</v>
      </c>
      <c r="AN787" s="13">
        <v>329</v>
      </c>
      <c r="AO787" s="13" t="s">
        <v>8442</v>
      </c>
      <c r="AQ787" s="13" t="s">
        <v>8439</v>
      </c>
      <c r="AR787" s="13" t="s">
        <v>8439</v>
      </c>
      <c r="AS787" s="13" t="s">
        <v>116</v>
      </c>
      <c r="AT787" s="13" t="s">
        <v>8443</v>
      </c>
      <c r="AU787" s="13" t="s">
        <v>8383</v>
      </c>
      <c r="AV787" s="14" t="s">
        <v>2204</v>
      </c>
      <c r="AW787" s="15" t="s">
        <v>1691</v>
      </c>
      <c r="AX787" s="15" t="s">
        <v>1692</v>
      </c>
      <c r="AY787" s="13" t="s">
        <v>8443</v>
      </c>
      <c r="AZ787" s="13" t="s">
        <v>8444</v>
      </c>
      <c r="BA787" s="13" t="s">
        <v>8444</v>
      </c>
      <c r="BB787" s="13" t="s">
        <v>8445</v>
      </c>
      <c r="BC787" s="13" t="s">
        <v>8445</v>
      </c>
      <c r="BD787" s="13">
        <f t="shared" si="28"/>
        <v>57</v>
      </c>
      <c r="BE787" s="13" t="s">
        <v>1697</v>
      </c>
      <c r="BF787" s="13" t="s">
        <v>951</v>
      </c>
      <c r="BG787" s="13" t="s">
        <v>7584</v>
      </c>
      <c r="BJ787" s="13" t="s">
        <v>7430</v>
      </c>
      <c r="BO787" s="13" t="s">
        <v>7723</v>
      </c>
      <c r="BS787" s="13" t="s">
        <v>127</v>
      </c>
      <c r="BU787" s="13" t="s">
        <v>129</v>
      </c>
      <c r="BX787" s="13" t="s">
        <v>8446</v>
      </c>
      <c r="DA787" s="13" t="s">
        <v>10348</v>
      </c>
      <c r="DB787" s="13" t="s">
        <v>10348</v>
      </c>
    </row>
    <row r="788" spans="1:106" s="13" customFormat="1" ht="12.75" customHeight="1" x14ac:dyDescent="0.2">
      <c r="A788" s="13" t="s">
        <v>102</v>
      </c>
      <c r="B788" s="13" t="s">
        <v>103</v>
      </c>
      <c r="D788" s="13" t="s">
        <v>7712</v>
      </c>
      <c r="E788" s="13" t="s">
        <v>228</v>
      </c>
      <c r="F788" s="13" t="s">
        <v>7712</v>
      </c>
      <c r="G788" s="13" t="s">
        <v>229</v>
      </c>
      <c r="H788" s="13" t="s">
        <v>820</v>
      </c>
      <c r="J788" s="13" t="s">
        <v>106</v>
      </c>
      <c r="W788" s="13">
        <v>787</v>
      </c>
      <c r="X788" s="13">
        <v>787</v>
      </c>
      <c r="Y788" s="13" t="s">
        <v>107</v>
      </c>
      <c r="Z788" s="13" t="s">
        <v>108</v>
      </c>
      <c r="AA788" s="13" t="s">
        <v>107</v>
      </c>
      <c r="AB788" s="13" t="s">
        <v>8447</v>
      </c>
      <c r="AC788" s="13" t="s">
        <v>8447</v>
      </c>
      <c r="AD788" s="13" t="s">
        <v>8447</v>
      </c>
      <c r="AE788" s="14" t="s">
        <v>112</v>
      </c>
      <c r="AF788" s="13" t="s">
        <v>8447</v>
      </c>
      <c r="AG788" s="13" t="s">
        <v>8447</v>
      </c>
      <c r="AH788" s="14" t="s">
        <v>8448</v>
      </c>
      <c r="AL788" s="13" t="s">
        <v>8449</v>
      </c>
      <c r="AN788" s="13">
        <v>329</v>
      </c>
      <c r="AO788" s="13" t="s">
        <v>8450</v>
      </c>
      <c r="AQ788" s="13" t="s">
        <v>8447</v>
      </c>
      <c r="AR788" s="13" t="s">
        <v>8447</v>
      </c>
      <c r="AS788" s="13" t="s">
        <v>116</v>
      </c>
      <c r="AT788" s="13" t="s">
        <v>8451</v>
      </c>
      <c r="AU788" s="13" t="s">
        <v>8383</v>
      </c>
      <c r="AV788" s="14" t="s">
        <v>2204</v>
      </c>
      <c r="AW788" s="15" t="s">
        <v>1691</v>
      </c>
      <c r="AX788" s="15" t="s">
        <v>1692</v>
      </c>
      <c r="AY788" s="13" t="s">
        <v>8452</v>
      </c>
      <c r="AZ788" s="13" t="s">
        <v>8453</v>
      </c>
      <c r="BA788" s="13" t="s">
        <v>8453</v>
      </c>
      <c r="BB788" s="13" t="s">
        <v>8454</v>
      </c>
      <c r="BC788" s="13" t="s">
        <v>8454</v>
      </c>
      <c r="BD788" s="13">
        <f t="shared" si="28"/>
        <v>57</v>
      </c>
      <c r="BE788" s="13" t="s">
        <v>1697</v>
      </c>
      <c r="BF788" s="13" t="s">
        <v>951</v>
      </c>
      <c r="BG788" s="13" t="s">
        <v>7584</v>
      </c>
      <c r="BJ788" s="13" t="s">
        <v>7442</v>
      </c>
      <c r="BO788" s="13" t="s">
        <v>7723</v>
      </c>
      <c r="BS788" s="13" t="s">
        <v>127</v>
      </c>
      <c r="BU788" s="13" t="s">
        <v>129</v>
      </c>
      <c r="BX788" s="13" t="s">
        <v>8455</v>
      </c>
      <c r="DA788" s="13" t="s">
        <v>10348</v>
      </c>
      <c r="DB788" s="13" t="s">
        <v>10348</v>
      </c>
    </row>
    <row r="789" spans="1:106" s="13" customFormat="1" ht="12.75" customHeight="1" x14ac:dyDescent="0.2">
      <c r="A789" s="13" t="s">
        <v>102</v>
      </c>
      <c r="B789" s="13" t="s">
        <v>103</v>
      </c>
      <c r="D789" s="13" t="s">
        <v>7712</v>
      </c>
      <c r="E789" s="13" t="s">
        <v>228</v>
      </c>
      <c r="F789" s="13" t="s">
        <v>7712</v>
      </c>
      <c r="G789" s="13" t="s">
        <v>229</v>
      </c>
      <c r="H789" s="13" t="s">
        <v>820</v>
      </c>
      <c r="J789" s="13" t="s">
        <v>106</v>
      </c>
      <c r="W789" s="13">
        <v>788</v>
      </c>
      <c r="X789" s="13">
        <v>788</v>
      </c>
      <c r="Y789" s="13" t="s">
        <v>107</v>
      </c>
      <c r="Z789" s="13" t="s">
        <v>108</v>
      </c>
      <c r="AA789" s="13" t="s">
        <v>107</v>
      </c>
      <c r="AB789" s="13" t="s">
        <v>8456</v>
      </c>
      <c r="AC789" s="13" t="s">
        <v>8456</v>
      </c>
      <c r="AD789" s="13" t="s">
        <v>8456</v>
      </c>
      <c r="AE789" s="14" t="s">
        <v>112</v>
      </c>
      <c r="AF789" s="13" t="s">
        <v>8456</v>
      </c>
      <c r="AG789" s="13" t="s">
        <v>8456</v>
      </c>
      <c r="AH789" s="14" t="s">
        <v>8457</v>
      </c>
      <c r="AL789" s="13" t="s">
        <v>8458</v>
      </c>
      <c r="AN789" s="13">
        <v>329</v>
      </c>
      <c r="AO789" s="13" t="s">
        <v>8459</v>
      </c>
      <c r="AQ789" s="13" t="s">
        <v>8456</v>
      </c>
      <c r="AR789" s="13" t="s">
        <v>8456</v>
      </c>
      <c r="AS789" s="13" t="s">
        <v>116</v>
      </c>
      <c r="AT789" s="13" t="s">
        <v>8460</v>
      </c>
      <c r="AU789" s="13" t="s">
        <v>8461</v>
      </c>
      <c r="AV789" s="14" t="s">
        <v>1282</v>
      </c>
      <c r="AW789" s="15" t="s">
        <v>8462</v>
      </c>
      <c r="AX789" s="15" t="s">
        <v>8463</v>
      </c>
      <c r="AY789" s="13" t="s">
        <v>8464</v>
      </c>
      <c r="AZ789" s="13" t="s">
        <v>8465</v>
      </c>
      <c r="BA789" s="13" t="s">
        <v>8465</v>
      </c>
      <c r="BB789" s="13" t="s">
        <v>8466</v>
      </c>
      <c r="BC789" s="13" t="s">
        <v>8466</v>
      </c>
      <c r="BD789" s="13">
        <f t="shared" si="28"/>
        <v>33</v>
      </c>
      <c r="BE789" s="13" t="s">
        <v>1287</v>
      </c>
      <c r="BF789" s="13" t="s">
        <v>1288</v>
      </c>
      <c r="BG789" s="13" t="s">
        <v>8467</v>
      </c>
      <c r="BL789" s="13" t="s">
        <v>1290</v>
      </c>
      <c r="BO789" s="13" t="s">
        <v>708</v>
      </c>
      <c r="BS789" s="13" t="s">
        <v>127</v>
      </c>
      <c r="BU789" s="13" t="s">
        <v>129</v>
      </c>
      <c r="BX789" s="13" t="s">
        <v>8468</v>
      </c>
      <c r="DA789" s="13" t="s">
        <v>10348</v>
      </c>
      <c r="DB789" s="13" t="s">
        <v>10348</v>
      </c>
    </row>
    <row r="790" spans="1:106" s="13" customFormat="1" ht="12.75" customHeight="1" x14ac:dyDescent="0.2">
      <c r="A790" s="13" t="s">
        <v>102</v>
      </c>
      <c r="B790" s="13" t="s">
        <v>103</v>
      </c>
      <c r="D790" s="13" t="s">
        <v>7712</v>
      </c>
      <c r="E790" s="13" t="s">
        <v>228</v>
      </c>
      <c r="F790" s="13" t="s">
        <v>7712</v>
      </c>
      <c r="G790" s="13" t="s">
        <v>229</v>
      </c>
      <c r="H790" s="13" t="s">
        <v>820</v>
      </c>
      <c r="J790" s="13" t="s">
        <v>106</v>
      </c>
      <c r="W790" s="13">
        <v>789</v>
      </c>
      <c r="X790" s="13">
        <v>789</v>
      </c>
      <c r="Y790" s="13" t="s">
        <v>107</v>
      </c>
      <c r="Z790" s="13" t="s">
        <v>108</v>
      </c>
      <c r="AA790" s="13" t="s">
        <v>107</v>
      </c>
      <c r="AB790" s="13" t="s">
        <v>8469</v>
      </c>
      <c r="AC790" s="13" t="s">
        <v>8469</v>
      </c>
      <c r="AD790" s="13" t="s">
        <v>8469</v>
      </c>
      <c r="AE790" s="14" t="s">
        <v>112</v>
      </c>
      <c r="AF790" s="13" t="s">
        <v>8469</v>
      </c>
      <c r="AG790" s="13" t="s">
        <v>8469</v>
      </c>
      <c r="AH790" s="14" t="s">
        <v>8470</v>
      </c>
      <c r="AL790" s="13" t="s">
        <v>8471</v>
      </c>
      <c r="AN790" s="13">
        <v>329</v>
      </c>
      <c r="AO790" s="13" t="s">
        <v>8472</v>
      </c>
      <c r="AQ790" s="13" t="s">
        <v>8469</v>
      </c>
      <c r="AR790" s="13" t="s">
        <v>8469</v>
      </c>
      <c r="AS790" s="13" t="s">
        <v>116</v>
      </c>
      <c r="AT790" s="13" t="s">
        <v>8473</v>
      </c>
      <c r="AU790" s="13" t="s">
        <v>8474</v>
      </c>
      <c r="AV790" s="14" t="s">
        <v>2204</v>
      </c>
      <c r="AW790" s="15" t="s">
        <v>1691</v>
      </c>
      <c r="AX790" s="15" t="s">
        <v>1692</v>
      </c>
      <c r="AY790" s="13" t="s">
        <v>8475</v>
      </c>
      <c r="AZ790" s="13" t="s">
        <v>8476</v>
      </c>
      <c r="BA790" s="13" t="s">
        <v>8476</v>
      </c>
      <c r="BB790" s="13" t="s">
        <v>8477</v>
      </c>
      <c r="BC790" s="13" t="s">
        <v>8477</v>
      </c>
      <c r="BD790" s="13">
        <f t="shared" si="28"/>
        <v>55</v>
      </c>
      <c r="BE790" s="13" t="s">
        <v>1697</v>
      </c>
      <c r="BF790" s="13" t="s">
        <v>951</v>
      </c>
      <c r="BJ790" s="13" t="s">
        <v>7596</v>
      </c>
      <c r="BO790" s="13" t="s">
        <v>8478</v>
      </c>
      <c r="BS790" s="13" t="s">
        <v>127</v>
      </c>
      <c r="BT790" s="13" t="s">
        <v>8479</v>
      </c>
      <c r="BU790" s="13" t="s">
        <v>129</v>
      </c>
      <c r="BX790" s="13" t="s">
        <v>8480</v>
      </c>
      <c r="DA790" s="13" t="s">
        <v>10348</v>
      </c>
      <c r="DB790" s="13" t="s">
        <v>10348</v>
      </c>
    </row>
    <row r="791" spans="1:106" s="13" customFormat="1" ht="12.75" customHeight="1" x14ac:dyDescent="0.2">
      <c r="A791" s="13" t="s">
        <v>102</v>
      </c>
      <c r="B791" s="13" t="s">
        <v>103</v>
      </c>
      <c r="D791" s="13" t="s">
        <v>7712</v>
      </c>
      <c r="E791" s="13" t="s">
        <v>228</v>
      </c>
      <c r="F791" s="13" t="s">
        <v>7712</v>
      </c>
      <c r="G791" s="13" t="s">
        <v>229</v>
      </c>
      <c r="H791" s="13" t="s">
        <v>820</v>
      </c>
      <c r="J791" s="13" t="s">
        <v>106</v>
      </c>
      <c r="W791" s="13">
        <v>790</v>
      </c>
      <c r="X791" s="13">
        <v>790</v>
      </c>
      <c r="Y791" s="13" t="s">
        <v>107</v>
      </c>
      <c r="Z791" s="13" t="s">
        <v>108</v>
      </c>
      <c r="AA791" s="13" t="s">
        <v>107</v>
      </c>
      <c r="AB791" s="13" t="s">
        <v>8481</v>
      </c>
      <c r="AC791" s="13" t="s">
        <v>8481</v>
      </c>
      <c r="AD791" s="13" t="s">
        <v>8481</v>
      </c>
      <c r="AE791" s="14" t="s">
        <v>112</v>
      </c>
      <c r="AF791" s="13" t="s">
        <v>8481</v>
      </c>
      <c r="AG791" s="13" t="s">
        <v>8481</v>
      </c>
      <c r="AH791" s="14" t="s">
        <v>8482</v>
      </c>
      <c r="AL791" s="13" t="s">
        <v>8483</v>
      </c>
      <c r="AN791" s="13">
        <v>329</v>
      </c>
      <c r="AO791" s="13" t="s">
        <v>8484</v>
      </c>
      <c r="AQ791" s="13" t="s">
        <v>8481</v>
      </c>
      <c r="AR791" s="13" t="s">
        <v>8481</v>
      </c>
      <c r="AS791" s="13" t="s">
        <v>116</v>
      </c>
      <c r="AT791" s="13" t="s">
        <v>8485</v>
      </c>
      <c r="AU791" s="13" t="s">
        <v>8474</v>
      </c>
      <c r="AV791" s="14" t="s">
        <v>2204</v>
      </c>
      <c r="AW791" s="15" t="s">
        <v>1691</v>
      </c>
      <c r="AX791" s="15" t="s">
        <v>1692</v>
      </c>
      <c r="AY791" s="13" t="s">
        <v>7836</v>
      </c>
      <c r="AZ791" s="13" t="s">
        <v>8486</v>
      </c>
      <c r="BA791" s="13" t="s">
        <v>8486</v>
      </c>
      <c r="BB791" s="13" t="s">
        <v>8487</v>
      </c>
      <c r="BC791" s="13" t="s">
        <v>8487</v>
      </c>
      <c r="BD791" s="13">
        <f t="shared" si="28"/>
        <v>56</v>
      </c>
      <c r="BE791" s="13" t="s">
        <v>1697</v>
      </c>
      <c r="BF791" s="13" t="s">
        <v>951</v>
      </c>
      <c r="BJ791" s="13" t="s">
        <v>7430</v>
      </c>
      <c r="BO791" s="13" t="s">
        <v>8478</v>
      </c>
      <c r="BS791" s="13" t="s">
        <v>127</v>
      </c>
      <c r="BT791" s="13" t="s">
        <v>8479</v>
      </c>
      <c r="BU791" s="13" t="s">
        <v>129</v>
      </c>
      <c r="BX791" s="13" t="s">
        <v>8488</v>
      </c>
      <c r="DA791" s="13" t="s">
        <v>10348</v>
      </c>
      <c r="DB791" s="13" t="s">
        <v>10348</v>
      </c>
    </row>
    <row r="792" spans="1:106" s="13" customFormat="1" ht="12.75" customHeight="1" x14ac:dyDescent="0.2">
      <c r="A792" s="13" t="s">
        <v>102</v>
      </c>
      <c r="B792" s="13" t="s">
        <v>103</v>
      </c>
      <c r="D792" s="13" t="s">
        <v>7712</v>
      </c>
      <c r="E792" s="13" t="s">
        <v>228</v>
      </c>
      <c r="F792" s="13" t="s">
        <v>7712</v>
      </c>
      <c r="G792" s="13" t="s">
        <v>229</v>
      </c>
      <c r="H792" s="13" t="s">
        <v>820</v>
      </c>
      <c r="J792" s="13" t="s">
        <v>106</v>
      </c>
      <c r="W792" s="13">
        <v>791</v>
      </c>
      <c r="X792" s="13">
        <v>791</v>
      </c>
      <c r="Y792" s="13" t="s">
        <v>107</v>
      </c>
      <c r="Z792" s="13" t="s">
        <v>108</v>
      </c>
      <c r="AA792" s="13" t="s">
        <v>107</v>
      </c>
      <c r="AB792" s="13" t="s">
        <v>8489</v>
      </c>
      <c r="AC792" s="13" t="s">
        <v>8489</v>
      </c>
      <c r="AD792" s="13" t="s">
        <v>8489</v>
      </c>
      <c r="AE792" s="14" t="s">
        <v>112</v>
      </c>
      <c r="AF792" s="13" t="s">
        <v>8489</v>
      </c>
      <c r="AG792" s="13" t="s">
        <v>8489</v>
      </c>
      <c r="AH792" s="14" t="s">
        <v>8490</v>
      </c>
      <c r="AL792" s="13" t="s">
        <v>8491</v>
      </c>
      <c r="AN792" s="13">
        <v>329</v>
      </c>
      <c r="AO792" s="13" t="s">
        <v>8492</v>
      </c>
      <c r="AQ792" s="13" t="s">
        <v>8489</v>
      </c>
      <c r="AR792" s="13" t="s">
        <v>8489</v>
      </c>
      <c r="AS792" s="13" t="s">
        <v>116</v>
      </c>
      <c r="AT792" s="13" t="s">
        <v>8493</v>
      </c>
      <c r="AU792" s="13" t="s">
        <v>8494</v>
      </c>
      <c r="AV792" s="14" t="s">
        <v>2204</v>
      </c>
      <c r="AW792" s="15" t="s">
        <v>1691</v>
      </c>
      <c r="AX792" s="15" t="s">
        <v>1692</v>
      </c>
      <c r="AY792" s="13" t="s">
        <v>8495</v>
      </c>
      <c r="AZ792" s="13" t="s">
        <v>8496</v>
      </c>
      <c r="BA792" s="13" t="s">
        <v>8496</v>
      </c>
      <c r="BB792" s="13" t="s">
        <v>8497</v>
      </c>
      <c r="BC792" s="13" t="s">
        <v>8497</v>
      </c>
      <c r="BD792" s="13">
        <f t="shared" si="28"/>
        <v>34</v>
      </c>
      <c r="BE792" s="13" t="s">
        <v>1697</v>
      </c>
      <c r="BF792" s="13" t="s">
        <v>951</v>
      </c>
      <c r="BG792" s="13" t="s">
        <v>8498</v>
      </c>
      <c r="BJ792" s="13" t="s">
        <v>7722</v>
      </c>
      <c r="BS792" s="13" t="s">
        <v>127</v>
      </c>
      <c r="BU792" s="13" t="s">
        <v>129</v>
      </c>
      <c r="BX792" s="13" t="s">
        <v>8499</v>
      </c>
      <c r="DA792" s="13" t="s">
        <v>10348</v>
      </c>
      <c r="DB792" s="13" t="s">
        <v>10348</v>
      </c>
    </row>
    <row r="793" spans="1:106" s="13" customFormat="1" ht="12.75" customHeight="1" x14ac:dyDescent="0.2">
      <c r="A793" s="13" t="s">
        <v>102</v>
      </c>
      <c r="B793" s="13" t="s">
        <v>103</v>
      </c>
      <c r="D793" s="13" t="s">
        <v>7712</v>
      </c>
      <c r="E793" s="13" t="s">
        <v>228</v>
      </c>
      <c r="F793" s="13" t="s">
        <v>7712</v>
      </c>
      <c r="G793" s="13" t="s">
        <v>229</v>
      </c>
      <c r="H793" s="13" t="s">
        <v>820</v>
      </c>
      <c r="J793" s="13" t="s">
        <v>106</v>
      </c>
      <c r="W793" s="13">
        <v>792</v>
      </c>
      <c r="X793" s="13">
        <v>792</v>
      </c>
      <c r="Y793" s="13" t="s">
        <v>107</v>
      </c>
      <c r="Z793" s="13" t="s">
        <v>108</v>
      </c>
      <c r="AA793" s="13" t="s">
        <v>107</v>
      </c>
      <c r="AB793" s="13" t="s">
        <v>8500</v>
      </c>
      <c r="AC793" s="13" t="s">
        <v>8500</v>
      </c>
      <c r="AD793" s="13" t="s">
        <v>8500</v>
      </c>
      <c r="AE793" s="14" t="s">
        <v>112</v>
      </c>
      <c r="AF793" s="13" t="s">
        <v>8500</v>
      </c>
      <c r="AG793" s="13" t="s">
        <v>8500</v>
      </c>
      <c r="AH793" s="14" t="s">
        <v>8501</v>
      </c>
      <c r="AL793" s="13" t="s">
        <v>8502</v>
      </c>
      <c r="AN793" s="13">
        <v>329</v>
      </c>
      <c r="AO793" s="13" t="s">
        <v>8503</v>
      </c>
      <c r="AQ793" s="13" t="s">
        <v>8500</v>
      </c>
      <c r="AR793" s="13" t="s">
        <v>8500</v>
      </c>
      <c r="AS793" s="13" t="s">
        <v>116</v>
      </c>
      <c r="AT793" s="13" t="s">
        <v>8504</v>
      </c>
      <c r="AU793" s="13" t="s">
        <v>8494</v>
      </c>
      <c r="AV793" s="14" t="s">
        <v>2204</v>
      </c>
      <c r="AW793" s="15" t="s">
        <v>1691</v>
      </c>
      <c r="AX793" s="15" t="s">
        <v>1692</v>
      </c>
      <c r="AY793" s="13" t="s">
        <v>8505</v>
      </c>
      <c r="AZ793" s="13" t="s">
        <v>8506</v>
      </c>
      <c r="BA793" s="13" t="s">
        <v>8506</v>
      </c>
      <c r="BB793" s="13" t="s">
        <v>8507</v>
      </c>
      <c r="BC793" s="13" t="s">
        <v>8507</v>
      </c>
      <c r="BD793" s="13">
        <f t="shared" si="28"/>
        <v>35</v>
      </c>
      <c r="BE793" s="13" t="s">
        <v>1697</v>
      </c>
      <c r="BF793" s="13" t="s">
        <v>951</v>
      </c>
      <c r="BG793" s="13" t="s">
        <v>8498</v>
      </c>
      <c r="BJ793" s="13" t="s">
        <v>7585</v>
      </c>
      <c r="BS793" s="13" t="s">
        <v>127</v>
      </c>
      <c r="BU793" s="13" t="s">
        <v>129</v>
      </c>
      <c r="BX793" s="13" t="s">
        <v>8508</v>
      </c>
      <c r="DA793" s="13" t="s">
        <v>10348</v>
      </c>
      <c r="DB793" s="13" t="s">
        <v>10348</v>
      </c>
    </row>
    <row r="794" spans="1:106" s="13" customFormat="1" ht="12.75" customHeight="1" x14ac:dyDescent="0.2">
      <c r="A794" s="13" t="s">
        <v>102</v>
      </c>
      <c r="B794" s="13" t="s">
        <v>103</v>
      </c>
      <c r="D794" s="13" t="s">
        <v>7712</v>
      </c>
      <c r="E794" s="13" t="s">
        <v>228</v>
      </c>
      <c r="F794" s="13" t="s">
        <v>7712</v>
      </c>
      <c r="G794" s="13" t="s">
        <v>229</v>
      </c>
      <c r="H794" s="13" t="s">
        <v>820</v>
      </c>
      <c r="J794" s="13" t="s">
        <v>106</v>
      </c>
      <c r="W794" s="13">
        <v>793</v>
      </c>
      <c r="X794" s="13">
        <v>793</v>
      </c>
      <c r="Y794" s="13" t="s">
        <v>107</v>
      </c>
      <c r="Z794" s="13" t="s">
        <v>108</v>
      </c>
      <c r="AA794" s="13" t="s">
        <v>107</v>
      </c>
      <c r="AB794" s="13" t="s">
        <v>8509</v>
      </c>
      <c r="AC794" s="13" t="s">
        <v>8509</v>
      </c>
      <c r="AD794" s="13" t="s">
        <v>8509</v>
      </c>
      <c r="AE794" s="14" t="s">
        <v>112</v>
      </c>
      <c r="AF794" s="13" t="s">
        <v>8509</v>
      </c>
      <c r="AG794" s="13" t="s">
        <v>8509</v>
      </c>
      <c r="AH794" s="14" t="s">
        <v>8510</v>
      </c>
      <c r="AL794" s="13" t="s">
        <v>8511</v>
      </c>
      <c r="AN794" s="13">
        <v>329</v>
      </c>
      <c r="AO794" s="13" t="s">
        <v>8512</v>
      </c>
      <c r="AQ794" s="13" t="s">
        <v>8509</v>
      </c>
      <c r="AR794" s="13" t="s">
        <v>8509</v>
      </c>
      <c r="AS794" s="13" t="s">
        <v>116</v>
      </c>
      <c r="AT794" s="13" t="s">
        <v>8513</v>
      </c>
      <c r="AU794" s="13" t="s">
        <v>8494</v>
      </c>
      <c r="AV794" s="14" t="s">
        <v>2204</v>
      </c>
      <c r="AW794" s="15" t="s">
        <v>1691</v>
      </c>
      <c r="AX794" s="15" t="s">
        <v>1692</v>
      </c>
      <c r="AY794" s="13" t="s">
        <v>8514</v>
      </c>
      <c r="AZ794" s="13" t="s">
        <v>8515</v>
      </c>
      <c r="BA794" s="13" t="s">
        <v>8515</v>
      </c>
      <c r="BB794" s="13" t="s">
        <v>8516</v>
      </c>
      <c r="BC794" s="13" t="s">
        <v>8516</v>
      </c>
      <c r="BD794" s="13">
        <f t="shared" si="28"/>
        <v>34</v>
      </c>
      <c r="BE794" s="13" t="s">
        <v>1697</v>
      </c>
      <c r="BF794" s="13" t="s">
        <v>951</v>
      </c>
      <c r="BG794" s="13" t="s">
        <v>8498</v>
      </c>
      <c r="BJ794" s="13" t="s">
        <v>7769</v>
      </c>
      <c r="BS794" s="13" t="s">
        <v>127</v>
      </c>
      <c r="BU794" s="13" t="s">
        <v>129</v>
      </c>
      <c r="BX794" s="13" t="s">
        <v>8517</v>
      </c>
      <c r="DA794" s="13" t="s">
        <v>10348</v>
      </c>
      <c r="DB794" s="13" t="s">
        <v>10348</v>
      </c>
    </row>
    <row r="795" spans="1:106" s="13" customFormat="1" ht="12.75" customHeight="1" x14ac:dyDescent="0.2">
      <c r="A795" s="13" t="s">
        <v>102</v>
      </c>
      <c r="B795" s="13" t="s">
        <v>103</v>
      </c>
      <c r="D795" s="13" t="s">
        <v>7712</v>
      </c>
      <c r="E795" s="13" t="s">
        <v>228</v>
      </c>
      <c r="F795" s="13" t="s">
        <v>7712</v>
      </c>
      <c r="G795" s="13" t="s">
        <v>229</v>
      </c>
      <c r="H795" s="13" t="s">
        <v>820</v>
      </c>
      <c r="J795" s="13" t="s">
        <v>106</v>
      </c>
      <c r="W795" s="13">
        <v>794</v>
      </c>
      <c r="X795" s="13">
        <v>794</v>
      </c>
      <c r="Y795" s="13" t="s">
        <v>107</v>
      </c>
      <c r="Z795" s="13" t="s">
        <v>108</v>
      </c>
      <c r="AA795" s="13" t="s">
        <v>107</v>
      </c>
      <c r="AB795" s="13" t="s">
        <v>8518</v>
      </c>
      <c r="AC795" s="13" t="s">
        <v>8518</v>
      </c>
      <c r="AD795" s="13" t="s">
        <v>8518</v>
      </c>
      <c r="AE795" s="14" t="s">
        <v>112</v>
      </c>
      <c r="AF795" s="13" t="s">
        <v>8518</v>
      </c>
      <c r="AG795" s="13" t="s">
        <v>8518</v>
      </c>
      <c r="AH795" s="14" t="s">
        <v>8519</v>
      </c>
      <c r="AL795" s="13" t="s">
        <v>8520</v>
      </c>
      <c r="AN795" s="13">
        <v>329</v>
      </c>
      <c r="AO795" s="13" t="s">
        <v>8521</v>
      </c>
      <c r="AQ795" s="13" t="s">
        <v>8518</v>
      </c>
      <c r="AR795" s="13" t="s">
        <v>8518</v>
      </c>
      <c r="AS795" s="13" t="s">
        <v>116</v>
      </c>
      <c r="AT795" s="13" t="s">
        <v>8522</v>
      </c>
      <c r="AU795" s="13" t="s">
        <v>8523</v>
      </c>
      <c r="AV795" s="14" t="s">
        <v>2204</v>
      </c>
      <c r="AW795" s="15" t="s">
        <v>1691</v>
      </c>
      <c r="AX795" s="15" t="s">
        <v>1692</v>
      </c>
      <c r="AY795" s="13" t="s">
        <v>8524</v>
      </c>
      <c r="AZ795" s="13" t="s">
        <v>8525</v>
      </c>
      <c r="BA795" s="13" t="s">
        <v>8525</v>
      </c>
      <c r="BB795" s="13" t="s">
        <v>8526</v>
      </c>
      <c r="BC795" s="13" t="s">
        <v>8526</v>
      </c>
      <c r="BD795" s="13">
        <f t="shared" si="28"/>
        <v>51</v>
      </c>
      <c r="BE795" s="13" t="s">
        <v>1697</v>
      </c>
      <c r="BF795" s="13" t="s">
        <v>951</v>
      </c>
      <c r="BG795" s="13" t="s">
        <v>8498</v>
      </c>
      <c r="BJ795" s="13" t="s">
        <v>7769</v>
      </c>
      <c r="BO795" s="13" t="s">
        <v>8478</v>
      </c>
      <c r="BS795" s="13" t="s">
        <v>127</v>
      </c>
      <c r="BU795" s="13" t="s">
        <v>129</v>
      </c>
      <c r="BX795" s="13" t="s">
        <v>8527</v>
      </c>
      <c r="DA795" s="13" t="s">
        <v>10348</v>
      </c>
      <c r="DB795" s="13" t="s">
        <v>10348</v>
      </c>
    </row>
    <row r="796" spans="1:106" s="13" customFormat="1" ht="12.75" customHeight="1" x14ac:dyDescent="0.2">
      <c r="A796" s="13" t="s">
        <v>102</v>
      </c>
      <c r="B796" s="13" t="s">
        <v>103</v>
      </c>
      <c r="D796" s="13" t="s">
        <v>7712</v>
      </c>
      <c r="E796" s="13" t="s">
        <v>228</v>
      </c>
      <c r="F796" s="13" t="s">
        <v>7712</v>
      </c>
      <c r="G796" s="13" t="s">
        <v>229</v>
      </c>
      <c r="H796" s="13" t="s">
        <v>820</v>
      </c>
      <c r="J796" s="13" t="s">
        <v>106</v>
      </c>
      <c r="W796" s="13">
        <v>795</v>
      </c>
      <c r="X796" s="13">
        <v>795</v>
      </c>
      <c r="Y796" s="13" t="s">
        <v>107</v>
      </c>
      <c r="Z796" s="13" t="s">
        <v>108</v>
      </c>
      <c r="AA796" s="13" t="s">
        <v>107</v>
      </c>
      <c r="AB796" s="13" t="s">
        <v>8528</v>
      </c>
      <c r="AC796" s="13" t="s">
        <v>8528</v>
      </c>
      <c r="AD796" s="13" t="s">
        <v>8528</v>
      </c>
      <c r="AE796" s="14" t="s">
        <v>112</v>
      </c>
      <c r="AF796" s="13" t="s">
        <v>8528</v>
      </c>
      <c r="AG796" s="13" t="s">
        <v>8528</v>
      </c>
      <c r="AH796" s="14" t="s">
        <v>8529</v>
      </c>
      <c r="AL796" s="13" t="s">
        <v>8530</v>
      </c>
      <c r="AN796" s="13">
        <v>329</v>
      </c>
      <c r="AO796" s="13" t="s">
        <v>8531</v>
      </c>
      <c r="AQ796" s="13" t="s">
        <v>8528</v>
      </c>
      <c r="AR796" s="13" t="s">
        <v>8528</v>
      </c>
      <c r="AS796" s="13" t="s">
        <v>116</v>
      </c>
      <c r="AT796" s="13" t="s">
        <v>8532</v>
      </c>
      <c r="AU796" s="13" t="s">
        <v>8494</v>
      </c>
      <c r="AV796" s="14" t="s">
        <v>2204</v>
      </c>
      <c r="AW796" s="15" t="s">
        <v>1691</v>
      </c>
      <c r="AX796" s="15" t="s">
        <v>1692</v>
      </c>
      <c r="AY796" s="13" t="s">
        <v>8533</v>
      </c>
      <c r="AZ796" s="13" t="s">
        <v>8534</v>
      </c>
      <c r="BA796" s="13" t="s">
        <v>8535</v>
      </c>
      <c r="BB796" s="13" t="s">
        <v>8536</v>
      </c>
      <c r="BC796" s="13" t="s">
        <v>8537</v>
      </c>
      <c r="BD796" s="13">
        <f t="shared" si="28"/>
        <v>44</v>
      </c>
      <c r="BE796" s="13" t="s">
        <v>1697</v>
      </c>
      <c r="BF796" s="13" t="s">
        <v>951</v>
      </c>
      <c r="BG796" s="13" t="s">
        <v>8498</v>
      </c>
      <c r="BJ796" s="13" t="s">
        <v>7138</v>
      </c>
      <c r="BS796" s="13" t="s">
        <v>127</v>
      </c>
      <c r="BU796" s="13" t="s">
        <v>129</v>
      </c>
      <c r="BX796" s="13" t="s">
        <v>8538</v>
      </c>
      <c r="CA796" s="13" t="s">
        <v>8539</v>
      </c>
      <c r="DA796" s="13" t="s">
        <v>10348</v>
      </c>
      <c r="DB796" s="13" t="s">
        <v>10348</v>
      </c>
    </row>
    <row r="797" spans="1:106" s="13" customFormat="1" ht="12.75" customHeight="1" x14ac:dyDescent="0.2">
      <c r="A797" s="13" t="s">
        <v>102</v>
      </c>
      <c r="B797" s="13" t="s">
        <v>103</v>
      </c>
      <c r="D797" s="13" t="s">
        <v>7712</v>
      </c>
      <c r="E797" s="13" t="s">
        <v>228</v>
      </c>
      <c r="F797" s="13" t="s">
        <v>7712</v>
      </c>
      <c r="G797" s="13" t="s">
        <v>229</v>
      </c>
      <c r="H797" s="13" t="s">
        <v>820</v>
      </c>
      <c r="J797" s="13" t="s">
        <v>106</v>
      </c>
      <c r="W797" s="13">
        <v>796</v>
      </c>
      <c r="X797" s="13">
        <v>796</v>
      </c>
      <c r="Y797" s="13" t="s">
        <v>107</v>
      </c>
      <c r="Z797" s="13" t="s">
        <v>108</v>
      </c>
      <c r="AA797" s="13" t="s">
        <v>107</v>
      </c>
      <c r="AB797" s="13" t="s">
        <v>8540</v>
      </c>
      <c r="AC797" s="13" t="s">
        <v>8540</v>
      </c>
      <c r="AD797" s="13" t="s">
        <v>8540</v>
      </c>
      <c r="AE797" s="14" t="s">
        <v>112</v>
      </c>
      <c r="AF797" s="13" t="s">
        <v>8540</v>
      </c>
      <c r="AG797" s="13" t="s">
        <v>8540</v>
      </c>
      <c r="AH797" s="14" t="s">
        <v>8541</v>
      </c>
      <c r="AL797" s="13" t="s">
        <v>8542</v>
      </c>
      <c r="AN797" s="13">
        <v>329</v>
      </c>
      <c r="AO797" s="13" t="s">
        <v>8543</v>
      </c>
      <c r="AQ797" s="13" t="s">
        <v>8540</v>
      </c>
      <c r="AR797" s="13" t="s">
        <v>8540</v>
      </c>
      <c r="AS797" s="13" t="s">
        <v>116</v>
      </c>
      <c r="AT797" s="13" t="s">
        <v>8544</v>
      </c>
      <c r="AU797" s="13" t="s">
        <v>8494</v>
      </c>
      <c r="AV797" s="14" t="s">
        <v>2204</v>
      </c>
      <c r="AW797" s="15" t="s">
        <v>1691</v>
      </c>
      <c r="AX797" s="15" t="s">
        <v>1692</v>
      </c>
      <c r="AY797" s="13" t="s">
        <v>8545</v>
      </c>
      <c r="AZ797" s="13" t="s">
        <v>8546</v>
      </c>
      <c r="BA797" s="13" t="s">
        <v>8546</v>
      </c>
      <c r="BB797" s="13" t="s">
        <v>8547</v>
      </c>
      <c r="BC797" s="13" t="s">
        <v>8547</v>
      </c>
      <c r="BD797" s="13">
        <f t="shared" si="28"/>
        <v>34</v>
      </c>
      <c r="BE797" s="13" t="s">
        <v>1697</v>
      </c>
      <c r="BF797" s="13" t="s">
        <v>951</v>
      </c>
      <c r="BG797" s="13" t="s">
        <v>8498</v>
      </c>
      <c r="BJ797" s="13" t="s">
        <v>7596</v>
      </c>
      <c r="BS797" s="13" t="s">
        <v>127</v>
      </c>
      <c r="BU797" s="13" t="s">
        <v>129</v>
      </c>
      <c r="BX797" s="13" t="s">
        <v>8548</v>
      </c>
      <c r="DA797" s="13" t="s">
        <v>10348</v>
      </c>
      <c r="DB797" s="13" t="s">
        <v>10348</v>
      </c>
    </row>
    <row r="798" spans="1:106" s="13" customFormat="1" ht="12.75" customHeight="1" x14ac:dyDescent="0.2">
      <c r="A798" s="13" t="s">
        <v>102</v>
      </c>
      <c r="B798" s="13" t="s">
        <v>103</v>
      </c>
      <c r="D798" s="13" t="s">
        <v>7712</v>
      </c>
      <c r="E798" s="13" t="s">
        <v>228</v>
      </c>
      <c r="F798" s="13" t="s">
        <v>7712</v>
      </c>
      <c r="G798" s="13" t="s">
        <v>229</v>
      </c>
      <c r="H798" s="13" t="s">
        <v>820</v>
      </c>
      <c r="J798" s="13" t="s">
        <v>106</v>
      </c>
      <c r="W798" s="13">
        <v>797</v>
      </c>
      <c r="X798" s="13">
        <v>797</v>
      </c>
      <c r="Y798" s="13" t="s">
        <v>107</v>
      </c>
      <c r="Z798" s="13" t="s">
        <v>108</v>
      </c>
      <c r="AA798" s="13" t="s">
        <v>107</v>
      </c>
      <c r="AB798" s="13" t="s">
        <v>8549</v>
      </c>
      <c r="AC798" s="13" t="s">
        <v>8549</v>
      </c>
      <c r="AD798" s="13" t="s">
        <v>8549</v>
      </c>
      <c r="AE798" s="14" t="s">
        <v>112</v>
      </c>
      <c r="AF798" s="13" t="s">
        <v>8549</v>
      </c>
      <c r="AG798" s="13" t="s">
        <v>8549</v>
      </c>
      <c r="AH798" s="14" t="s">
        <v>8550</v>
      </c>
      <c r="AL798" s="13" t="s">
        <v>8551</v>
      </c>
      <c r="AN798" s="13">
        <v>329</v>
      </c>
      <c r="AO798" s="13" t="s">
        <v>8552</v>
      </c>
      <c r="AQ798" s="13" t="s">
        <v>8549</v>
      </c>
      <c r="AR798" s="13" t="s">
        <v>8549</v>
      </c>
      <c r="AS798" s="13" t="s">
        <v>116</v>
      </c>
      <c r="AT798" s="13" t="s">
        <v>8553</v>
      </c>
      <c r="AU798" s="13" t="s">
        <v>8523</v>
      </c>
      <c r="AV798" s="14" t="s">
        <v>2204</v>
      </c>
      <c r="AW798" s="15" t="s">
        <v>1691</v>
      </c>
      <c r="AX798" s="15" t="s">
        <v>1692</v>
      </c>
      <c r="AY798" s="13" t="s">
        <v>8554</v>
      </c>
      <c r="AZ798" s="13" t="s">
        <v>8555</v>
      </c>
      <c r="BA798" s="13" t="s">
        <v>8555</v>
      </c>
      <c r="BB798" s="13" t="s">
        <v>8556</v>
      </c>
      <c r="BC798" s="13" t="s">
        <v>8556</v>
      </c>
      <c r="BD798" s="13">
        <f t="shared" si="28"/>
        <v>51</v>
      </c>
      <c r="BE798" s="13" t="s">
        <v>1697</v>
      </c>
      <c r="BF798" s="13" t="s">
        <v>951</v>
      </c>
      <c r="BG798" s="13" t="s">
        <v>8498</v>
      </c>
      <c r="BJ798" s="13" t="s">
        <v>7596</v>
      </c>
      <c r="BO798" s="13" t="s">
        <v>8478</v>
      </c>
      <c r="BS798" s="13" t="s">
        <v>127</v>
      </c>
      <c r="BU798" s="13" t="s">
        <v>129</v>
      </c>
      <c r="BX798" s="13" t="s">
        <v>8557</v>
      </c>
      <c r="DA798" s="13" t="s">
        <v>10348</v>
      </c>
      <c r="DB798" s="13" t="s">
        <v>10348</v>
      </c>
    </row>
    <row r="799" spans="1:106" s="13" customFormat="1" ht="12.75" customHeight="1" x14ac:dyDescent="0.2">
      <c r="A799" s="13" t="s">
        <v>102</v>
      </c>
      <c r="B799" s="13" t="s">
        <v>103</v>
      </c>
      <c r="D799" s="13" t="s">
        <v>7712</v>
      </c>
      <c r="E799" s="13" t="s">
        <v>228</v>
      </c>
      <c r="F799" s="13" t="s">
        <v>7712</v>
      </c>
      <c r="G799" s="13" t="s">
        <v>229</v>
      </c>
      <c r="H799" s="13" t="s">
        <v>820</v>
      </c>
      <c r="J799" s="13" t="s">
        <v>106</v>
      </c>
      <c r="W799" s="13">
        <v>798</v>
      </c>
      <c r="X799" s="13">
        <v>798</v>
      </c>
      <c r="Y799" s="13" t="s">
        <v>107</v>
      </c>
      <c r="Z799" s="13" t="s">
        <v>108</v>
      </c>
      <c r="AA799" s="13" t="s">
        <v>107</v>
      </c>
      <c r="AB799" s="13" t="s">
        <v>8558</v>
      </c>
      <c r="AC799" s="13" t="s">
        <v>8558</v>
      </c>
      <c r="AD799" s="13" t="s">
        <v>8558</v>
      </c>
      <c r="AE799" s="14" t="s">
        <v>112</v>
      </c>
      <c r="AF799" s="13" t="s">
        <v>8558</v>
      </c>
      <c r="AG799" s="13" t="s">
        <v>8558</v>
      </c>
      <c r="AH799" s="14" t="s">
        <v>8559</v>
      </c>
      <c r="AL799" s="13" t="s">
        <v>8560</v>
      </c>
      <c r="AN799" s="13">
        <v>329</v>
      </c>
      <c r="AO799" s="13" t="s">
        <v>8561</v>
      </c>
      <c r="AQ799" s="13" t="s">
        <v>8558</v>
      </c>
      <c r="AR799" s="13" t="s">
        <v>8558</v>
      </c>
      <c r="AS799" s="13" t="s">
        <v>116</v>
      </c>
      <c r="AT799" s="13" t="s">
        <v>8562</v>
      </c>
      <c r="AU799" s="13" t="s">
        <v>8494</v>
      </c>
      <c r="AV799" s="14" t="s">
        <v>2204</v>
      </c>
      <c r="AW799" s="15" t="s">
        <v>1691</v>
      </c>
      <c r="AX799" s="15" t="s">
        <v>1692</v>
      </c>
      <c r="AY799" s="13" t="s">
        <v>8563</v>
      </c>
      <c r="AZ799" s="13" t="s">
        <v>8564</v>
      </c>
      <c r="BA799" s="13" t="s">
        <v>8565</v>
      </c>
      <c r="BB799" s="13" t="s">
        <v>8566</v>
      </c>
      <c r="BC799" s="13" t="s">
        <v>8567</v>
      </c>
      <c r="BD799" s="13">
        <f t="shared" si="28"/>
        <v>44</v>
      </c>
      <c r="BE799" s="13" t="s">
        <v>1697</v>
      </c>
      <c r="BF799" s="13" t="s">
        <v>951</v>
      </c>
      <c r="BG799" s="13" t="s">
        <v>8498</v>
      </c>
      <c r="BJ799" s="13" t="s">
        <v>7430</v>
      </c>
      <c r="BS799" s="13" t="s">
        <v>127</v>
      </c>
      <c r="BU799" s="13" t="s">
        <v>129</v>
      </c>
      <c r="BX799" s="13" t="s">
        <v>8568</v>
      </c>
      <c r="CA799" s="13" t="s">
        <v>8539</v>
      </c>
      <c r="DA799" s="13" t="s">
        <v>10348</v>
      </c>
      <c r="DB799" s="13" t="s">
        <v>10348</v>
      </c>
    </row>
    <row r="800" spans="1:106" s="13" customFormat="1" ht="12.75" customHeight="1" x14ac:dyDescent="0.2">
      <c r="A800" s="13" t="s">
        <v>102</v>
      </c>
      <c r="B800" s="13" t="s">
        <v>103</v>
      </c>
      <c r="D800" s="13" t="s">
        <v>7712</v>
      </c>
      <c r="E800" s="13" t="s">
        <v>228</v>
      </c>
      <c r="F800" s="13" t="s">
        <v>7712</v>
      </c>
      <c r="G800" s="13" t="s">
        <v>229</v>
      </c>
      <c r="H800" s="13" t="s">
        <v>820</v>
      </c>
      <c r="J800" s="13" t="s">
        <v>106</v>
      </c>
      <c r="W800" s="13">
        <v>799</v>
      </c>
      <c r="X800" s="13">
        <v>799</v>
      </c>
      <c r="Y800" s="13" t="s">
        <v>107</v>
      </c>
      <c r="Z800" s="13" t="s">
        <v>108</v>
      </c>
      <c r="AA800" s="13" t="s">
        <v>107</v>
      </c>
      <c r="AB800" s="13" t="s">
        <v>8569</v>
      </c>
      <c r="AC800" s="13" t="s">
        <v>8569</v>
      </c>
      <c r="AD800" s="13" t="s">
        <v>8569</v>
      </c>
      <c r="AE800" s="14" t="s">
        <v>112</v>
      </c>
      <c r="AF800" s="13" t="s">
        <v>8569</v>
      </c>
      <c r="AG800" s="13" t="s">
        <v>8569</v>
      </c>
      <c r="AH800" s="14" t="s">
        <v>8570</v>
      </c>
      <c r="AL800" s="13" t="s">
        <v>8571</v>
      </c>
      <c r="AN800" s="13">
        <v>329</v>
      </c>
      <c r="AO800" s="13" t="s">
        <v>8572</v>
      </c>
      <c r="AQ800" s="13" t="s">
        <v>8569</v>
      </c>
      <c r="AR800" s="13" t="s">
        <v>8569</v>
      </c>
      <c r="AS800" s="13" t="s">
        <v>116</v>
      </c>
      <c r="AT800" s="13" t="s">
        <v>8573</v>
      </c>
      <c r="AU800" s="13" t="s">
        <v>8523</v>
      </c>
      <c r="AV800" s="14" t="s">
        <v>2204</v>
      </c>
      <c r="AW800" s="15" t="s">
        <v>1691</v>
      </c>
      <c r="AX800" s="15" t="s">
        <v>1692</v>
      </c>
      <c r="AY800" s="13" t="s">
        <v>8574</v>
      </c>
      <c r="AZ800" s="13" t="s">
        <v>8575</v>
      </c>
      <c r="BA800" s="13" t="s">
        <v>8575</v>
      </c>
      <c r="BB800" s="13" t="s">
        <v>8576</v>
      </c>
      <c r="BC800" s="13" t="s">
        <v>8576</v>
      </c>
      <c r="BD800" s="13">
        <f t="shared" si="28"/>
        <v>52</v>
      </c>
      <c r="BE800" s="13" t="s">
        <v>1697</v>
      </c>
      <c r="BF800" s="13" t="s">
        <v>951</v>
      </c>
      <c r="BG800" s="13" t="s">
        <v>8498</v>
      </c>
      <c r="BJ800" s="13" t="s">
        <v>7430</v>
      </c>
      <c r="BO800" s="13" t="s">
        <v>8478</v>
      </c>
      <c r="BS800" s="13" t="s">
        <v>127</v>
      </c>
      <c r="BU800" s="13" t="s">
        <v>129</v>
      </c>
      <c r="BX800" s="13" t="s">
        <v>8577</v>
      </c>
      <c r="DA800" s="13" t="s">
        <v>10348</v>
      </c>
      <c r="DB800" s="13" t="s">
        <v>10348</v>
      </c>
    </row>
    <row r="801" spans="1:106" s="13" customFormat="1" ht="12.75" customHeight="1" x14ac:dyDescent="0.2">
      <c r="A801" s="13" t="s">
        <v>102</v>
      </c>
      <c r="B801" s="13" t="s">
        <v>103</v>
      </c>
      <c r="D801" s="13" t="s">
        <v>7712</v>
      </c>
      <c r="E801" s="13" t="s">
        <v>228</v>
      </c>
      <c r="F801" s="13" t="s">
        <v>7712</v>
      </c>
      <c r="G801" s="13" t="s">
        <v>229</v>
      </c>
      <c r="H801" s="13" t="s">
        <v>820</v>
      </c>
      <c r="J801" s="13" t="s">
        <v>106</v>
      </c>
      <c r="W801" s="13">
        <v>800</v>
      </c>
      <c r="X801" s="13">
        <v>800</v>
      </c>
      <c r="Y801" s="13" t="s">
        <v>107</v>
      </c>
      <c r="Z801" s="13" t="s">
        <v>108</v>
      </c>
      <c r="AA801" s="13" t="s">
        <v>107</v>
      </c>
      <c r="AB801" s="13" t="s">
        <v>8578</v>
      </c>
      <c r="AC801" s="13" t="s">
        <v>8578</v>
      </c>
      <c r="AD801" s="13" t="s">
        <v>8578</v>
      </c>
      <c r="AE801" s="14" t="s">
        <v>112</v>
      </c>
      <c r="AF801" s="13" t="s">
        <v>8578</v>
      </c>
      <c r="AG801" s="13" t="s">
        <v>8578</v>
      </c>
      <c r="AH801" s="14" t="s">
        <v>8579</v>
      </c>
      <c r="AL801" s="13" t="s">
        <v>8580</v>
      </c>
      <c r="AN801" s="13">
        <v>329</v>
      </c>
      <c r="AO801" s="13" t="s">
        <v>8581</v>
      </c>
      <c r="AQ801" s="13" t="s">
        <v>8578</v>
      </c>
      <c r="AR801" s="13" t="s">
        <v>8578</v>
      </c>
      <c r="AS801" s="13" t="s">
        <v>116</v>
      </c>
      <c r="AT801" s="13" t="s">
        <v>8582</v>
      </c>
      <c r="AU801" s="13" t="s">
        <v>8494</v>
      </c>
      <c r="AV801" s="14" t="s">
        <v>2204</v>
      </c>
      <c r="AW801" s="15" t="s">
        <v>1691</v>
      </c>
      <c r="AX801" s="15" t="s">
        <v>1692</v>
      </c>
      <c r="AY801" s="13" t="s">
        <v>8583</v>
      </c>
      <c r="AZ801" s="13" t="s">
        <v>8584</v>
      </c>
      <c r="BA801" s="13" t="s">
        <v>8584</v>
      </c>
      <c r="BB801" s="13" t="s">
        <v>8585</v>
      </c>
      <c r="BC801" s="13" t="s">
        <v>8585</v>
      </c>
      <c r="BD801" s="13">
        <f t="shared" si="28"/>
        <v>35</v>
      </c>
      <c r="BE801" s="13" t="s">
        <v>1697</v>
      </c>
      <c r="BF801" s="13" t="s">
        <v>951</v>
      </c>
      <c r="BG801" s="13" t="s">
        <v>8498</v>
      </c>
      <c r="BJ801" s="13" t="s">
        <v>7442</v>
      </c>
      <c r="BS801" s="13" t="s">
        <v>127</v>
      </c>
      <c r="BU801" s="13" t="s">
        <v>129</v>
      </c>
      <c r="BX801" s="13" t="s">
        <v>8586</v>
      </c>
      <c r="DA801" s="13" t="s">
        <v>10348</v>
      </c>
      <c r="DB801" s="13" t="s">
        <v>10348</v>
      </c>
    </row>
    <row r="802" spans="1:106" s="13" customFormat="1" ht="12.75" customHeight="1" x14ac:dyDescent="0.2">
      <c r="A802" s="13" t="s">
        <v>102</v>
      </c>
      <c r="B802" s="13" t="s">
        <v>103</v>
      </c>
      <c r="D802" s="13" t="s">
        <v>7712</v>
      </c>
      <c r="E802" s="13" t="s">
        <v>471</v>
      </c>
      <c r="F802" s="13" t="s">
        <v>7712</v>
      </c>
      <c r="G802" s="13" t="s">
        <v>229</v>
      </c>
      <c r="H802" s="13" t="s">
        <v>820</v>
      </c>
      <c r="J802" s="13" t="s">
        <v>106</v>
      </c>
      <c r="W802" s="13">
        <v>801</v>
      </c>
      <c r="X802" s="13">
        <v>801</v>
      </c>
      <c r="Y802" s="13" t="s">
        <v>107</v>
      </c>
      <c r="Z802" s="13" t="s">
        <v>108</v>
      </c>
      <c r="AA802" s="13" t="s">
        <v>107</v>
      </c>
      <c r="AB802" s="13" t="s">
        <v>8587</v>
      </c>
      <c r="AC802" s="13" t="s">
        <v>8587</v>
      </c>
      <c r="AD802" s="13" t="s">
        <v>8587</v>
      </c>
      <c r="AE802" s="14" t="s">
        <v>112</v>
      </c>
      <c r="AF802" s="13" t="s">
        <v>8587</v>
      </c>
      <c r="AG802" s="13" t="s">
        <v>8587</v>
      </c>
      <c r="AH802" s="14" t="s">
        <v>8588</v>
      </c>
      <c r="AL802" s="13" t="s">
        <v>8589</v>
      </c>
      <c r="AN802" s="13">
        <v>329</v>
      </c>
      <c r="AO802" s="13" t="s">
        <v>8590</v>
      </c>
      <c r="AQ802" s="13" t="s">
        <v>8587</v>
      </c>
      <c r="AR802" s="13" t="s">
        <v>8587</v>
      </c>
      <c r="AS802" s="13" t="s">
        <v>116</v>
      </c>
      <c r="AT802" s="13" t="s">
        <v>8591</v>
      </c>
      <c r="AU802" s="13" t="s">
        <v>8494</v>
      </c>
      <c r="AV802" s="14" t="s">
        <v>2204</v>
      </c>
      <c r="AW802" s="15" t="s">
        <v>1691</v>
      </c>
      <c r="AX802" s="15" t="s">
        <v>1692</v>
      </c>
      <c r="AY802" s="13" t="s">
        <v>8591</v>
      </c>
      <c r="AZ802" s="13" t="s">
        <v>8592</v>
      </c>
      <c r="BA802" s="13" t="s">
        <v>8592</v>
      </c>
      <c r="BB802" s="13" t="s">
        <v>8593</v>
      </c>
      <c r="BC802" s="13" t="s">
        <v>8593</v>
      </c>
      <c r="BD802" s="13">
        <f t="shared" si="28"/>
        <v>34</v>
      </c>
      <c r="BE802" s="13" t="s">
        <v>1697</v>
      </c>
      <c r="BF802" s="13" t="s">
        <v>951</v>
      </c>
      <c r="BG802" s="13" t="s">
        <v>8498</v>
      </c>
      <c r="BJ802" s="13" t="s">
        <v>8594</v>
      </c>
      <c r="BS802" s="13" t="s">
        <v>127</v>
      </c>
      <c r="BU802" s="13" t="s">
        <v>129</v>
      </c>
      <c r="BX802" s="13" t="s">
        <v>8595</v>
      </c>
      <c r="DA802" s="13" t="s">
        <v>10348</v>
      </c>
      <c r="DB802" s="13" t="s">
        <v>10348</v>
      </c>
    </row>
    <row r="803" spans="1:106" s="13" customFormat="1" ht="12.75" customHeight="1" x14ac:dyDescent="0.2">
      <c r="A803" s="13" t="s">
        <v>102</v>
      </c>
      <c r="B803" s="13" t="s">
        <v>103</v>
      </c>
      <c r="D803" s="13" t="s">
        <v>7712</v>
      </c>
      <c r="E803" s="13" t="s">
        <v>471</v>
      </c>
      <c r="F803" s="13" t="s">
        <v>7712</v>
      </c>
      <c r="G803" s="13" t="s">
        <v>229</v>
      </c>
      <c r="H803" s="13" t="s">
        <v>820</v>
      </c>
      <c r="J803" s="13" t="s">
        <v>106</v>
      </c>
      <c r="W803" s="13">
        <v>802</v>
      </c>
      <c r="X803" s="13">
        <v>802</v>
      </c>
      <c r="Y803" s="13" t="s">
        <v>107</v>
      </c>
      <c r="Z803" s="13" t="s">
        <v>108</v>
      </c>
      <c r="AA803" s="13" t="s">
        <v>107</v>
      </c>
      <c r="AB803" s="13" t="s">
        <v>8596</v>
      </c>
      <c r="AC803" s="13" t="s">
        <v>8596</v>
      </c>
      <c r="AD803" s="13" t="s">
        <v>8596</v>
      </c>
      <c r="AE803" s="14" t="s">
        <v>112</v>
      </c>
      <c r="AF803" s="13" t="s">
        <v>8596</v>
      </c>
      <c r="AG803" s="13" t="s">
        <v>8596</v>
      </c>
      <c r="AH803" s="14" t="s">
        <v>8597</v>
      </c>
      <c r="AL803" s="13" t="s">
        <v>8598</v>
      </c>
      <c r="AN803" s="13">
        <v>329</v>
      </c>
      <c r="AO803" s="13" t="s">
        <v>8599</v>
      </c>
      <c r="AQ803" s="13" t="s">
        <v>8596</v>
      </c>
      <c r="AR803" s="13" t="s">
        <v>8596</v>
      </c>
      <c r="AS803" s="13" t="s">
        <v>116</v>
      </c>
      <c r="AT803" s="13" t="s">
        <v>8600</v>
      </c>
      <c r="AU803" s="13" t="s">
        <v>8601</v>
      </c>
      <c r="AV803" s="14" t="s">
        <v>2204</v>
      </c>
      <c r="AW803" s="15" t="s">
        <v>1691</v>
      </c>
      <c r="AX803" s="15" t="s">
        <v>1692</v>
      </c>
      <c r="AY803" s="13" t="s">
        <v>8600</v>
      </c>
      <c r="AZ803" s="13" t="s">
        <v>8602</v>
      </c>
      <c r="BA803" s="13" t="s">
        <v>8602</v>
      </c>
      <c r="BB803" s="13" t="s">
        <v>8603</v>
      </c>
      <c r="BC803" s="13" t="s">
        <v>8603</v>
      </c>
      <c r="BD803" s="13">
        <f t="shared" si="28"/>
        <v>37</v>
      </c>
      <c r="BE803" s="13" t="s">
        <v>1697</v>
      </c>
      <c r="BF803" s="13" t="s">
        <v>951</v>
      </c>
      <c r="BG803" s="13" t="s">
        <v>8604</v>
      </c>
      <c r="BJ803" s="13" t="s">
        <v>7585</v>
      </c>
      <c r="BS803" s="13" t="s">
        <v>127</v>
      </c>
      <c r="BU803" s="13" t="s">
        <v>129</v>
      </c>
      <c r="BX803" s="13" t="s">
        <v>8605</v>
      </c>
      <c r="DA803" s="13" t="s">
        <v>10348</v>
      </c>
      <c r="DB803" s="13" t="s">
        <v>10348</v>
      </c>
    </row>
    <row r="804" spans="1:106" s="13" customFormat="1" ht="12.75" customHeight="1" x14ac:dyDescent="0.2">
      <c r="A804" s="13" t="s">
        <v>102</v>
      </c>
      <c r="B804" s="13" t="s">
        <v>103</v>
      </c>
      <c r="D804" s="13" t="s">
        <v>7712</v>
      </c>
      <c r="E804" s="13" t="s">
        <v>471</v>
      </c>
      <c r="F804" s="13" t="s">
        <v>7712</v>
      </c>
      <c r="G804" s="13" t="s">
        <v>229</v>
      </c>
      <c r="H804" s="13" t="s">
        <v>820</v>
      </c>
      <c r="J804" s="13" t="s">
        <v>106</v>
      </c>
      <c r="W804" s="13">
        <v>803</v>
      </c>
      <c r="X804" s="13">
        <v>803</v>
      </c>
      <c r="Y804" s="13" t="s">
        <v>107</v>
      </c>
      <c r="Z804" s="13" t="s">
        <v>108</v>
      </c>
      <c r="AA804" s="13" t="s">
        <v>107</v>
      </c>
      <c r="AB804" s="13" t="s">
        <v>8606</v>
      </c>
      <c r="AC804" s="13" t="s">
        <v>8606</v>
      </c>
      <c r="AD804" s="13" t="s">
        <v>8606</v>
      </c>
      <c r="AE804" s="14" t="s">
        <v>112</v>
      </c>
      <c r="AF804" s="13" t="s">
        <v>8606</v>
      </c>
      <c r="AG804" s="13" t="s">
        <v>8606</v>
      </c>
      <c r="AH804" s="14" t="s">
        <v>8607</v>
      </c>
      <c r="AL804" s="13" t="s">
        <v>8608</v>
      </c>
      <c r="AN804" s="13">
        <v>329</v>
      </c>
      <c r="AO804" s="13" t="s">
        <v>8609</v>
      </c>
      <c r="AQ804" s="13" t="s">
        <v>8606</v>
      </c>
      <c r="AR804" s="13" t="s">
        <v>8606</v>
      </c>
      <c r="AS804" s="13" t="s">
        <v>116</v>
      </c>
      <c r="AT804" s="13" t="s">
        <v>8610</v>
      </c>
      <c r="AU804" s="13" t="s">
        <v>8601</v>
      </c>
      <c r="AV804" s="14" t="s">
        <v>2204</v>
      </c>
      <c r="AW804" s="15" t="s">
        <v>1691</v>
      </c>
      <c r="AX804" s="15" t="s">
        <v>1692</v>
      </c>
      <c r="AY804" s="13" t="s">
        <v>8610</v>
      </c>
      <c r="AZ804" s="13" t="s">
        <v>8611</v>
      </c>
      <c r="BA804" s="13" t="s">
        <v>8611</v>
      </c>
      <c r="BB804" s="13" t="s">
        <v>8612</v>
      </c>
      <c r="BC804" s="13" t="s">
        <v>8612</v>
      </c>
      <c r="BD804" s="13">
        <f t="shared" ref="BD804:BD835" si="29">LEN(SUBSTITUTE(BC804, ", ",","))</f>
        <v>37</v>
      </c>
      <c r="BE804" s="13" t="s">
        <v>1697</v>
      </c>
      <c r="BF804" s="13" t="s">
        <v>951</v>
      </c>
      <c r="BG804" s="13" t="s">
        <v>8604</v>
      </c>
      <c r="BJ804" s="13" t="s">
        <v>5663</v>
      </c>
      <c r="BS804" s="13" t="s">
        <v>127</v>
      </c>
      <c r="BU804" s="13" t="s">
        <v>129</v>
      </c>
      <c r="BX804" s="13" t="s">
        <v>8613</v>
      </c>
      <c r="DA804" s="13" t="s">
        <v>10348</v>
      </c>
      <c r="DB804" s="13" t="s">
        <v>10348</v>
      </c>
    </row>
    <row r="805" spans="1:106" s="13" customFormat="1" ht="12.75" customHeight="1" x14ac:dyDescent="0.2">
      <c r="A805" s="13" t="s">
        <v>102</v>
      </c>
      <c r="B805" s="13" t="s">
        <v>103</v>
      </c>
      <c r="D805" s="13" t="s">
        <v>7712</v>
      </c>
      <c r="E805" s="13" t="s">
        <v>228</v>
      </c>
      <c r="F805" s="13" t="s">
        <v>7712</v>
      </c>
      <c r="G805" s="13" t="s">
        <v>229</v>
      </c>
      <c r="H805" s="13" t="s">
        <v>820</v>
      </c>
      <c r="J805" s="13" t="s">
        <v>106</v>
      </c>
      <c r="W805" s="13">
        <v>804</v>
      </c>
      <c r="X805" s="13">
        <v>804</v>
      </c>
      <c r="Y805" s="13" t="s">
        <v>107</v>
      </c>
      <c r="Z805" s="13" t="s">
        <v>108</v>
      </c>
      <c r="AA805" s="13" t="s">
        <v>107</v>
      </c>
      <c r="AB805" s="13" t="s">
        <v>8614</v>
      </c>
      <c r="AC805" s="13" t="s">
        <v>8614</v>
      </c>
      <c r="AD805" s="13" t="s">
        <v>8614</v>
      </c>
      <c r="AE805" s="14" t="s">
        <v>112</v>
      </c>
      <c r="AF805" s="13" t="s">
        <v>8614</v>
      </c>
      <c r="AG805" s="13" t="s">
        <v>8614</v>
      </c>
      <c r="AH805" s="14" t="s">
        <v>8615</v>
      </c>
      <c r="AL805" s="13" t="s">
        <v>8616</v>
      </c>
      <c r="AN805" s="13">
        <v>329</v>
      </c>
      <c r="AO805" s="13" t="s">
        <v>8617</v>
      </c>
      <c r="AQ805" s="13" t="s">
        <v>8614</v>
      </c>
      <c r="AR805" s="13" t="s">
        <v>8614</v>
      </c>
      <c r="AS805" s="13" t="s">
        <v>116</v>
      </c>
      <c r="AT805" s="13" t="s">
        <v>8618</v>
      </c>
      <c r="AU805" s="13" t="s">
        <v>8619</v>
      </c>
      <c r="AV805" s="14" t="s">
        <v>2204</v>
      </c>
      <c r="AW805" s="15" t="s">
        <v>1691</v>
      </c>
      <c r="AX805" s="15" t="s">
        <v>1692</v>
      </c>
      <c r="AY805" s="13" t="s">
        <v>8620</v>
      </c>
      <c r="AZ805" s="13" t="s">
        <v>8621</v>
      </c>
      <c r="BA805" s="13" t="s">
        <v>8621</v>
      </c>
      <c r="BB805" s="13" t="s">
        <v>8622</v>
      </c>
      <c r="BC805" s="13" t="s">
        <v>8622</v>
      </c>
      <c r="BD805" s="13">
        <f t="shared" si="29"/>
        <v>38</v>
      </c>
      <c r="BE805" s="13" t="s">
        <v>1697</v>
      </c>
      <c r="BF805" s="13" t="s">
        <v>951</v>
      </c>
      <c r="BJ805" s="13" t="s">
        <v>7769</v>
      </c>
      <c r="BS805" s="13" t="s">
        <v>127</v>
      </c>
      <c r="BT805" s="13" t="s">
        <v>8623</v>
      </c>
      <c r="BU805" s="13" t="s">
        <v>129</v>
      </c>
      <c r="BX805" s="13" t="s">
        <v>8624</v>
      </c>
      <c r="DA805" s="13" t="s">
        <v>10348</v>
      </c>
      <c r="DB805" s="13" t="s">
        <v>10348</v>
      </c>
    </row>
    <row r="806" spans="1:106" s="13" customFormat="1" ht="12.75" customHeight="1" x14ac:dyDescent="0.2">
      <c r="A806" s="13" t="s">
        <v>102</v>
      </c>
      <c r="B806" s="13" t="s">
        <v>103</v>
      </c>
      <c r="D806" s="13" t="s">
        <v>7712</v>
      </c>
      <c r="E806" s="13" t="s">
        <v>228</v>
      </c>
      <c r="F806" s="13" t="s">
        <v>7712</v>
      </c>
      <c r="G806" s="13" t="s">
        <v>229</v>
      </c>
      <c r="H806" s="13" t="s">
        <v>820</v>
      </c>
      <c r="J806" s="13" t="s">
        <v>106</v>
      </c>
      <c r="W806" s="13">
        <v>805</v>
      </c>
      <c r="X806" s="13">
        <v>805</v>
      </c>
      <c r="Y806" s="13" t="s">
        <v>107</v>
      </c>
      <c r="Z806" s="13" t="s">
        <v>108</v>
      </c>
      <c r="AA806" s="13" t="s">
        <v>107</v>
      </c>
      <c r="AB806" s="13" t="s">
        <v>8625</v>
      </c>
      <c r="AC806" s="13" t="s">
        <v>8625</v>
      </c>
      <c r="AD806" s="13" t="s">
        <v>8625</v>
      </c>
      <c r="AE806" s="14" t="s">
        <v>112</v>
      </c>
      <c r="AF806" s="13" t="s">
        <v>8625</v>
      </c>
      <c r="AG806" s="13" t="s">
        <v>8625</v>
      </c>
      <c r="AH806" s="14" t="s">
        <v>8626</v>
      </c>
      <c r="AL806" s="13" t="s">
        <v>8627</v>
      </c>
      <c r="AN806" s="13">
        <v>329</v>
      </c>
      <c r="AO806" s="13" t="s">
        <v>8628</v>
      </c>
      <c r="AQ806" s="13" t="s">
        <v>8625</v>
      </c>
      <c r="AR806" s="13" t="s">
        <v>8625</v>
      </c>
      <c r="AS806" s="13" t="s">
        <v>116</v>
      </c>
      <c r="AT806" s="13" t="s">
        <v>8629</v>
      </c>
      <c r="AU806" s="13" t="s">
        <v>8630</v>
      </c>
      <c r="AV806" s="14" t="s">
        <v>2204</v>
      </c>
      <c r="AW806" s="15" t="s">
        <v>1691</v>
      </c>
      <c r="AX806" s="15" t="s">
        <v>1692</v>
      </c>
      <c r="AY806" s="13" t="s">
        <v>8631</v>
      </c>
      <c r="AZ806" s="13" t="s">
        <v>8632</v>
      </c>
      <c r="BA806" s="13" t="s">
        <v>8632</v>
      </c>
      <c r="BB806" s="13" t="s">
        <v>8633</v>
      </c>
      <c r="BC806" s="13" t="s">
        <v>8633</v>
      </c>
      <c r="BD806" s="13">
        <f t="shared" si="29"/>
        <v>55</v>
      </c>
      <c r="BE806" s="13" t="s">
        <v>1697</v>
      </c>
      <c r="BF806" s="13" t="s">
        <v>951</v>
      </c>
      <c r="BJ806" s="13" t="s">
        <v>7769</v>
      </c>
      <c r="BO806" s="13" t="s">
        <v>8478</v>
      </c>
      <c r="BS806" s="13" t="s">
        <v>127</v>
      </c>
      <c r="BT806" s="13" t="s">
        <v>8623</v>
      </c>
      <c r="BU806" s="13" t="s">
        <v>129</v>
      </c>
      <c r="BX806" s="13" t="s">
        <v>8634</v>
      </c>
      <c r="DA806" s="13" t="s">
        <v>10348</v>
      </c>
      <c r="DB806" s="13" t="s">
        <v>10348</v>
      </c>
    </row>
    <row r="807" spans="1:106" s="13" customFormat="1" ht="12.75" customHeight="1" x14ac:dyDescent="0.2">
      <c r="A807" s="13" t="s">
        <v>102</v>
      </c>
      <c r="B807" s="13" t="s">
        <v>103</v>
      </c>
      <c r="D807" s="13" t="s">
        <v>7712</v>
      </c>
      <c r="E807" s="13" t="s">
        <v>228</v>
      </c>
      <c r="F807" s="13" t="s">
        <v>7712</v>
      </c>
      <c r="G807" s="13" t="s">
        <v>229</v>
      </c>
      <c r="H807" s="13" t="s">
        <v>820</v>
      </c>
      <c r="J807" s="13" t="s">
        <v>106</v>
      </c>
      <c r="W807" s="13">
        <v>806</v>
      </c>
      <c r="X807" s="13">
        <v>806</v>
      </c>
      <c r="Y807" s="13" t="s">
        <v>107</v>
      </c>
      <c r="Z807" s="13" t="s">
        <v>108</v>
      </c>
      <c r="AA807" s="13" t="s">
        <v>107</v>
      </c>
      <c r="AB807" s="13" t="s">
        <v>8635</v>
      </c>
      <c r="AC807" s="13" t="s">
        <v>8635</v>
      </c>
      <c r="AD807" s="13" t="s">
        <v>8635</v>
      </c>
      <c r="AE807" s="14" t="s">
        <v>112</v>
      </c>
      <c r="AF807" s="13" t="s">
        <v>8635</v>
      </c>
      <c r="AG807" s="13" t="s">
        <v>8635</v>
      </c>
      <c r="AH807" s="14" t="s">
        <v>8636</v>
      </c>
      <c r="AL807" s="13" t="s">
        <v>8637</v>
      </c>
      <c r="AN807" s="13">
        <v>329</v>
      </c>
      <c r="AO807" s="13" t="s">
        <v>8638</v>
      </c>
      <c r="AQ807" s="13" t="s">
        <v>8635</v>
      </c>
      <c r="AR807" s="13" t="s">
        <v>8635</v>
      </c>
      <c r="AS807" s="13" t="s">
        <v>116</v>
      </c>
      <c r="AT807" s="13" t="s">
        <v>8639</v>
      </c>
      <c r="AU807" s="13" t="s">
        <v>8619</v>
      </c>
      <c r="AV807" s="14" t="s">
        <v>2204</v>
      </c>
      <c r="AW807" s="15" t="s">
        <v>1691</v>
      </c>
      <c r="AX807" s="15" t="s">
        <v>1692</v>
      </c>
      <c r="AY807" s="13" t="s">
        <v>8640</v>
      </c>
      <c r="AZ807" s="13" t="s">
        <v>8641</v>
      </c>
      <c r="BA807" s="13" t="s">
        <v>8641</v>
      </c>
      <c r="BB807" s="13" t="s">
        <v>8642</v>
      </c>
      <c r="BC807" s="13" t="s">
        <v>8642</v>
      </c>
      <c r="BD807" s="13">
        <f t="shared" si="29"/>
        <v>39</v>
      </c>
      <c r="BE807" s="13" t="s">
        <v>1697</v>
      </c>
      <c r="BF807" s="13" t="s">
        <v>951</v>
      </c>
      <c r="BJ807" s="13" t="s">
        <v>7138</v>
      </c>
      <c r="BS807" s="13" t="s">
        <v>127</v>
      </c>
      <c r="BT807" s="13" t="s">
        <v>8623</v>
      </c>
      <c r="BU807" s="13" t="s">
        <v>129</v>
      </c>
      <c r="BX807" s="13" t="s">
        <v>8643</v>
      </c>
      <c r="DA807" s="13" t="s">
        <v>10348</v>
      </c>
      <c r="DB807" s="13" t="s">
        <v>10348</v>
      </c>
    </row>
    <row r="808" spans="1:106" s="13" customFormat="1" ht="12.75" customHeight="1" x14ac:dyDescent="0.2">
      <c r="A808" s="13" t="s">
        <v>102</v>
      </c>
      <c r="B808" s="13" t="s">
        <v>103</v>
      </c>
      <c r="D808" s="13" t="s">
        <v>7712</v>
      </c>
      <c r="E808" s="13" t="s">
        <v>228</v>
      </c>
      <c r="F808" s="13" t="s">
        <v>7712</v>
      </c>
      <c r="G808" s="13" t="s">
        <v>229</v>
      </c>
      <c r="H808" s="13" t="s">
        <v>820</v>
      </c>
      <c r="J808" s="13" t="s">
        <v>106</v>
      </c>
      <c r="W808" s="13">
        <v>807</v>
      </c>
      <c r="X808" s="13">
        <v>807</v>
      </c>
      <c r="Y808" s="13" t="s">
        <v>107</v>
      </c>
      <c r="Z808" s="13" t="s">
        <v>108</v>
      </c>
      <c r="AA808" s="13" t="s">
        <v>107</v>
      </c>
      <c r="AB808" s="13" t="s">
        <v>8644</v>
      </c>
      <c r="AC808" s="13" t="s">
        <v>8644</v>
      </c>
      <c r="AD808" s="13" t="s">
        <v>8644</v>
      </c>
      <c r="AE808" s="14" t="s">
        <v>112</v>
      </c>
      <c r="AF808" s="13" t="s">
        <v>8644</v>
      </c>
      <c r="AG808" s="13" t="s">
        <v>8644</v>
      </c>
      <c r="AH808" s="14" t="s">
        <v>8645</v>
      </c>
      <c r="AL808" s="13" t="s">
        <v>8646</v>
      </c>
      <c r="AN808" s="13">
        <v>329</v>
      </c>
      <c r="AO808" s="13" t="s">
        <v>8647</v>
      </c>
      <c r="AQ808" s="13" t="s">
        <v>8644</v>
      </c>
      <c r="AR808" s="13" t="s">
        <v>8644</v>
      </c>
      <c r="AS808" s="13" t="s">
        <v>116</v>
      </c>
      <c r="AT808" s="13" t="s">
        <v>8648</v>
      </c>
      <c r="AU808" s="13" t="s">
        <v>8619</v>
      </c>
      <c r="AV808" s="14" t="s">
        <v>2204</v>
      </c>
      <c r="AW808" s="15" t="s">
        <v>1691</v>
      </c>
      <c r="AX808" s="15" t="s">
        <v>1692</v>
      </c>
      <c r="AY808" s="13" t="s">
        <v>8649</v>
      </c>
      <c r="AZ808" s="13" t="s">
        <v>8650</v>
      </c>
      <c r="BA808" s="13" t="s">
        <v>8650</v>
      </c>
      <c r="BB808" s="13" t="s">
        <v>8651</v>
      </c>
      <c r="BC808" s="13" t="s">
        <v>8651</v>
      </c>
      <c r="BD808" s="13">
        <f t="shared" si="29"/>
        <v>39</v>
      </c>
      <c r="BE808" s="13" t="s">
        <v>1697</v>
      </c>
      <c r="BF808" s="13" t="s">
        <v>951</v>
      </c>
      <c r="BJ808" s="13" t="s">
        <v>5942</v>
      </c>
      <c r="BS808" s="13" t="s">
        <v>127</v>
      </c>
      <c r="BT808" s="13" t="s">
        <v>8623</v>
      </c>
      <c r="BU808" s="13" t="s">
        <v>129</v>
      </c>
      <c r="BX808" s="13" t="s">
        <v>8652</v>
      </c>
      <c r="DA808" s="13" t="s">
        <v>10348</v>
      </c>
      <c r="DB808" s="13" t="s">
        <v>10348</v>
      </c>
    </row>
    <row r="809" spans="1:106" s="13" customFormat="1" ht="12.75" customHeight="1" x14ac:dyDescent="0.2">
      <c r="A809" s="13" t="s">
        <v>102</v>
      </c>
      <c r="B809" s="13" t="s">
        <v>103</v>
      </c>
      <c r="D809" s="13" t="s">
        <v>7712</v>
      </c>
      <c r="E809" s="13" t="s">
        <v>228</v>
      </c>
      <c r="F809" s="13" t="s">
        <v>7712</v>
      </c>
      <c r="G809" s="13" t="s">
        <v>229</v>
      </c>
      <c r="H809" s="13" t="s">
        <v>820</v>
      </c>
      <c r="J809" s="13" t="s">
        <v>106</v>
      </c>
      <c r="W809" s="13">
        <v>808</v>
      </c>
      <c r="X809" s="13">
        <v>808</v>
      </c>
      <c r="Y809" s="13" t="s">
        <v>107</v>
      </c>
      <c r="Z809" s="13" t="s">
        <v>108</v>
      </c>
      <c r="AA809" s="13" t="s">
        <v>107</v>
      </c>
      <c r="AB809" s="13" t="s">
        <v>8653</v>
      </c>
      <c r="AC809" s="13" t="s">
        <v>8653</v>
      </c>
      <c r="AD809" s="13" t="s">
        <v>8653</v>
      </c>
      <c r="AE809" s="14" t="s">
        <v>112</v>
      </c>
      <c r="AF809" s="13" t="s">
        <v>8653</v>
      </c>
      <c r="AG809" s="13" t="s">
        <v>8653</v>
      </c>
      <c r="AH809" s="14" t="s">
        <v>8654</v>
      </c>
      <c r="AL809" s="13" t="s">
        <v>8655</v>
      </c>
      <c r="AN809" s="13">
        <v>329</v>
      </c>
      <c r="AO809" s="13" t="s">
        <v>8656</v>
      </c>
      <c r="AQ809" s="13" t="s">
        <v>8653</v>
      </c>
      <c r="AR809" s="13" t="s">
        <v>8653</v>
      </c>
      <c r="AS809" s="13" t="s">
        <v>116</v>
      </c>
      <c r="AT809" s="13" t="s">
        <v>8657</v>
      </c>
      <c r="AU809" s="13" t="s">
        <v>8630</v>
      </c>
      <c r="AV809" s="14" t="s">
        <v>2204</v>
      </c>
      <c r="AW809" s="15" t="s">
        <v>1691</v>
      </c>
      <c r="AX809" s="15" t="s">
        <v>1692</v>
      </c>
      <c r="AY809" s="13" t="s">
        <v>8658</v>
      </c>
      <c r="AZ809" s="13" t="s">
        <v>8659</v>
      </c>
      <c r="BA809" s="13" t="s">
        <v>8659</v>
      </c>
      <c r="BB809" s="13" t="s">
        <v>8660</v>
      </c>
      <c r="BC809" s="13" t="s">
        <v>8660</v>
      </c>
      <c r="BD809" s="13">
        <f t="shared" si="29"/>
        <v>56</v>
      </c>
      <c r="BE809" s="13" t="s">
        <v>1697</v>
      </c>
      <c r="BF809" s="13" t="s">
        <v>951</v>
      </c>
      <c r="BJ809" s="13" t="s">
        <v>5942</v>
      </c>
      <c r="BO809" s="13" t="s">
        <v>8478</v>
      </c>
      <c r="BS809" s="13" t="s">
        <v>127</v>
      </c>
      <c r="BT809" s="13" t="s">
        <v>8623</v>
      </c>
      <c r="BU809" s="13" t="s">
        <v>129</v>
      </c>
      <c r="BX809" s="13" t="s">
        <v>8661</v>
      </c>
      <c r="DA809" s="13" t="s">
        <v>10348</v>
      </c>
      <c r="DB809" s="13" t="s">
        <v>10348</v>
      </c>
    </row>
    <row r="810" spans="1:106" s="13" customFormat="1" ht="12.75" customHeight="1" x14ac:dyDescent="0.2">
      <c r="A810" s="13" t="s">
        <v>102</v>
      </c>
      <c r="B810" s="13" t="s">
        <v>103</v>
      </c>
      <c r="D810" s="13" t="s">
        <v>7712</v>
      </c>
      <c r="E810" s="13" t="s">
        <v>228</v>
      </c>
      <c r="F810" s="13" t="s">
        <v>7712</v>
      </c>
      <c r="G810" s="13" t="s">
        <v>229</v>
      </c>
      <c r="H810" s="13" t="s">
        <v>820</v>
      </c>
      <c r="J810" s="13" t="s">
        <v>106</v>
      </c>
      <c r="W810" s="13">
        <v>809</v>
      </c>
      <c r="X810" s="13">
        <v>809</v>
      </c>
      <c r="Y810" s="13" t="s">
        <v>107</v>
      </c>
      <c r="Z810" s="13" t="s">
        <v>108</v>
      </c>
      <c r="AA810" s="13" t="s">
        <v>107</v>
      </c>
      <c r="AB810" s="13" t="s">
        <v>8662</v>
      </c>
      <c r="AC810" s="13" t="s">
        <v>8662</v>
      </c>
      <c r="AD810" s="13" t="s">
        <v>8662</v>
      </c>
      <c r="AE810" s="14" t="s">
        <v>112</v>
      </c>
      <c r="AF810" s="13" t="s">
        <v>8662</v>
      </c>
      <c r="AG810" s="13" t="s">
        <v>8662</v>
      </c>
      <c r="AH810" s="14" t="s">
        <v>8663</v>
      </c>
      <c r="AL810" s="13" t="s">
        <v>8664</v>
      </c>
      <c r="AN810" s="13">
        <v>329</v>
      </c>
      <c r="AO810" s="13" t="s">
        <v>8665</v>
      </c>
      <c r="AQ810" s="13" t="s">
        <v>8662</v>
      </c>
      <c r="AR810" s="13" t="s">
        <v>8662</v>
      </c>
      <c r="AS810" s="13" t="s">
        <v>116</v>
      </c>
      <c r="AT810" s="13" t="s">
        <v>8666</v>
      </c>
      <c r="AU810" s="13" t="s">
        <v>8619</v>
      </c>
      <c r="AV810" s="14" t="s">
        <v>2204</v>
      </c>
      <c r="AW810" s="15" t="s">
        <v>1691</v>
      </c>
      <c r="AX810" s="15" t="s">
        <v>1692</v>
      </c>
      <c r="AY810" s="13" t="s">
        <v>8667</v>
      </c>
      <c r="AZ810" s="13" t="s">
        <v>8668</v>
      </c>
      <c r="BA810" s="13" t="s">
        <v>8668</v>
      </c>
      <c r="BB810" s="13" t="s">
        <v>8669</v>
      </c>
      <c r="BC810" s="13" t="s">
        <v>8669</v>
      </c>
      <c r="BD810" s="13">
        <f t="shared" si="29"/>
        <v>38</v>
      </c>
      <c r="BE810" s="13" t="s">
        <v>1697</v>
      </c>
      <c r="BF810" s="13" t="s">
        <v>951</v>
      </c>
      <c r="BJ810" s="13" t="s">
        <v>7596</v>
      </c>
      <c r="BS810" s="13" t="s">
        <v>127</v>
      </c>
      <c r="BT810" s="13" t="s">
        <v>8623</v>
      </c>
      <c r="BU810" s="13" t="s">
        <v>129</v>
      </c>
      <c r="BX810" s="13" t="s">
        <v>8670</v>
      </c>
      <c r="DA810" s="13" t="s">
        <v>10348</v>
      </c>
      <c r="DB810" s="13" t="s">
        <v>10348</v>
      </c>
    </row>
    <row r="811" spans="1:106" s="13" customFormat="1" ht="12.75" customHeight="1" x14ac:dyDescent="0.2">
      <c r="A811" s="13" t="s">
        <v>102</v>
      </c>
      <c r="B811" s="13" t="s">
        <v>103</v>
      </c>
      <c r="D811" s="13" t="s">
        <v>7712</v>
      </c>
      <c r="E811" s="13" t="s">
        <v>228</v>
      </c>
      <c r="F811" s="13" t="s">
        <v>7712</v>
      </c>
      <c r="G811" s="13" t="s">
        <v>229</v>
      </c>
      <c r="H811" s="13" t="s">
        <v>820</v>
      </c>
      <c r="J811" s="13" t="s">
        <v>106</v>
      </c>
      <c r="W811" s="13">
        <v>810</v>
      </c>
      <c r="X811" s="13">
        <v>810</v>
      </c>
      <c r="Y811" s="13" t="s">
        <v>107</v>
      </c>
      <c r="Z811" s="13" t="s">
        <v>108</v>
      </c>
      <c r="AA811" s="13" t="s">
        <v>107</v>
      </c>
      <c r="AB811" s="13" t="s">
        <v>8671</v>
      </c>
      <c r="AC811" s="13" t="s">
        <v>8671</v>
      </c>
      <c r="AD811" s="13" t="s">
        <v>8671</v>
      </c>
      <c r="AE811" s="14" t="s">
        <v>112</v>
      </c>
      <c r="AF811" s="13" t="s">
        <v>8671</v>
      </c>
      <c r="AG811" s="13" t="s">
        <v>8671</v>
      </c>
      <c r="AH811" s="14" t="s">
        <v>8672</v>
      </c>
      <c r="AL811" s="13" t="s">
        <v>8673</v>
      </c>
      <c r="AN811" s="13">
        <v>329</v>
      </c>
      <c r="AO811" s="13" t="s">
        <v>8674</v>
      </c>
      <c r="AQ811" s="13" t="s">
        <v>8671</v>
      </c>
      <c r="AR811" s="13" t="s">
        <v>8671</v>
      </c>
      <c r="AS811" s="13" t="s">
        <v>116</v>
      </c>
      <c r="AT811" s="13" t="s">
        <v>8675</v>
      </c>
      <c r="AU811" s="13" t="s">
        <v>8630</v>
      </c>
      <c r="AV811" s="14" t="s">
        <v>2204</v>
      </c>
      <c r="AW811" s="15" t="s">
        <v>1691</v>
      </c>
      <c r="AX811" s="15" t="s">
        <v>1692</v>
      </c>
      <c r="AY811" s="13" t="s">
        <v>8676</v>
      </c>
      <c r="AZ811" s="13" t="s">
        <v>8677</v>
      </c>
      <c r="BA811" s="13" t="s">
        <v>8677</v>
      </c>
      <c r="BB811" s="13" t="s">
        <v>8678</v>
      </c>
      <c r="BC811" s="13" t="s">
        <v>8678</v>
      </c>
      <c r="BD811" s="13">
        <f t="shared" si="29"/>
        <v>55</v>
      </c>
      <c r="BE811" s="13" t="s">
        <v>1697</v>
      </c>
      <c r="BF811" s="13" t="s">
        <v>951</v>
      </c>
      <c r="BJ811" s="13" t="s">
        <v>7596</v>
      </c>
      <c r="BO811" s="13" t="s">
        <v>8478</v>
      </c>
      <c r="BS811" s="13" t="s">
        <v>127</v>
      </c>
      <c r="BT811" s="13" t="s">
        <v>8623</v>
      </c>
      <c r="BU811" s="13" t="s">
        <v>129</v>
      </c>
      <c r="BX811" s="13" t="s">
        <v>8679</v>
      </c>
      <c r="DA811" s="13" t="s">
        <v>10348</v>
      </c>
      <c r="DB811" s="13" t="s">
        <v>10348</v>
      </c>
    </row>
    <row r="812" spans="1:106" s="13" customFormat="1" ht="12.75" customHeight="1" x14ac:dyDescent="0.2">
      <c r="A812" s="13" t="s">
        <v>102</v>
      </c>
      <c r="B812" s="13" t="s">
        <v>103</v>
      </c>
      <c r="D812" s="13" t="s">
        <v>7712</v>
      </c>
      <c r="E812" s="13" t="s">
        <v>228</v>
      </c>
      <c r="F812" s="13" t="s">
        <v>7712</v>
      </c>
      <c r="G812" s="13" t="s">
        <v>229</v>
      </c>
      <c r="H812" s="13" t="s">
        <v>820</v>
      </c>
      <c r="J812" s="13" t="s">
        <v>106</v>
      </c>
      <c r="W812" s="13">
        <v>811</v>
      </c>
      <c r="X812" s="13">
        <v>811</v>
      </c>
      <c r="Y812" s="13" t="s">
        <v>107</v>
      </c>
      <c r="Z812" s="13" t="s">
        <v>108</v>
      </c>
      <c r="AA812" s="13" t="s">
        <v>107</v>
      </c>
      <c r="AB812" s="13" t="s">
        <v>8680</v>
      </c>
      <c r="AC812" s="13" t="s">
        <v>8680</v>
      </c>
      <c r="AD812" s="13" t="s">
        <v>8680</v>
      </c>
      <c r="AE812" s="14" t="s">
        <v>112</v>
      </c>
      <c r="AF812" s="13" t="s">
        <v>8680</v>
      </c>
      <c r="AG812" s="13" t="s">
        <v>8680</v>
      </c>
      <c r="AH812" s="14" t="s">
        <v>8681</v>
      </c>
      <c r="AL812" s="13" t="s">
        <v>8682</v>
      </c>
      <c r="AN812" s="13">
        <v>329</v>
      </c>
      <c r="AO812" s="13" t="s">
        <v>8683</v>
      </c>
      <c r="AQ812" s="13" t="s">
        <v>8680</v>
      </c>
      <c r="AR812" s="13" t="s">
        <v>8680</v>
      </c>
      <c r="AS812" s="13" t="s">
        <v>116</v>
      </c>
      <c r="AT812" s="13" t="s">
        <v>8684</v>
      </c>
      <c r="AU812" s="13" t="s">
        <v>8619</v>
      </c>
      <c r="AV812" s="14" t="s">
        <v>2204</v>
      </c>
      <c r="AW812" s="15" t="s">
        <v>1691</v>
      </c>
      <c r="AX812" s="15" t="s">
        <v>1692</v>
      </c>
      <c r="AY812" s="13" t="s">
        <v>8685</v>
      </c>
      <c r="AZ812" s="13" t="s">
        <v>8686</v>
      </c>
      <c r="BA812" s="13" t="s">
        <v>8686</v>
      </c>
      <c r="BB812" s="13" t="s">
        <v>8687</v>
      </c>
      <c r="BC812" s="13" t="s">
        <v>8687</v>
      </c>
      <c r="BD812" s="13">
        <f t="shared" si="29"/>
        <v>39</v>
      </c>
      <c r="BE812" s="13" t="s">
        <v>1697</v>
      </c>
      <c r="BF812" s="13" t="s">
        <v>951</v>
      </c>
      <c r="BJ812" s="13" t="s">
        <v>7430</v>
      </c>
      <c r="BS812" s="13" t="s">
        <v>127</v>
      </c>
      <c r="BT812" s="13" t="s">
        <v>8623</v>
      </c>
      <c r="BU812" s="13" t="s">
        <v>129</v>
      </c>
      <c r="BX812" s="13" t="s">
        <v>8688</v>
      </c>
      <c r="DA812" s="13" t="s">
        <v>10348</v>
      </c>
      <c r="DB812" s="13" t="s">
        <v>10348</v>
      </c>
    </row>
    <row r="813" spans="1:106" s="13" customFormat="1" ht="12.75" customHeight="1" x14ac:dyDescent="0.2">
      <c r="A813" s="13" t="s">
        <v>102</v>
      </c>
      <c r="B813" s="13" t="s">
        <v>103</v>
      </c>
      <c r="D813" s="13" t="s">
        <v>7712</v>
      </c>
      <c r="E813" s="13" t="s">
        <v>228</v>
      </c>
      <c r="F813" s="13" t="s">
        <v>7712</v>
      </c>
      <c r="G813" s="13" t="s">
        <v>229</v>
      </c>
      <c r="H813" s="13" t="s">
        <v>820</v>
      </c>
      <c r="J813" s="13" t="s">
        <v>106</v>
      </c>
      <c r="W813" s="13">
        <v>812</v>
      </c>
      <c r="X813" s="13">
        <v>812</v>
      </c>
      <c r="Y813" s="13" t="s">
        <v>107</v>
      </c>
      <c r="Z813" s="13" t="s">
        <v>108</v>
      </c>
      <c r="AA813" s="13" t="s">
        <v>107</v>
      </c>
      <c r="AB813" s="13" t="s">
        <v>8689</v>
      </c>
      <c r="AC813" s="13" t="s">
        <v>8689</v>
      </c>
      <c r="AD813" s="13" t="s">
        <v>8689</v>
      </c>
      <c r="AE813" s="14" t="s">
        <v>112</v>
      </c>
      <c r="AF813" s="13" t="s">
        <v>8689</v>
      </c>
      <c r="AG813" s="13" t="s">
        <v>8689</v>
      </c>
      <c r="AH813" s="14" t="s">
        <v>8690</v>
      </c>
      <c r="AL813" s="13" t="s">
        <v>8691</v>
      </c>
      <c r="AN813" s="13">
        <v>329</v>
      </c>
      <c r="AO813" s="13" t="s">
        <v>8692</v>
      </c>
      <c r="AQ813" s="13" t="s">
        <v>8689</v>
      </c>
      <c r="AR813" s="13" t="s">
        <v>8689</v>
      </c>
      <c r="AS813" s="13" t="s">
        <v>116</v>
      </c>
      <c r="AT813" s="13" t="s">
        <v>8693</v>
      </c>
      <c r="AU813" s="13" t="s">
        <v>8630</v>
      </c>
      <c r="AV813" s="14" t="s">
        <v>2204</v>
      </c>
      <c r="AW813" s="15" t="s">
        <v>1691</v>
      </c>
      <c r="AX813" s="15" t="s">
        <v>1692</v>
      </c>
      <c r="AY813" s="13" t="s">
        <v>8694</v>
      </c>
      <c r="AZ813" s="13" t="s">
        <v>8695</v>
      </c>
      <c r="BA813" s="13" t="s">
        <v>8695</v>
      </c>
      <c r="BB813" s="13" t="s">
        <v>8696</v>
      </c>
      <c r="BC813" s="13" t="s">
        <v>8696</v>
      </c>
      <c r="BD813" s="13">
        <f t="shared" si="29"/>
        <v>56</v>
      </c>
      <c r="BE813" s="13" t="s">
        <v>1697</v>
      </c>
      <c r="BF813" s="13" t="s">
        <v>951</v>
      </c>
      <c r="BJ813" s="13" t="s">
        <v>7430</v>
      </c>
      <c r="BO813" s="13" t="s">
        <v>8478</v>
      </c>
      <c r="BS813" s="13" t="s">
        <v>127</v>
      </c>
      <c r="BT813" s="13" t="s">
        <v>8623</v>
      </c>
      <c r="BU813" s="13" t="s">
        <v>129</v>
      </c>
      <c r="BX813" s="13" t="s">
        <v>8697</v>
      </c>
      <c r="DA813" s="13" t="s">
        <v>10348</v>
      </c>
      <c r="DB813" s="13" t="s">
        <v>10348</v>
      </c>
    </row>
    <row r="814" spans="1:106" s="13" customFormat="1" ht="12.75" customHeight="1" x14ac:dyDescent="0.2">
      <c r="A814" s="13" t="s">
        <v>102</v>
      </c>
      <c r="B814" s="13" t="s">
        <v>103</v>
      </c>
      <c r="D814" s="13" t="s">
        <v>7712</v>
      </c>
      <c r="E814" s="13" t="s">
        <v>228</v>
      </c>
      <c r="F814" s="13" t="s">
        <v>7712</v>
      </c>
      <c r="G814" s="13" t="s">
        <v>229</v>
      </c>
      <c r="H814" s="13" t="s">
        <v>820</v>
      </c>
      <c r="J814" s="13" t="s">
        <v>106</v>
      </c>
      <c r="W814" s="13">
        <v>813</v>
      </c>
      <c r="X814" s="13">
        <v>813</v>
      </c>
      <c r="Y814" s="13" t="s">
        <v>107</v>
      </c>
      <c r="Z814" s="13" t="s">
        <v>108</v>
      </c>
      <c r="AA814" s="13" t="s">
        <v>107</v>
      </c>
      <c r="AB814" s="13" t="s">
        <v>8698</v>
      </c>
      <c r="AC814" s="13" t="s">
        <v>8698</v>
      </c>
      <c r="AD814" s="13" t="s">
        <v>8698</v>
      </c>
      <c r="AE814" s="14" t="s">
        <v>112</v>
      </c>
      <c r="AF814" s="13" t="s">
        <v>8698</v>
      </c>
      <c r="AG814" s="13" t="s">
        <v>8698</v>
      </c>
      <c r="AH814" s="14" t="s">
        <v>8699</v>
      </c>
      <c r="AL814" s="13" t="s">
        <v>8700</v>
      </c>
      <c r="AN814" s="13">
        <v>329</v>
      </c>
      <c r="AO814" s="13" t="s">
        <v>8701</v>
      </c>
      <c r="AQ814" s="13" t="s">
        <v>8698</v>
      </c>
      <c r="AR814" s="13" t="s">
        <v>8698</v>
      </c>
      <c r="AS814" s="13" t="s">
        <v>116</v>
      </c>
      <c r="AT814" s="13" t="s">
        <v>8702</v>
      </c>
      <c r="AU814" s="13" t="s">
        <v>8619</v>
      </c>
      <c r="AV814" s="14" t="s">
        <v>2204</v>
      </c>
      <c r="AW814" s="15" t="s">
        <v>1691</v>
      </c>
      <c r="AX814" s="15" t="s">
        <v>1692</v>
      </c>
      <c r="AY814" s="13" t="s">
        <v>8703</v>
      </c>
      <c r="AZ814" s="13" t="s">
        <v>8704</v>
      </c>
      <c r="BA814" s="13" t="s">
        <v>8704</v>
      </c>
      <c r="BB814" s="13" t="s">
        <v>8705</v>
      </c>
      <c r="BC814" s="13" t="s">
        <v>8705</v>
      </c>
      <c r="BD814" s="13">
        <f t="shared" si="29"/>
        <v>39</v>
      </c>
      <c r="BE814" s="13" t="s">
        <v>1697</v>
      </c>
      <c r="BF814" s="13" t="s">
        <v>951</v>
      </c>
      <c r="BJ814" s="13" t="s">
        <v>7442</v>
      </c>
      <c r="BS814" s="13" t="s">
        <v>127</v>
      </c>
      <c r="BT814" s="13" t="s">
        <v>8623</v>
      </c>
      <c r="BU814" s="13" t="s">
        <v>129</v>
      </c>
      <c r="BX814" s="13" t="s">
        <v>8706</v>
      </c>
      <c r="DA814" s="13" t="s">
        <v>10348</v>
      </c>
      <c r="DB814" s="13" t="s">
        <v>10348</v>
      </c>
    </row>
    <row r="815" spans="1:106" s="13" customFormat="1" ht="12.75" customHeight="1" x14ac:dyDescent="0.2">
      <c r="A815" s="13" t="s">
        <v>102</v>
      </c>
      <c r="B815" s="13" t="s">
        <v>103</v>
      </c>
      <c r="D815" s="13" t="s">
        <v>7712</v>
      </c>
      <c r="E815" s="13" t="s">
        <v>228</v>
      </c>
      <c r="F815" s="13" t="s">
        <v>7712</v>
      </c>
      <c r="G815" s="13" t="s">
        <v>229</v>
      </c>
      <c r="H815" s="13" t="s">
        <v>820</v>
      </c>
      <c r="J815" s="13" t="s">
        <v>106</v>
      </c>
      <c r="W815" s="13">
        <v>814</v>
      </c>
      <c r="X815" s="13">
        <v>814</v>
      </c>
      <c r="Y815" s="13" t="s">
        <v>107</v>
      </c>
      <c r="Z815" s="13" t="s">
        <v>108</v>
      </c>
      <c r="AA815" s="13" t="s">
        <v>107</v>
      </c>
      <c r="AB815" s="13" t="s">
        <v>8707</v>
      </c>
      <c r="AC815" s="13" t="s">
        <v>8707</v>
      </c>
      <c r="AD815" s="13" t="s">
        <v>8707</v>
      </c>
      <c r="AE815" s="14" t="s">
        <v>112</v>
      </c>
      <c r="AF815" s="13" t="s">
        <v>8707</v>
      </c>
      <c r="AG815" s="13" t="s">
        <v>8707</v>
      </c>
      <c r="AH815" s="14" t="s">
        <v>8708</v>
      </c>
      <c r="AL815" s="13" t="s">
        <v>8709</v>
      </c>
      <c r="AN815" s="13">
        <v>329</v>
      </c>
      <c r="AO815" s="13" t="s">
        <v>8710</v>
      </c>
      <c r="AQ815" s="13" t="s">
        <v>8707</v>
      </c>
      <c r="AR815" s="13" t="s">
        <v>8707</v>
      </c>
      <c r="AS815" s="13" t="s">
        <v>116</v>
      </c>
      <c r="AT815" s="13" t="s">
        <v>8711</v>
      </c>
      <c r="AU815" s="13" t="s">
        <v>8712</v>
      </c>
      <c r="AV815" s="14" t="s">
        <v>2204</v>
      </c>
      <c r="AW815" s="15" t="s">
        <v>1691</v>
      </c>
      <c r="AX815" s="15" t="s">
        <v>1692</v>
      </c>
      <c r="AY815" s="13" t="s">
        <v>8713</v>
      </c>
      <c r="AZ815" s="13" t="s">
        <v>8714</v>
      </c>
      <c r="BA815" s="13" t="s">
        <v>8714</v>
      </c>
      <c r="BB815" s="13" t="s">
        <v>8715</v>
      </c>
      <c r="BC815" s="13" t="s">
        <v>8715</v>
      </c>
      <c r="BD815" s="13">
        <f t="shared" si="29"/>
        <v>45</v>
      </c>
      <c r="BE815" s="13" t="s">
        <v>1697</v>
      </c>
      <c r="BF815" s="13" t="s">
        <v>951</v>
      </c>
      <c r="BG815" s="13" t="s">
        <v>8716</v>
      </c>
      <c r="BJ815" s="13" t="s">
        <v>8717</v>
      </c>
      <c r="BN815" s="13" t="s">
        <v>8718</v>
      </c>
      <c r="BS815" s="13" t="s">
        <v>127</v>
      </c>
      <c r="BU815" s="13" t="s">
        <v>129</v>
      </c>
      <c r="BX815" s="13" t="s">
        <v>8719</v>
      </c>
      <c r="DA815" s="13" t="s">
        <v>10348</v>
      </c>
      <c r="DB815" s="13" t="s">
        <v>10348</v>
      </c>
    </row>
    <row r="816" spans="1:106" s="13" customFormat="1" ht="12.75" customHeight="1" x14ac:dyDescent="0.2">
      <c r="A816" s="13" t="s">
        <v>102</v>
      </c>
      <c r="B816" s="13" t="s">
        <v>103</v>
      </c>
      <c r="D816" s="13" t="s">
        <v>7712</v>
      </c>
      <c r="E816" s="13" t="s">
        <v>228</v>
      </c>
      <c r="F816" s="13" t="s">
        <v>7712</v>
      </c>
      <c r="G816" s="13" t="s">
        <v>229</v>
      </c>
      <c r="H816" s="13" t="s">
        <v>820</v>
      </c>
      <c r="J816" s="13" t="s">
        <v>106</v>
      </c>
      <c r="W816" s="13">
        <v>815</v>
      </c>
      <c r="X816" s="13">
        <v>815</v>
      </c>
      <c r="Y816" s="13" t="s">
        <v>107</v>
      </c>
      <c r="Z816" s="13" t="s">
        <v>108</v>
      </c>
      <c r="AA816" s="13" t="s">
        <v>107</v>
      </c>
      <c r="AB816" s="13" t="s">
        <v>8720</v>
      </c>
      <c r="AC816" s="13" t="s">
        <v>8720</v>
      </c>
      <c r="AD816" s="13" t="s">
        <v>8720</v>
      </c>
      <c r="AE816" s="14" t="s">
        <v>112</v>
      </c>
      <c r="AF816" s="13" t="s">
        <v>8720</v>
      </c>
      <c r="AG816" s="13" t="s">
        <v>8720</v>
      </c>
      <c r="AH816" s="14" t="s">
        <v>8721</v>
      </c>
      <c r="AL816" s="13" t="s">
        <v>8722</v>
      </c>
      <c r="AN816" s="13">
        <v>329</v>
      </c>
      <c r="AO816" s="13" t="s">
        <v>8723</v>
      </c>
      <c r="AQ816" s="13" t="s">
        <v>8720</v>
      </c>
      <c r="AR816" s="13" t="s">
        <v>8720</v>
      </c>
      <c r="AS816" s="13" t="s">
        <v>116</v>
      </c>
      <c r="AT816" s="13" t="s">
        <v>8724</v>
      </c>
      <c r="AU816" s="13" t="s">
        <v>8712</v>
      </c>
      <c r="AV816" s="14" t="s">
        <v>2204</v>
      </c>
      <c r="AW816" s="15" t="s">
        <v>1691</v>
      </c>
      <c r="AX816" s="15" t="s">
        <v>1692</v>
      </c>
      <c r="AY816" s="13" t="s">
        <v>8725</v>
      </c>
      <c r="AZ816" s="13" t="s">
        <v>8726</v>
      </c>
      <c r="BA816" s="13" t="s">
        <v>8726</v>
      </c>
      <c r="BB816" s="13" t="s">
        <v>8727</v>
      </c>
      <c r="BC816" s="13" t="s">
        <v>8727</v>
      </c>
      <c r="BD816" s="13">
        <f t="shared" si="29"/>
        <v>46</v>
      </c>
      <c r="BE816" s="13" t="s">
        <v>1697</v>
      </c>
      <c r="BF816" s="13" t="s">
        <v>951</v>
      </c>
      <c r="BG816" s="13" t="s">
        <v>8716</v>
      </c>
      <c r="BJ816" s="13" t="s">
        <v>8728</v>
      </c>
      <c r="BN816" s="13" t="s">
        <v>8718</v>
      </c>
      <c r="BS816" s="13" t="s">
        <v>127</v>
      </c>
      <c r="BU816" s="13" t="s">
        <v>129</v>
      </c>
      <c r="BX816" s="13" t="s">
        <v>8729</v>
      </c>
      <c r="DA816" s="13" t="s">
        <v>10348</v>
      </c>
      <c r="DB816" s="13" t="s">
        <v>10348</v>
      </c>
    </row>
    <row r="817" spans="1:106" s="13" customFormat="1" ht="12.75" customHeight="1" x14ac:dyDescent="0.2">
      <c r="A817" s="13" t="s">
        <v>102</v>
      </c>
      <c r="B817" s="13" t="s">
        <v>103</v>
      </c>
      <c r="D817" s="13" t="s">
        <v>7712</v>
      </c>
      <c r="E817" s="13" t="s">
        <v>228</v>
      </c>
      <c r="F817" s="13" t="s">
        <v>7712</v>
      </c>
      <c r="G817" s="13" t="s">
        <v>229</v>
      </c>
      <c r="H817" s="13" t="s">
        <v>820</v>
      </c>
      <c r="J817" s="13" t="s">
        <v>106</v>
      </c>
      <c r="W817" s="13">
        <v>816</v>
      </c>
      <c r="X817" s="13">
        <v>816</v>
      </c>
      <c r="Y817" s="13" t="s">
        <v>107</v>
      </c>
      <c r="Z817" s="13" t="s">
        <v>108</v>
      </c>
      <c r="AA817" s="13" t="s">
        <v>107</v>
      </c>
      <c r="AB817" s="13" t="s">
        <v>8730</v>
      </c>
      <c r="AC817" s="13" t="s">
        <v>8730</v>
      </c>
      <c r="AD817" s="13" t="s">
        <v>8730</v>
      </c>
      <c r="AE817" s="14" t="s">
        <v>112</v>
      </c>
      <c r="AF817" s="13" t="s">
        <v>8730</v>
      </c>
      <c r="AG817" s="13" t="s">
        <v>8730</v>
      </c>
      <c r="AH817" s="14" t="s">
        <v>8731</v>
      </c>
      <c r="AL817" s="13" t="s">
        <v>8732</v>
      </c>
      <c r="AN817" s="13">
        <v>329</v>
      </c>
      <c r="AO817" s="13" t="s">
        <v>8733</v>
      </c>
      <c r="AQ817" s="13" t="s">
        <v>8730</v>
      </c>
      <c r="AR817" s="13" t="s">
        <v>8730</v>
      </c>
      <c r="AS817" s="13" t="s">
        <v>116</v>
      </c>
      <c r="AT817" s="13" t="s">
        <v>8734</v>
      </c>
      <c r="AU817" s="13" t="s">
        <v>7551</v>
      </c>
      <c r="AV817" s="14" t="s">
        <v>1399</v>
      </c>
      <c r="AY817" s="13" t="s">
        <v>8735</v>
      </c>
      <c r="AZ817" s="13" t="s">
        <v>8736</v>
      </c>
      <c r="BA817" s="13" t="s">
        <v>8736</v>
      </c>
      <c r="BB817" s="13" t="s">
        <v>8737</v>
      </c>
      <c r="BC817" s="13" t="s">
        <v>8737</v>
      </c>
      <c r="BD817" s="13">
        <f t="shared" si="29"/>
        <v>44</v>
      </c>
      <c r="BE817" s="13" t="s">
        <v>7555</v>
      </c>
      <c r="BJ817" s="13" t="s">
        <v>8738</v>
      </c>
      <c r="BO817" s="13" t="s">
        <v>8739</v>
      </c>
      <c r="BS817" s="13" t="s">
        <v>127</v>
      </c>
      <c r="BU817" s="13" t="s">
        <v>129</v>
      </c>
      <c r="BX817" s="13" t="s">
        <v>8740</v>
      </c>
      <c r="CC817" s="13" t="s">
        <v>7963</v>
      </c>
      <c r="DA817" s="13" t="s">
        <v>10348</v>
      </c>
      <c r="DB817" s="13" t="s">
        <v>10348</v>
      </c>
    </row>
    <row r="818" spans="1:106" s="13" customFormat="1" ht="12.75" customHeight="1" x14ac:dyDescent="0.2">
      <c r="A818" s="13" t="s">
        <v>102</v>
      </c>
      <c r="B818" s="13" t="s">
        <v>103</v>
      </c>
      <c r="D818" s="13" t="s">
        <v>7712</v>
      </c>
      <c r="E818" s="13" t="s">
        <v>471</v>
      </c>
      <c r="F818" s="13" t="s">
        <v>7712</v>
      </c>
      <c r="G818" s="13" t="s">
        <v>229</v>
      </c>
      <c r="H818" s="13" t="s">
        <v>820</v>
      </c>
      <c r="J818" s="13" t="s">
        <v>106</v>
      </c>
      <c r="W818" s="13">
        <v>817</v>
      </c>
      <c r="X818" s="13">
        <v>817</v>
      </c>
      <c r="Y818" s="13" t="s">
        <v>107</v>
      </c>
      <c r="Z818" s="13" t="s">
        <v>108</v>
      </c>
      <c r="AA818" s="13" t="s">
        <v>107</v>
      </c>
      <c r="AB818" s="13" t="s">
        <v>8741</v>
      </c>
      <c r="AC818" s="13" t="s">
        <v>8741</v>
      </c>
      <c r="AD818" s="13" t="s">
        <v>8741</v>
      </c>
      <c r="AE818" s="14" t="s">
        <v>112</v>
      </c>
      <c r="AF818" s="13" t="s">
        <v>8741</v>
      </c>
      <c r="AG818" s="13" t="s">
        <v>8741</v>
      </c>
      <c r="AH818" s="14" t="s">
        <v>8742</v>
      </c>
      <c r="AL818" s="13" t="s">
        <v>8743</v>
      </c>
      <c r="AN818" s="13">
        <v>329</v>
      </c>
      <c r="AO818" s="13" t="s">
        <v>8744</v>
      </c>
      <c r="AQ818" s="13" t="s">
        <v>8745</v>
      </c>
      <c r="AR818" s="13" t="s">
        <v>8745</v>
      </c>
      <c r="AS818" s="13" t="s">
        <v>116</v>
      </c>
      <c r="AT818" s="13" t="s">
        <v>8746</v>
      </c>
      <c r="AU818" s="13" t="s">
        <v>8747</v>
      </c>
      <c r="AV818" s="14" t="s">
        <v>2204</v>
      </c>
      <c r="AW818" s="15" t="s">
        <v>1691</v>
      </c>
      <c r="AX818" s="15" t="s">
        <v>1692</v>
      </c>
      <c r="AY818" s="13" t="s">
        <v>8746</v>
      </c>
      <c r="AZ818" s="13" t="s">
        <v>8534</v>
      </c>
      <c r="BA818" s="13" t="s">
        <v>8534</v>
      </c>
      <c r="BB818" s="13" t="s">
        <v>8536</v>
      </c>
      <c r="BC818" s="13" t="s">
        <v>8536</v>
      </c>
      <c r="BD818" s="13">
        <f t="shared" si="29"/>
        <v>35</v>
      </c>
      <c r="BE818" s="13" t="s">
        <v>1697</v>
      </c>
      <c r="BF818" s="13" t="s">
        <v>951</v>
      </c>
      <c r="BG818" s="13" t="s">
        <v>8498</v>
      </c>
      <c r="BJ818" s="13" t="s">
        <v>7138</v>
      </c>
      <c r="BS818" s="13" t="s">
        <v>127</v>
      </c>
      <c r="BU818" s="13" t="s">
        <v>129</v>
      </c>
      <c r="BX818" s="13" t="s">
        <v>8748</v>
      </c>
      <c r="DA818" s="13" t="s">
        <v>10348</v>
      </c>
      <c r="DB818" s="13" t="s">
        <v>10348</v>
      </c>
    </row>
    <row r="819" spans="1:106" s="13" customFormat="1" ht="12.75" customHeight="1" x14ac:dyDescent="0.2">
      <c r="A819" s="13" t="s">
        <v>102</v>
      </c>
      <c r="B819" s="13" t="s">
        <v>103</v>
      </c>
      <c r="D819" s="13" t="s">
        <v>7712</v>
      </c>
      <c r="E819" s="13" t="s">
        <v>471</v>
      </c>
      <c r="F819" s="13" t="s">
        <v>7712</v>
      </c>
      <c r="G819" s="13" t="s">
        <v>229</v>
      </c>
      <c r="H819" s="13" t="s">
        <v>820</v>
      </c>
      <c r="J819" s="13" t="s">
        <v>106</v>
      </c>
      <c r="W819" s="13">
        <v>818</v>
      </c>
      <c r="X819" s="13">
        <v>818</v>
      </c>
      <c r="Y819" s="13" t="s">
        <v>107</v>
      </c>
      <c r="Z819" s="13" t="s">
        <v>108</v>
      </c>
      <c r="AA819" s="13" t="s">
        <v>107</v>
      </c>
      <c r="AB819" s="13" t="s">
        <v>8749</v>
      </c>
      <c r="AC819" s="13" t="s">
        <v>8749</v>
      </c>
      <c r="AD819" s="13" t="s">
        <v>8749</v>
      </c>
      <c r="AE819" s="14" t="s">
        <v>112</v>
      </c>
      <c r="AF819" s="13" t="s">
        <v>8749</v>
      </c>
      <c r="AG819" s="13" t="s">
        <v>8749</v>
      </c>
      <c r="AH819" s="14" t="s">
        <v>8750</v>
      </c>
      <c r="AL819" s="13" t="s">
        <v>8751</v>
      </c>
      <c r="AN819" s="13">
        <v>329</v>
      </c>
      <c r="AO819" s="13" t="s">
        <v>8752</v>
      </c>
      <c r="AQ819" s="13" t="s">
        <v>8753</v>
      </c>
      <c r="AR819" s="13" t="s">
        <v>8753</v>
      </c>
      <c r="AS819" s="13" t="s">
        <v>116</v>
      </c>
      <c r="AT819" s="13" t="s">
        <v>8754</v>
      </c>
      <c r="AU819" s="13" t="s">
        <v>8747</v>
      </c>
      <c r="AV819" s="14" t="s">
        <v>2204</v>
      </c>
      <c r="AW819" s="15" t="s">
        <v>1691</v>
      </c>
      <c r="AX819" s="15" t="s">
        <v>1692</v>
      </c>
      <c r="AY819" s="13" t="s">
        <v>8754</v>
      </c>
      <c r="AZ819" s="13" t="s">
        <v>8565</v>
      </c>
      <c r="BA819" s="13" t="s">
        <v>8565</v>
      </c>
      <c r="BB819" s="13" t="s">
        <v>8566</v>
      </c>
      <c r="BC819" s="13" t="s">
        <v>8566</v>
      </c>
      <c r="BD819" s="13">
        <f t="shared" si="29"/>
        <v>35</v>
      </c>
      <c r="BE819" s="13" t="s">
        <v>1697</v>
      </c>
      <c r="BF819" s="13" t="s">
        <v>951</v>
      </c>
      <c r="BG819" s="13" t="s">
        <v>8498</v>
      </c>
      <c r="BJ819" s="13" t="s">
        <v>7430</v>
      </c>
      <c r="BS819" s="13" t="s">
        <v>127</v>
      </c>
      <c r="BU819" s="13" t="s">
        <v>129</v>
      </c>
      <c r="BX819" s="13" t="s">
        <v>8755</v>
      </c>
      <c r="DA819" s="13" t="s">
        <v>10348</v>
      </c>
      <c r="DB819" s="13" t="s">
        <v>10348</v>
      </c>
    </row>
    <row r="820" spans="1:106" s="13" customFormat="1" ht="12.75" customHeight="1" x14ac:dyDescent="0.2">
      <c r="A820" s="13" t="s">
        <v>102</v>
      </c>
      <c r="B820" s="13" t="s">
        <v>103</v>
      </c>
      <c r="D820" s="13" t="s">
        <v>7712</v>
      </c>
      <c r="E820" s="13" t="s">
        <v>228</v>
      </c>
      <c r="F820" s="13" t="s">
        <v>7712</v>
      </c>
      <c r="G820" s="13" t="s">
        <v>229</v>
      </c>
      <c r="H820" s="13" t="s">
        <v>820</v>
      </c>
      <c r="J820" s="13" t="s">
        <v>106</v>
      </c>
      <c r="W820" s="13">
        <v>819</v>
      </c>
      <c r="X820" s="13">
        <v>819</v>
      </c>
      <c r="Y820" s="13" t="s">
        <v>107</v>
      </c>
      <c r="Z820" s="13" t="s">
        <v>108</v>
      </c>
      <c r="AA820" s="13" t="s">
        <v>107</v>
      </c>
      <c r="AB820" s="13" t="s">
        <v>8756</v>
      </c>
      <c r="AC820" s="13" t="s">
        <v>8756</v>
      </c>
      <c r="AD820" s="13" t="s">
        <v>8756</v>
      </c>
      <c r="AE820" s="14" t="s">
        <v>112</v>
      </c>
      <c r="AF820" s="13" t="s">
        <v>8756</v>
      </c>
      <c r="AG820" s="13" t="s">
        <v>8756</v>
      </c>
      <c r="AH820" s="14" t="s">
        <v>8757</v>
      </c>
      <c r="AL820" s="13" t="s">
        <v>8758</v>
      </c>
      <c r="AN820" s="13">
        <v>329</v>
      </c>
      <c r="AO820" s="13" t="s">
        <v>8759</v>
      </c>
      <c r="AQ820" s="13" t="s">
        <v>8756</v>
      </c>
      <c r="AR820" s="13" t="s">
        <v>8756</v>
      </c>
      <c r="AS820" s="13" t="s">
        <v>116</v>
      </c>
      <c r="AT820" s="13" t="s">
        <v>8760</v>
      </c>
      <c r="AU820" s="13" t="s">
        <v>8761</v>
      </c>
      <c r="AV820" s="14" t="s">
        <v>2204</v>
      </c>
      <c r="AW820" s="15" t="s">
        <v>1691</v>
      </c>
      <c r="AX820" s="15" t="s">
        <v>1692</v>
      </c>
      <c r="AY820" s="13" t="s">
        <v>8762</v>
      </c>
      <c r="AZ820" s="13" t="s">
        <v>8763</v>
      </c>
      <c r="BA820" s="13" t="s">
        <v>8763</v>
      </c>
      <c r="BB820" s="13" t="s">
        <v>8764</v>
      </c>
      <c r="BC820" s="13" t="s">
        <v>8764</v>
      </c>
      <c r="BD820" s="13">
        <f t="shared" si="29"/>
        <v>34</v>
      </c>
      <c r="BE820" s="13" t="s">
        <v>1697</v>
      </c>
      <c r="BF820" s="13" t="s">
        <v>951</v>
      </c>
      <c r="BG820" s="13" t="s">
        <v>8765</v>
      </c>
      <c r="BJ820" s="13" t="s">
        <v>1798</v>
      </c>
      <c r="BS820" s="13" t="s">
        <v>127</v>
      </c>
      <c r="BU820" s="13" t="s">
        <v>129</v>
      </c>
      <c r="BX820" s="13" t="s">
        <v>8766</v>
      </c>
      <c r="DA820" s="13" t="s">
        <v>10348</v>
      </c>
      <c r="DB820" s="13" t="s">
        <v>10348</v>
      </c>
    </row>
    <row r="821" spans="1:106" s="13" customFormat="1" ht="12.75" customHeight="1" x14ac:dyDescent="0.2">
      <c r="A821" s="13" t="s">
        <v>102</v>
      </c>
      <c r="B821" s="13" t="s">
        <v>103</v>
      </c>
      <c r="D821" s="13" t="s">
        <v>7712</v>
      </c>
      <c r="E821" s="13" t="s">
        <v>471</v>
      </c>
      <c r="F821" s="13" t="s">
        <v>7712</v>
      </c>
      <c r="G821" s="13" t="s">
        <v>229</v>
      </c>
      <c r="H821" s="13" t="s">
        <v>820</v>
      </c>
      <c r="J821" s="13" t="s">
        <v>106</v>
      </c>
      <c r="W821" s="13">
        <v>820</v>
      </c>
      <c r="X821" s="13">
        <v>820</v>
      </c>
      <c r="Y821" s="13" t="s">
        <v>107</v>
      </c>
      <c r="Z821" s="13" t="s">
        <v>108</v>
      </c>
      <c r="AA821" s="13" t="s">
        <v>107</v>
      </c>
      <c r="AB821" s="13" t="s">
        <v>8767</v>
      </c>
      <c r="AC821" s="13" t="s">
        <v>8767</v>
      </c>
      <c r="AD821" s="13" t="s">
        <v>8767</v>
      </c>
      <c r="AE821" s="14" t="s">
        <v>112</v>
      </c>
      <c r="AF821" s="13" t="s">
        <v>8767</v>
      </c>
      <c r="AG821" s="13" t="s">
        <v>8767</v>
      </c>
      <c r="AH821" s="14" t="s">
        <v>8768</v>
      </c>
      <c r="AL821" s="13" t="s">
        <v>8769</v>
      </c>
      <c r="AN821" s="13">
        <v>329</v>
      </c>
      <c r="AO821" s="13" t="s">
        <v>8770</v>
      </c>
      <c r="AQ821" s="13" t="s">
        <v>8767</v>
      </c>
      <c r="AR821" s="13" t="s">
        <v>8767</v>
      </c>
      <c r="AS821" s="13" t="s">
        <v>116</v>
      </c>
      <c r="AT821" s="13" t="s">
        <v>8771</v>
      </c>
      <c r="AU821" s="13" t="s">
        <v>8494</v>
      </c>
      <c r="AV821" s="14" t="s">
        <v>2204</v>
      </c>
      <c r="AW821" s="15" t="s">
        <v>1691</v>
      </c>
      <c r="AX821" s="15" t="s">
        <v>1692</v>
      </c>
      <c r="AY821" s="13" t="s">
        <v>8771</v>
      </c>
      <c r="AZ821" s="13" t="s">
        <v>8772</v>
      </c>
      <c r="BA821" s="13" t="s">
        <v>8772</v>
      </c>
      <c r="BB821" s="13" t="s">
        <v>8773</v>
      </c>
      <c r="BC821" s="13" t="s">
        <v>8773</v>
      </c>
      <c r="BD821" s="13">
        <f t="shared" si="29"/>
        <v>34</v>
      </c>
      <c r="BE821" s="13" t="s">
        <v>1697</v>
      </c>
      <c r="BF821" s="13" t="s">
        <v>951</v>
      </c>
      <c r="BG821" s="13" t="s">
        <v>8498</v>
      </c>
      <c r="BJ821" s="13" t="s">
        <v>8774</v>
      </c>
      <c r="BS821" s="13" t="s">
        <v>127</v>
      </c>
      <c r="BU821" s="13" t="s">
        <v>129</v>
      </c>
      <c r="BX821" s="13" t="s">
        <v>8775</v>
      </c>
      <c r="DA821" s="13" t="s">
        <v>10348</v>
      </c>
      <c r="DB821" s="13" t="s">
        <v>10348</v>
      </c>
    </row>
    <row r="822" spans="1:106" s="13" customFormat="1" ht="12.75" customHeight="1" x14ac:dyDescent="0.2">
      <c r="A822" s="13" t="s">
        <v>102</v>
      </c>
      <c r="B822" s="13" t="s">
        <v>103</v>
      </c>
      <c r="D822" s="13" t="s">
        <v>7712</v>
      </c>
      <c r="E822" s="13" t="s">
        <v>228</v>
      </c>
      <c r="F822" s="13" t="s">
        <v>7712</v>
      </c>
      <c r="G822" s="13" t="s">
        <v>229</v>
      </c>
      <c r="H822" s="13" t="s">
        <v>820</v>
      </c>
      <c r="J822" s="13" t="s">
        <v>106</v>
      </c>
      <c r="W822" s="13">
        <v>821</v>
      </c>
      <c r="X822" s="13">
        <v>821</v>
      </c>
      <c r="Y822" s="13" t="s">
        <v>107</v>
      </c>
      <c r="Z822" s="13" t="s">
        <v>108</v>
      </c>
      <c r="AA822" s="13" t="s">
        <v>107</v>
      </c>
      <c r="AB822" s="13" t="s">
        <v>8776</v>
      </c>
      <c r="AC822" s="13" t="s">
        <v>8776</v>
      </c>
      <c r="AD822" s="13" t="s">
        <v>8776</v>
      </c>
      <c r="AE822" s="14" t="s">
        <v>112</v>
      </c>
      <c r="AF822" s="13" t="s">
        <v>8776</v>
      </c>
      <c r="AG822" s="13" t="s">
        <v>8776</v>
      </c>
      <c r="AH822" s="14" t="s">
        <v>8777</v>
      </c>
      <c r="AL822" s="13" t="s">
        <v>8778</v>
      </c>
      <c r="AN822" s="13">
        <v>329</v>
      </c>
      <c r="AO822" s="13" t="s">
        <v>8779</v>
      </c>
      <c r="AQ822" s="13" t="s">
        <v>8776</v>
      </c>
      <c r="AR822" s="13" t="s">
        <v>8776</v>
      </c>
      <c r="AS822" s="13" t="s">
        <v>116</v>
      </c>
      <c r="AT822" s="13" t="s">
        <v>8780</v>
      </c>
      <c r="AU822" s="13" t="s">
        <v>8781</v>
      </c>
      <c r="AV822" s="14" t="s">
        <v>2204</v>
      </c>
      <c r="AW822" s="15" t="s">
        <v>1691</v>
      </c>
      <c r="AX822" s="15" t="s">
        <v>1692</v>
      </c>
      <c r="AY822" s="13" t="s">
        <v>8782</v>
      </c>
      <c r="AZ822" s="13" t="s">
        <v>8783</v>
      </c>
      <c r="BA822" s="13" t="s">
        <v>8783</v>
      </c>
      <c r="BB822" s="13" t="s">
        <v>8784</v>
      </c>
      <c r="BC822" s="13" t="s">
        <v>8784</v>
      </c>
      <c r="BD822" s="13">
        <f t="shared" si="29"/>
        <v>40</v>
      </c>
      <c r="BE822" s="13" t="s">
        <v>1697</v>
      </c>
      <c r="BF822" s="13" t="s">
        <v>951</v>
      </c>
      <c r="BJ822" s="13" t="s">
        <v>8785</v>
      </c>
      <c r="BS822" s="13" t="s">
        <v>127</v>
      </c>
      <c r="BT822" s="13" t="s">
        <v>8786</v>
      </c>
      <c r="BU822" s="13" t="s">
        <v>129</v>
      </c>
      <c r="BX822" s="13" t="s">
        <v>8787</v>
      </c>
      <c r="DA822" s="13" t="s">
        <v>10348</v>
      </c>
      <c r="DB822" s="13" t="s">
        <v>10348</v>
      </c>
    </row>
    <row r="823" spans="1:106" s="13" customFormat="1" ht="12.75" customHeight="1" x14ac:dyDescent="0.2">
      <c r="A823" s="13" t="s">
        <v>102</v>
      </c>
      <c r="B823" s="13" t="s">
        <v>103</v>
      </c>
      <c r="D823" s="13" t="s">
        <v>7712</v>
      </c>
      <c r="E823" s="13" t="s">
        <v>228</v>
      </c>
      <c r="F823" s="13" t="s">
        <v>7712</v>
      </c>
      <c r="G823" s="13" t="s">
        <v>229</v>
      </c>
      <c r="H823" s="13" t="s">
        <v>820</v>
      </c>
      <c r="J823" s="13" t="s">
        <v>106</v>
      </c>
      <c r="W823" s="13">
        <v>822</v>
      </c>
      <c r="X823" s="13">
        <v>822</v>
      </c>
      <c r="Y823" s="13" t="s">
        <v>107</v>
      </c>
      <c r="Z823" s="13" t="s">
        <v>108</v>
      </c>
      <c r="AA823" s="13" t="s">
        <v>107</v>
      </c>
      <c r="AB823" s="13" t="s">
        <v>8788</v>
      </c>
      <c r="AC823" s="13" t="s">
        <v>8788</v>
      </c>
      <c r="AD823" s="13" t="s">
        <v>8788</v>
      </c>
      <c r="AE823" s="14" t="s">
        <v>112</v>
      </c>
      <c r="AF823" s="13" t="s">
        <v>8788</v>
      </c>
      <c r="AG823" s="13" t="s">
        <v>8788</v>
      </c>
      <c r="AH823" s="14" t="s">
        <v>8789</v>
      </c>
      <c r="AL823" s="13" t="s">
        <v>8790</v>
      </c>
      <c r="AN823" s="13">
        <v>329</v>
      </c>
      <c r="AO823" s="13" t="s">
        <v>8791</v>
      </c>
      <c r="AQ823" s="13" t="s">
        <v>8788</v>
      </c>
      <c r="AR823" s="13" t="s">
        <v>8788</v>
      </c>
      <c r="AS823" s="13" t="s">
        <v>116</v>
      </c>
      <c r="AT823" s="13" t="s">
        <v>8792</v>
      </c>
      <c r="AU823" s="13" t="s">
        <v>8781</v>
      </c>
      <c r="AV823" s="14" t="s">
        <v>2204</v>
      </c>
      <c r="AW823" s="15" t="s">
        <v>1691</v>
      </c>
      <c r="AX823" s="15" t="s">
        <v>1692</v>
      </c>
      <c r="AY823" s="13" t="s">
        <v>8793</v>
      </c>
      <c r="AZ823" s="13" t="s">
        <v>8794</v>
      </c>
      <c r="BA823" s="13" t="s">
        <v>8794</v>
      </c>
      <c r="BB823" s="13" t="s">
        <v>8795</v>
      </c>
      <c r="BC823" s="13" t="s">
        <v>8795</v>
      </c>
      <c r="BD823" s="13">
        <f t="shared" si="29"/>
        <v>41</v>
      </c>
      <c r="BE823" s="13" t="s">
        <v>1697</v>
      </c>
      <c r="BF823" s="13" t="s">
        <v>951</v>
      </c>
      <c r="BJ823" s="13" t="s">
        <v>2241</v>
      </c>
      <c r="BS823" s="13" t="s">
        <v>127</v>
      </c>
      <c r="BT823" s="13" t="s">
        <v>8786</v>
      </c>
      <c r="BU823" s="13" t="s">
        <v>129</v>
      </c>
      <c r="BX823" s="13" t="s">
        <v>8796</v>
      </c>
      <c r="DA823" s="13" t="s">
        <v>10348</v>
      </c>
      <c r="DB823" s="13" t="s">
        <v>10348</v>
      </c>
    </row>
    <row r="824" spans="1:106" s="13" customFormat="1" ht="12.75" customHeight="1" x14ac:dyDescent="0.2">
      <c r="A824" s="13" t="s">
        <v>102</v>
      </c>
      <c r="B824" s="13" t="s">
        <v>103</v>
      </c>
      <c r="D824" s="13" t="s">
        <v>7712</v>
      </c>
      <c r="E824" s="13" t="s">
        <v>228</v>
      </c>
      <c r="F824" s="13" t="s">
        <v>7712</v>
      </c>
      <c r="G824" s="13" t="s">
        <v>229</v>
      </c>
      <c r="H824" s="13" t="s">
        <v>820</v>
      </c>
      <c r="J824" s="13" t="s">
        <v>106</v>
      </c>
      <c r="W824" s="13">
        <v>823</v>
      </c>
      <c r="X824" s="13">
        <v>823</v>
      </c>
      <c r="Y824" s="13" t="s">
        <v>107</v>
      </c>
      <c r="Z824" s="13" t="s">
        <v>108</v>
      </c>
      <c r="AA824" s="13" t="s">
        <v>107</v>
      </c>
      <c r="AB824" s="13" t="s">
        <v>8797</v>
      </c>
      <c r="AC824" s="13" t="s">
        <v>8797</v>
      </c>
      <c r="AD824" s="13" t="s">
        <v>8797</v>
      </c>
      <c r="AE824" s="14" t="s">
        <v>112</v>
      </c>
      <c r="AF824" s="13" t="s">
        <v>8797</v>
      </c>
      <c r="AG824" s="13" t="s">
        <v>8797</v>
      </c>
      <c r="AH824" s="14" t="s">
        <v>8798</v>
      </c>
      <c r="AL824" s="13" t="s">
        <v>8799</v>
      </c>
      <c r="AN824" s="13">
        <v>329</v>
      </c>
      <c r="AO824" s="13" t="s">
        <v>8800</v>
      </c>
      <c r="AQ824" s="13" t="s">
        <v>8797</v>
      </c>
      <c r="AR824" s="13" t="s">
        <v>8797</v>
      </c>
      <c r="AS824" s="13" t="s">
        <v>116</v>
      </c>
      <c r="AT824" s="13" t="s">
        <v>8801</v>
      </c>
      <c r="AU824" s="13" t="s">
        <v>8781</v>
      </c>
      <c r="AV824" s="14" t="s">
        <v>2204</v>
      </c>
      <c r="AW824" s="15" t="s">
        <v>1691</v>
      </c>
      <c r="AX824" s="15" t="s">
        <v>1692</v>
      </c>
      <c r="AY824" s="13" t="s">
        <v>8802</v>
      </c>
      <c r="AZ824" s="13" t="s">
        <v>8803</v>
      </c>
      <c r="BA824" s="13" t="s">
        <v>8803</v>
      </c>
      <c r="BB824" s="13" t="s">
        <v>8804</v>
      </c>
      <c r="BC824" s="13" t="s">
        <v>8804</v>
      </c>
      <c r="BD824" s="13">
        <f t="shared" si="29"/>
        <v>41</v>
      </c>
      <c r="BE824" s="13" t="s">
        <v>1697</v>
      </c>
      <c r="BF824" s="13" t="s">
        <v>951</v>
      </c>
      <c r="BJ824" s="13" t="s">
        <v>2035</v>
      </c>
      <c r="BS824" s="13" t="s">
        <v>127</v>
      </c>
      <c r="BT824" s="13" t="s">
        <v>8786</v>
      </c>
      <c r="BU824" s="13" t="s">
        <v>129</v>
      </c>
      <c r="BX824" s="13" t="s">
        <v>8805</v>
      </c>
      <c r="DA824" s="13" t="s">
        <v>10348</v>
      </c>
      <c r="DB824" s="13" t="s">
        <v>10348</v>
      </c>
    </row>
    <row r="825" spans="1:106" s="13" customFormat="1" ht="12.75" customHeight="1" x14ac:dyDescent="0.2">
      <c r="A825" s="13" t="s">
        <v>102</v>
      </c>
      <c r="B825" s="13" t="s">
        <v>103</v>
      </c>
      <c r="D825" s="13" t="s">
        <v>7712</v>
      </c>
      <c r="E825" s="13" t="s">
        <v>228</v>
      </c>
      <c r="F825" s="13" t="s">
        <v>7712</v>
      </c>
      <c r="G825" s="13" t="s">
        <v>229</v>
      </c>
      <c r="H825" s="13" t="s">
        <v>820</v>
      </c>
      <c r="J825" s="13" t="s">
        <v>106</v>
      </c>
      <c r="W825" s="13">
        <v>824</v>
      </c>
      <c r="X825" s="13">
        <v>824</v>
      </c>
      <c r="Y825" s="13" t="s">
        <v>107</v>
      </c>
      <c r="Z825" s="13" t="s">
        <v>108</v>
      </c>
      <c r="AA825" s="13" t="s">
        <v>107</v>
      </c>
      <c r="AB825" s="13" t="s">
        <v>8806</v>
      </c>
      <c r="AC825" s="13" t="s">
        <v>8806</v>
      </c>
      <c r="AD825" s="13" t="s">
        <v>8806</v>
      </c>
      <c r="AE825" s="14" t="s">
        <v>112</v>
      </c>
      <c r="AF825" s="13" t="s">
        <v>8806</v>
      </c>
      <c r="AG825" s="13" t="s">
        <v>8806</v>
      </c>
      <c r="AH825" s="14" t="s">
        <v>8807</v>
      </c>
      <c r="AL825" s="13" t="s">
        <v>8808</v>
      </c>
      <c r="AN825" s="13">
        <v>329</v>
      </c>
      <c r="AO825" s="13" t="s">
        <v>8809</v>
      </c>
      <c r="AQ825" s="13" t="s">
        <v>8806</v>
      </c>
      <c r="AR825" s="13" t="s">
        <v>8806</v>
      </c>
      <c r="AS825" s="13" t="s">
        <v>116</v>
      </c>
      <c r="AT825" s="13" t="s">
        <v>8810</v>
      </c>
      <c r="AU825" s="13" t="s">
        <v>8781</v>
      </c>
      <c r="AV825" s="14" t="s">
        <v>2204</v>
      </c>
      <c r="AW825" s="15" t="s">
        <v>1691</v>
      </c>
      <c r="AX825" s="15" t="s">
        <v>1692</v>
      </c>
      <c r="AY825" s="13" t="s">
        <v>8811</v>
      </c>
      <c r="AZ825" s="13" t="s">
        <v>8812</v>
      </c>
      <c r="BA825" s="13" t="s">
        <v>8812</v>
      </c>
      <c r="BB825" s="13" t="s">
        <v>8813</v>
      </c>
      <c r="BC825" s="13" t="s">
        <v>8813</v>
      </c>
      <c r="BD825" s="13">
        <f t="shared" si="29"/>
        <v>40</v>
      </c>
      <c r="BE825" s="13" t="s">
        <v>1697</v>
      </c>
      <c r="BF825" s="13" t="s">
        <v>951</v>
      </c>
      <c r="BJ825" s="13" t="s">
        <v>1725</v>
      </c>
      <c r="BS825" s="13" t="s">
        <v>127</v>
      </c>
      <c r="BT825" s="13" t="s">
        <v>8786</v>
      </c>
      <c r="BU825" s="13" t="s">
        <v>129</v>
      </c>
      <c r="BX825" s="13" t="s">
        <v>8814</v>
      </c>
      <c r="DA825" s="13" t="s">
        <v>10348</v>
      </c>
      <c r="DB825" s="13" t="s">
        <v>10348</v>
      </c>
    </row>
    <row r="826" spans="1:106" s="13" customFormat="1" ht="12.75" customHeight="1" x14ac:dyDescent="0.2">
      <c r="A826" s="13" t="s">
        <v>102</v>
      </c>
      <c r="B826" s="13" t="s">
        <v>103</v>
      </c>
      <c r="D826" s="13" t="s">
        <v>7712</v>
      </c>
      <c r="E826" s="13" t="s">
        <v>228</v>
      </c>
      <c r="F826" s="13" t="s">
        <v>7712</v>
      </c>
      <c r="G826" s="13" t="s">
        <v>229</v>
      </c>
      <c r="H826" s="13" t="s">
        <v>820</v>
      </c>
      <c r="J826" s="13" t="s">
        <v>106</v>
      </c>
      <c r="W826" s="13">
        <v>825</v>
      </c>
      <c r="X826" s="13">
        <v>825</v>
      </c>
      <c r="Y826" s="13" t="s">
        <v>107</v>
      </c>
      <c r="Z826" s="13" t="s">
        <v>108</v>
      </c>
      <c r="AA826" s="13" t="s">
        <v>107</v>
      </c>
      <c r="AB826" s="13" t="s">
        <v>8815</v>
      </c>
      <c r="AC826" s="13" t="s">
        <v>8815</v>
      </c>
      <c r="AD826" s="13" t="s">
        <v>8815</v>
      </c>
      <c r="AE826" s="14" t="s">
        <v>112</v>
      </c>
      <c r="AF826" s="13" t="s">
        <v>8815</v>
      </c>
      <c r="AG826" s="13" t="s">
        <v>8815</v>
      </c>
      <c r="AH826" s="14" t="s">
        <v>8816</v>
      </c>
      <c r="AL826" s="13" t="s">
        <v>8817</v>
      </c>
      <c r="AN826" s="13">
        <v>329</v>
      </c>
      <c r="AO826" s="13" t="s">
        <v>8818</v>
      </c>
      <c r="AQ826" s="13" t="s">
        <v>8815</v>
      </c>
      <c r="AR826" s="13" t="s">
        <v>8815</v>
      </c>
      <c r="AS826" s="13" t="s">
        <v>116</v>
      </c>
      <c r="AT826" s="13" t="s">
        <v>8819</v>
      </c>
      <c r="AU826" s="13" t="s">
        <v>8781</v>
      </c>
      <c r="AV826" s="14" t="s">
        <v>2204</v>
      </c>
      <c r="AW826" s="15" t="s">
        <v>1691</v>
      </c>
      <c r="AX826" s="15" t="s">
        <v>1692</v>
      </c>
      <c r="AY826" s="13" t="s">
        <v>8820</v>
      </c>
      <c r="AZ826" s="13" t="s">
        <v>8821</v>
      </c>
      <c r="BA826" s="13" t="s">
        <v>8821</v>
      </c>
      <c r="BB826" s="13" t="s">
        <v>8822</v>
      </c>
      <c r="BC826" s="13" t="s">
        <v>8822</v>
      </c>
      <c r="BD826" s="13">
        <f t="shared" si="29"/>
        <v>41</v>
      </c>
      <c r="BE826" s="13" t="s">
        <v>1697</v>
      </c>
      <c r="BF826" s="13" t="s">
        <v>951</v>
      </c>
      <c r="BJ826" s="13" t="s">
        <v>2211</v>
      </c>
      <c r="BS826" s="13" t="s">
        <v>127</v>
      </c>
      <c r="BT826" s="13" t="s">
        <v>8786</v>
      </c>
      <c r="BU826" s="13" t="s">
        <v>129</v>
      </c>
      <c r="BX826" s="13" t="s">
        <v>8823</v>
      </c>
      <c r="DA826" s="13" t="s">
        <v>10348</v>
      </c>
      <c r="DB826" s="13" t="s">
        <v>10348</v>
      </c>
    </row>
    <row r="827" spans="1:106" s="13" customFormat="1" ht="12.75" customHeight="1" x14ac:dyDescent="0.2">
      <c r="A827" s="13" t="s">
        <v>102</v>
      </c>
      <c r="B827" s="13" t="s">
        <v>103</v>
      </c>
      <c r="D827" s="13" t="s">
        <v>7712</v>
      </c>
      <c r="E827" s="13" t="s">
        <v>228</v>
      </c>
      <c r="F827" s="13" t="s">
        <v>7712</v>
      </c>
      <c r="G827" s="13" t="s">
        <v>229</v>
      </c>
      <c r="H827" s="13" t="s">
        <v>820</v>
      </c>
      <c r="J827" s="13" t="s">
        <v>106</v>
      </c>
      <c r="W827" s="13">
        <v>826</v>
      </c>
      <c r="X827" s="13">
        <v>826</v>
      </c>
      <c r="Y827" s="13" t="s">
        <v>107</v>
      </c>
      <c r="Z827" s="13" t="s">
        <v>108</v>
      </c>
      <c r="AA827" s="13" t="s">
        <v>107</v>
      </c>
      <c r="AB827" s="13" t="s">
        <v>8824</v>
      </c>
      <c r="AC827" s="13" t="s">
        <v>8824</v>
      </c>
      <c r="AD827" s="13" t="s">
        <v>8824</v>
      </c>
      <c r="AE827" s="14" t="s">
        <v>112</v>
      </c>
      <c r="AF827" s="13" t="s">
        <v>8824</v>
      </c>
      <c r="AG827" s="13" t="s">
        <v>8824</v>
      </c>
      <c r="AH827" s="14" t="s">
        <v>8825</v>
      </c>
      <c r="AL827" s="13" t="s">
        <v>8826</v>
      </c>
      <c r="AN827" s="13">
        <v>329</v>
      </c>
      <c r="AO827" s="13" t="s">
        <v>8827</v>
      </c>
      <c r="AQ827" s="13" t="s">
        <v>8824</v>
      </c>
      <c r="AR827" s="13" t="s">
        <v>8824</v>
      </c>
      <c r="AS827" s="13" t="s">
        <v>116</v>
      </c>
      <c r="AT827" s="13" t="s">
        <v>8828</v>
      </c>
      <c r="AU827" s="13" t="s">
        <v>8781</v>
      </c>
      <c r="AV827" s="14" t="s">
        <v>2204</v>
      </c>
      <c r="AW827" s="15" t="s">
        <v>1691</v>
      </c>
      <c r="AX827" s="15" t="s">
        <v>1692</v>
      </c>
      <c r="AY827" s="13" t="s">
        <v>8829</v>
      </c>
      <c r="AZ827" s="13" t="s">
        <v>8830</v>
      </c>
      <c r="BA827" s="13" t="s">
        <v>8830</v>
      </c>
      <c r="BB827" s="13" t="s">
        <v>8831</v>
      </c>
      <c r="BC827" s="13" t="s">
        <v>8831</v>
      </c>
      <c r="BD827" s="13">
        <f t="shared" si="29"/>
        <v>41</v>
      </c>
      <c r="BE827" s="13" t="s">
        <v>1697</v>
      </c>
      <c r="BF827" s="13" t="s">
        <v>951</v>
      </c>
      <c r="BJ827" s="13" t="s">
        <v>8832</v>
      </c>
      <c r="BS827" s="13" t="s">
        <v>127</v>
      </c>
      <c r="BT827" s="13" t="s">
        <v>8786</v>
      </c>
      <c r="BU827" s="13" t="s">
        <v>129</v>
      </c>
      <c r="BX827" s="13" t="s">
        <v>8833</v>
      </c>
      <c r="DA827" s="13" t="s">
        <v>10348</v>
      </c>
      <c r="DB827" s="13" t="s">
        <v>10348</v>
      </c>
    </row>
    <row r="828" spans="1:106" s="13" customFormat="1" ht="12.75" customHeight="1" x14ac:dyDescent="0.2">
      <c r="A828" s="13" t="s">
        <v>102</v>
      </c>
      <c r="B828" s="13" t="s">
        <v>103</v>
      </c>
      <c r="D828" s="13" t="s">
        <v>7712</v>
      </c>
      <c r="E828" s="13" t="s">
        <v>228</v>
      </c>
      <c r="F828" s="13" t="s">
        <v>7712</v>
      </c>
      <c r="G828" s="13" t="s">
        <v>229</v>
      </c>
      <c r="H828" s="13" t="s">
        <v>820</v>
      </c>
      <c r="J828" s="13" t="s">
        <v>106</v>
      </c>
      <c r="W828" s="13">
        <v>827</v>
      </c>
      <c r="X828" s="13">
        <v>827</v>
      </c>
      <c r="Y828" s="13" t="s">
        <v>107</v>
      </c>
      <c r="Z828" s="13" t="s">
        <v>108</v>
      </c>
      <c r="AA828" s="13" t="s">
        <v>107</v>
      </c>
      <c r="AB828" s="13" t="s">
        <v>8834</v>
      </c>
      <c r="AC828" s="13" t="s">
        <v>8834</v>
      </c>
      <c r="AD828" s="13" t="s">
        <v>8834</v>
      </c>
      <c r="AE828" s="14" t="s">
        <v>112</v>
      </c>
      <c r="AF828" s="13" t="s">
        <v>8834</v>
      </c>
      <c r="AG828" s="13" t="s">
        <v>8834</v>
      </c>
      <c r="AH828" s="14" t="s">
        <v>8835</v>
      </c>
      <c r="AL828" s="13" t="s">
        <v>8836</v>
      </c>
      <c r="AN828" s="13">
        <v>329</v>
      </c>
      <c r="AO828" s="13" t="s">
        <v>8837</v>
      </c>
      <c r="AQ828" s="13" t="s">
        <v>8834</v>
      </c>
      <c r="AR828" s="13" t="s">
        <v>8834</v>
      </c>
      <c r="AS828" s="13" t="s">
        <v>116</v>
      </c>
      <c r="AT828" s="13" t="s">
        <v>8838</v>
      </c>
      <c r="AU828" s="13" t="s">
        <v>8781</v>
      </c>
      <c r="AV828" s="14" t="s">
        <v>2204</v>
      </c>
      <c r="AW828" s="15" t="s">
        <v>1691</v>
      </c>
      <c r="AX828" s="15" t="s">
        <v>1692</v>
      </c>
      <c r="AY828" s="13" t="s">
        <v>8839</v>
      </c>
      <c r="AZ828" s="13" t="s">
        <v>8840</v>
      </c>
      <c r="BA828" s="13" t="s">
        <v>8840</v>
      </c>
      <c r="BB828" s="13" t="s">
        <v>8841</v>
      </c>
      <c r="BC828" s="13" t="s">
        <v>8841</v>
      </c>
      <c r="BD828" s="13">
        <f t="shared" si="29"/>
        <v>41</v>
      </c>
      <c r="BE828" s="13" t="s">
        <v>1697</v>
      </c>
      <c r="BF828" s="13" t="s">
        <v>951</v>
      </c>
      <c r="BJ828" s="13" t="s">
        <v>7585</v>
      </c>
      <c r="BS828" s="13" t="s">
        <v>127</v>
      </c>
      <c r="BT828" s="13" t="s">
        <v>8786</v>
      </c>
      <c r="BU828" s="13" t="s">
        <v>129</v>
      </c>
      <c r="BX828" s="13" t="s">
        <v>8842</v>
      </c>
      <c r="DA828" s="13" t="s">
        <v>10348</v>
      </c>
      <c r="DB828" s="13" t="s">
        <v>10348</v>
      </c>
    </row>
    <row r="829" spans="1:106" s="13" customFormat="1" ht="12.75" customHeight="1" x14ac:dyDescent="0.2">
      <c r="A829" s="13" t="s">
        <v>102</v>
      </c>
      <c r="B829" s="13" t="s">
        <v>103</v>
      </c>
      <c r="D829" s="13" t="s">
        <v>7712</v>
      </c>
      <c r="E829" s="13" t="s">
        <v>228</v>
      </c>
      <c r="F829" s="13" t="s">
        <v>7712</v>
      </c>
      <c r="G829" s="13" t="s">
        <v>229</v>
      </c>
      <c r="H829" s="13" t="s">
        <v>820</v>
      </c>
      <c r="J829" s="13" t="s">
        <v>106</v>
      </c>
      <c r="W829" s="13">
        <v>828</v>
      </c>
      <c r="X829" s="13">
        <v>828</v>
      </c>
      <c r="Y829" s="13" t="s">
        <v>107</v>
      </c>
      <c r="Z829" s="13" t="s">
        <v>108</v>
      </c>
      <c r="AA829" s="13" t="s">
        <v>107</v>
      </c>
      <c r="AB829" s="13" t="s">
        <v>8843</v>
      </c>
      <c r="AC829" s="13" t="s">
        <v>8843</v>
      </c>
      <c r="AD829" s="13" t="s">
        <v>8843</v>
      </c>
      <c r="AE829" s="14" t="s">
        <v>112</v>
      </c>
      <c r="AF829" s="13" t="s">
        <v>8843</v>
      </c>
      <c r="AG829" s="13" t="s">
        <v>8843</v>
      </c>
      <c r="AH829" s="14" t="s">
        <v>8844</v>
      </c>
      <c r="AL829" s="13" t="s">
        <v>8845</v>
      </c>
      <c r="AN829" s="13">
        <v>329</v>
      </c>
      <c r="AO829" s="13" t="s">
        <v>8846</v>
      </c>
      <c r="AQ829" s="13" t="s">
        <v>8843</v>
      </c>
      <c r="AR829" s="13" t="s">
        <v>8843</v>
      </c>
      <c r="AS829" s="13" t="s">
        <v>116</v>
      </c>
      <c r="AT829" s="13" t="s">
        <v>8847</v>
      </c>
      <c r="AU829" s="13" t="s">
        <v>8781</v>
      </c>
      <c r="AV829" s="14" t="s">
        <v>2204</v>
      </c>
      <c r="AW829" s="15" t="s">
        <v>1691</v>
      </c>
      <c r="AX829" s="15" t="s">
        <v>1692</v>
      </c>
      <c r="AY829" s="13" t="s">
        <v>8848</v>
      </c>
      <c r="AZ829" s="13" t="s">
        <v>8849</v>
      </c>
      <c r="BA829" s="13" t="s">
        <v>8849</v>
      </c>
      <c r="BB829" s="13" t="s">
        <v>8850</v>
      </c>
      <c r="BC829" s="13" t="s">
        <v>8850</v>
      </c>
      <c r="BD829" s="13">
        <f t="shared" si="29"/>
        <v>40</v>
      </c>
      <c r="BE829" s="13" t="s">
        <v>1697</v>
      </c>
      <c r="BF829" s="13" t="s">
        <v>951</v>
      </c>
      <c r="BJ829" s="13" t="s">
        <v>1798</v>
      </c>
      <c r="BS829" s="13" t="s">
        <v>127</v>
      </c>
      <c r="BT829" s="13" t="s">
        <v>8786</v>
      </c>
      <c r="BU829" s="13" t="s">
        <v>129</v>
      </c>
      <c r="BX829" s="13" t="s">
        <v>8851</v>
      </c>
      <c r="DA829" s="13" t="s">
        <v>10348</v>
      </c>
      <c r="DB829" s="13" t="s">
        <v>10348</v>
      </c>
    </row>
    <row r="830" spans="1:106" s="13" customFormat="1" ht="12.75" customHeight="1" x14ac:dyDescent="0.2">
      <c r="A830" s="13" t="s">
        <v>102</v>
      </c>
      <c r="B830" s="13" t="s">
        <v>103</v>
      </c>
      <c r="D830" s="13" t="s">
        <v>7712</v>
      </c>
      <c r="E830" s="13" t="s">
        <v>228</v>
      </c>
      <c r="F830" s="13" t="s">
        <v>7712</v>
      </c>
      <c r="G830" s="13" t="s">
        <v>229</v>
      </c>
      <c r="H830" s="13" t="s">
        <v>820</v>
      </c>
      <c r="J830" s="13" t="s">
        <v>106</v>
      </c>
      <c r="W830" s="13">
        <v>829</v>
      </c>
      <c r="X830" s="13">
        <v>829</v>
      </c>
      <c r="Y830" s="13" t="s">
        <v>107</v>
      </c>
      <c r="Z830" s="13" t="s">
        <v>108</v>
      </c>
      <c r="AA830" s="13" t="s">
        <v>107</v>
      </c>
      <c r="AB830" s="13" t="s">
        <v>8852</v>
      </c>
      <c r="AC830" s="13" t="s">
        <v>8852</v>
      </c>
      <c r="AD830" s="13" t="s">
        <v>8852</v>
      </c>
      <c r="AE830" s="14" t="s">
        <v>112</v>
      </c>
      <c r="AF830" s="13" t="s">
        <v>8852</v>
      </c>
      <c r="AG830" s="13" t="s">
        <v>8852</v>
      </c>
      <c r="AH830" s="14" t="s">
        <v>8853</v>
      </c>
      <c r="AL830" s="13" t="s">
        <v>8854</v>
      </c>
      <c r="AN830" s="13">
        <v>329</v>
      </c>
      <c r="AO830" s="13" t="s">
        <v>8855</v>
      </c>
      <c r="AQ830" s="13" t="s">
        <v>8852</v>
      </c>
      <c r="AR830" s="13" t="s">
        <v>8852</v>
      </c>
      <c r="AS830" s="13" t="s">
        <v>116</v>
      </c>
      <c r="AT830" s="13" t="s">
        <v>8856</v>
      </c>
      <c r="AU830" s="13" t="s">
        <v>8781</v>
      </c>
      <c r="AV830" s="14" t="s">
        <v>2204</v>
      </c>
      <c r="AW830" s="15" t="s">
        <v>1691</v>
      </c>
      <c r="AX830" s="15" t="s">
        <v>1692</v>
      </c>
      <c r="AY830" s="13" t="s">
        <v>8857</v>
      </c>
      <c r="AZ830" s="13" t="s">
        <v>8858</v>
      </c>
      <c r="BA830" s="13" t="s">
        <v>8858</v>
      </c>
      <c r="BB830" s="13" t="s">
        <v>8859</v>
      </c>
      <c r="BC830" s="13" t="s">
        <v>8859</v>
      </c>
      <c r="BD830" s="13">
        <f t="shared" si="29"/>
        <v>41</v>
      </c>
      <c r="BE830" s="13" t="s">
        <v>1697</v>
      </c>
      <c r="BF830" s="13" t="s">
        <v>951</v>
      </c>
      <c r="BJ830" s="13" t="s">
        <v>8860</v>
      </c>
      <c r="BS830" s="13" t="s">
        <v>127</v>
      </c>
      <c r="BT830" s="13" t="s">
        <v>8786</v>
      </c>
      <c r="BU830" s="13" t="s">
        <v>129</v>
      </c>
      <c r="BX830" s="13" t="s">
        <v>8861</v>
      </c>
      <c r="DA830" s="13" t="s">
        <v>10348</v>
      </c>
      <c r="DB830" s="13" t="s">
        <v>10348</v>
      </c>
    </row>
    <row r="831" spans="1:106" s="13" customFormat="1" ht="12.75" customHeight="1" x14ac:dyDescent="0.2">
      <c r="A831" s="13" t="s">
        <v>102</v>
      </c>
      <c r="B831" s="13" t="s">
        <v>103</v>
      </c>
      <c r="D831" s="13" t="s">
        <v>7712</v>
      </c>
      <c r="E831" s="13" t="s">
        <v>228</v>
      </c>
      <c r="F831" s="13" t="s">
        <v>7712</v>
      </c>
      <c r="G831" s="13" t="s">
        <v>229</v>
      </c>
      <c r="H831" s="13" t="s">
        <v>820</v>
      </c>
      <c r="J831" s="13" t="s">
        <v>106</v>
      </c>
      <c r="W831" s="13">
        <v>830</v>
      </c>
      <c r="X831" s="13">
        <v>830</v>
      </c>
      <c r="Y831" s="13" t="s">
        <v>107</v>
      </c>
      <c r="Z831" s="13" t="s">
        <v>108</v>
      </c>
      <c r="AA831" s="13" t="s">
        <v>107</v>
      </c>
      <c r="AB831" s="13" t="s">
        <v>8862</v>
      </c>
      <c r="AC831" s="13" t="s">
        <v>8862</v>
      </c>
      <c r="AD831" s="13" t="s">
        <v>8862</v>
      </c>
      <c r="AE831" s="14" t="s">
        <v>112</v>
      </c>
      <c r="AF831" s="13" t="s">
        <v>8862</v>
      </c>
      <c r="AG831" s="13" t="s">
        <v>8862</v>
      </c>
      <c r="AH831" s="14" t="s">
        <v>8863</v>
      </c>
      <c r="AL831" s="13" t="s">
        <v>8864</v>
      </c>
      <c r="AN831" s="13">
        <v>329</v>
      </c>
      <c r="AO831" s="13" t="s">
        <v>8865</v>
      </c>
      <c r="AQ831" s="13" t="s">
        <v>8862</v>
      </c>
      <c r="AR831" s="13" t="s">
        <v>8862</v>
      </c>
      <c r="AS831" s="13" t="s">
        <v>116</v>
      </c>
      <c r="AT831" s="13" t="s">
        <v>8866</v>
      </c>
      <c r="AU831" s="13" t="s">
        <v>8781</v>
      </c>
      <c r="AV831" s="14" t="s">
        <v>2204</v>
      </c>
      <c r="AW831" s="15" t="s">
        <v>1691</v>
      </c>
      <c r="AX831" s="15" t="s">
        <v>1692</v>
      </c>
      <c r="AY831" s="13" t="s">
        <v>8867</v>
      </c>
      <c r="AZ831" s="13" t="s">
        <v>8868</v>
      </c>
      <c r="BA831" s="13" t="s">
        <v>8868</v>
      </c>
      <c r="BB831" s="13" t="s">
        <v>8869</v>
      </c>
      <c r="BC831" s="13" t="s">
        <v>8869</v>
      </c>
      <c r="BD831" s="13">
        <f t="shared" si="29"/>
        <v>41</v>
      </c>
      <c r="BE831" s="13" t="s">
        <v>1697</v>
      </c>
      <c r="BF831" s="13" t="s">
        <v>951</v>
      </c>
      <c r="BJ831" s="13" t="s">
        <v>7675</v>
      </c>
      <c r="BS831" s="13" t="s">
        <v>127</v>
      </c>
      <c r="BT831" s="13" t="s">
        <v>8786</v>
      </c>
      <c r="BU831" s="13" t="s">
        <v>129</v>
      </c>
      <c r="BX831" s="13" t="s">
        <v>8870</v>
      </c>
      <c r="DA831" s="13" t="s">
        <v>10348</v>
      </c>
      <c r="DB831" s="13" t="s">
        <v>10348</v>
      </c>
    </row>
    <row r="832" spans="1:106" s="13" customFormat="1" ht="12.75" customHeight="1" x14ac:dyDescent="0.2">
      <c r="A832" s="13" t="s">
        <v>102</v>
      </c>
      <c r="B832" s="13" t="s">
        <v>103</v>
      </c>
      <c r="D832" s="13" t="s">
        <v>7712</v>
      </c>
      <c r="E832" s="13" t="s">
        <v>228</v>
      </c>
      <c r="F832" s="13" t="s">
        <v>7712</v>
      </c>
      <c r="G832" s="13" t="s">
        <v>229</v>
      </c>
      <c r="H832" s="13" t="s">
        <v>820</v>
      </c>
      <c r="J832" s="13" t="s">
        <v>106</v>
      </c>
      <c r="W832" s="13">
        <v>831</v>
      </c>
      <c r="X832" s="13">
        <v>831</v>
      </c>
      <c r="Y832" s="13" t="s">
        <v>107</v>
      </c>
      <c r="Z832" s="13" t="s">
        <v>108</v>
      </c>
      <c r="AA832" s="13" t="s">
        <v>107</v>
      </c>
      <c r="AB832" s="13" t="s">
        <v>8871</v>
      </c>
      <c r="AC832" s="13" t="s">
        <v>8871</v>
      </c>
      <c r="AD832" s="13" t="s">
        <v>8871</v>
      </c>
      <c r="AE832" s="14" t="s">
        <v>112</v>
      </c>
      <c r="AF832" s="13" t="s">
        <v>8871</v>
      </c>
      <c r="AG832" s="13" t="s">
        <v>8871</v>
      </c>
      <c r="AH832" s="14" t="s">
        <v>8872</v>
      </c>
      <c r="AL832" s="13" t="s">
        <v>8873</v>
      </c>
      <c r="AN832" s="13">
        <v>329</v>
      </c>
      <c r="AO832" s="13" t="s">
        <v>8874</v>
      </c>
      <c r="AQ832" s="13" t="s">
        <v>8871</v>
      </c>
      <c r="AR832" s="13" t="s">
        <v>8871</v>
      </c>
      <c r="AS832" s="13" t="s">
        <v>116</v>
      </c>
      <c r="AT832" s="13" t="s">
        <v>8875</v>
      </c>
      <c r="AU832" s="13" t="s">
        <v>8781</v>
      </c>
      <c r="AV832" s="14" t="s">
        <v>2204</v>
      </c>
      <c r="AW832" s="15" t="s">
        <v>1691</v>
      </c>
      <c r="AX832" s="15" t="s">
        <v>1692</v>
      </c>
      <c r="AY832" s="13" t="s">
        <v>8876</v>
      </c>
      <c r="AZ832" s="13" t="s">
        <v>8877</v>
      </c>
      <c r="BA832" s="13" t="s">
        <v>8877</v>
      </c>
      <c r="BB832" s="13" t="s">
        <v>8878</v>
      </c>
      <c r="BC832" s="13" t="s">
        <v>8878</v>
      </c>
      <c r="BD832" s="13">
        <f t="shared" si="29"/>
        <v>40</v>
      </c>
      <c r="BE832" s="13" t="s">
        <v>1697</v>
      </c>
      <c r="BF832" s="13" t="s">
        <v>951</v>
      </c>
      <c r="BJ832" s="13" t="s">
        <v>1699</v>
      </c>
      <c r="BS832" s="13" t="s">
        <v>127</v>
      </c>
      <c r="BT832" s="13" t="s">
        <v>8786</v>
      </c>
      <c r="BU832" s="13" t="s">
        <v>129</v>
      </c>
      <c r="BX832" s="13" t="s">
        <v>8879</v>
      </c>
      <c r="DA832" s="13" t="s">
        <v>10348</v>
      </c>
      <c r="DB832" s="13" t="s">
        <v>10348</v>
      </c>
    </row>
    <row r="833" spans="1:106" s="13" customFormat="1" ht="12.75" customHeight="1" x14ac:dyDescent="0.2">
      <c r="A833" s="13" t="s">
        <v>102</v>
      </c>
      <c r="B833" s="13" t="s">
        <v>103</v>
      </c>
      <c r="D833" s="13" t="s">
        <v>7712</v>
      </c>
      <c r="E833" s="13" t="s">
        <v>228</v>
      </c>
      <c r="F833" s="13" t="s">
        <v>7712</v>
      </c>
      <c r="G833" s="13" t="s">
        <v>229</v>
      </c>
      <c r="H833" s="13" t="s">
        <v>820</v>
      </c>
      <c r="J833" s="13" t="s">
        <v>106</v>
      </c>
      <c r="W833" s="13">
        <v>832</v>
      </c>
      <c r="X833" s="13">
        <v>832</v>
      </c>
      <c r="Y833" s="13" t="s">
        <v>107</v>
      </c>
      <c r="Z833" s="13" t="s">
        <v>108</v>
      </c>
      <c r="AA833" s="13" t="s">
        <v>107</v>
      </c>
      <c r="AB833" s="13" t="s">
        <v>8880</v>
      </c>
      <c r="AC833" s="13" t="s">
        <v>8880</v>
      </c>
      <c r="AD833" s="13" t="s">
        <v>8880</v>
      </c>
      <c r="AE833" s="14" t="s">
        <v>112</v>
      </c>
      <c r="AF833" s="13" t="s">
        <v>8880</v>
      </c>
      <c r="AG833" s="13" t="s">
        <v>8880</v>
      </c>
      <c r="AH833" s="14" t="s">
        <v>8881</v>
      </c>
      <c r="AL833" s="13" t="s">
        <v>8882</v>
      </c>
      <c r="AN833" s="13">
        <v>329</v>
      </c>
      <c r="AO833" s="13" t="s">
        <v>8883</v>
      </c>
      <c r="AQ833" s="13" t="s">
        <v>8880</v>
      </c>
      <c r="AR833" s="13" t="s">
        <v>8880</v>
      </c>
      <c r="AS833" s="13" t="s">
        <v>116</v>
      </c>
      <c r="AT833" s="13" t="s">
        <v>8884</v>
      </c>
      <c r="AU833" s="13" t="s">
        <v>8781</v>
      </c>
      <c r="AV833" s="14" t="s">
        <v>2204</v>
      </c>
      <c r="AW833" s="15" t="s">
        <v>1691</v>
      </c>
      <c r="AX833" s="15" t="s">
        <v>1692</v>
      </c>
      <c r="AY833" s="13" t="s">
        <v>8885</v>
      </c>
      <c r="AZ833" s="13" t="s">
        <v>8886</v>
      </c>
      <c r="BA833" s="13" t="s">
        <v>8886</v>
      </c>
      <c r="BB833" s="13" t="s">
        <v>8887</v>
      </c>
      <c r="BC833" s="13" t="s">
        <v>8887</v>
      </c>
      <c r="BD833" s="13">
        <f t="shared" si="29"/>
        <v>41</v>
      </c>
      <c r="BE833" s="13" t="s">
        <v>1697</v>
      </c>
      <c r="BF833" s="13" t="s">
        <v>951</v>
      </c>
      <c r="BJ833" s="13" t="s">
        <v>7185</v>
      </c>
      <c r="BS833" s="13" t="s">
        <v>127</v>
      </c>
      <c r="BT833" s="13" t="s">
        <v>8786</v>
      </c>
      <c r="BU833" s="13" t="s">
        <v>129</v>
      </c>
      <c r="BX833" s="13" t="s">
        <v>8888</v>
      </c>
      <c r="DA833" s="13" t="s">
        <v>10348</v>
      </c>
      <c r="DB833" s="13" t="s">
        <v>10348</v>
      </c>
    </row>
    <row r="834" spans="1:106" s="13" customFormat="1" ht="12.75" customHeight="1" x14ac:dyDescent="0.2">
      <c r="A834" s="13" t="s">
        <v>102</v>
      </c>
      <c r="B834" s="13" t="s">
        <v>103</v>
      </c>
      <c r="D834" s="13" t="s">
        <v>7712</v>
      </c>
      <c r="E834" s="13" t="s">
        <v>228</v>
      </c>
      <c r="F834" s="13" t="s">
        <v>7712</v>
      </c>
      <c r="G834" s="13" t="s">
        <v>229</v>
      </c>
      <c r="H834" s="13" t="s">
        <v>820</v>
      </c>
      <c r="J834" s="13" t="s">
        <v>106</v>
      </c>
      <c r="W834" s="13">
        <v>833</v>
      </c>
      <c r="X834" s="13">
        <v>833</v>
      </c>
      <c r="Y834" s="13" t="s">
        <v>107</v>
      </c>
      <c r="Z834" s="13" t="s">
        <v>108</v>
      </c>
      <c r="AA834" s="13" t="s">
        <v>107</v>
      </c>
      <c r="AB834" s="13" t="s">
        <v>8889</v>
      </c>
      <c r="AC834" s="13" t="s">
        <v>8889</v>
      </c>
      <c r="AD834" s="13" t="s">
        <v>8889</v>
      </c>
      <c r="AE834" s="14" t="s">
        <v>112</v>
      </c>
      <c r="AF834" s="13" t="s">
        <v>8889</v>
      </c>
      <c r="AG834" s="13" t="s">
        <v>8889</v>
      </c>
      <c r="AH834" s="14" t="s">
        <v>8890</v>
      </c>
      <c r="AL834" s="13" t="s">
        <v>8891</v>
      </c>
      <c r="AN834" s="13">
        <v>329</v>
      </c>
      <c r="AO834" s="13" t="s">
        <v>8892</v>
      </c>
      <c r="AQ834" s="13" t="s">
        <v>8889</v>
      </c>
      <c r="AR834" s="13" t="s">
        <v>8889</v>
      </c>
      <c r="AS834" s="13" t="s">
        <v>116</v>
      </c>
      <c r="AT834" s="13" t="s">
        <v>8893</v>
      </c>
      <c r="AU834" s="13" t="s">
        <v>8781</v>
      </c>
      <c r="AV834" s="14" t="s">
        <v>2204</v>
      </c>
      <c r="AW834" s="15" t="s">
        <v>1691</v>
      </c>
      <c r="AX834" s="15" t="s">
        <v>1692</v>
      </c>
      <c r="AY834" s="38" t="s">
        <v>8894</v>
      </c>
      <c r="AZ834" s="13" t="s">
        <v>8895</v>
      </c>
      <c r="BA834" s="13" t="s">
        <v>8895</v>
      </c>
      <c r="BB834" s="13" t="s">
        <v>8896</v>
      </c>
      <c r="BC834" s="13" t="s">
        <v>8896</v>
      </c>
      <c r="BD834" s="13">
        <f t="shared" si="29"/>
        <v>40</v>
      </c>
      <c r="BE834" s="13" t="s">
        <v>1697</v>
      </c>
      <c r="BF834" s="13" t="s">
        <v>951</v>
      </c>
      <c r="BJ834" s="13" t="s">
        <v>8897</v>
      </c>
      <c r="BS834" s="13" t="s">
        <v>127</v>
      </c>
      <c r="BT834" s="13" t="s">
        <v>8786</v>
      </c>
      <c r="BU834" s="13" t="s">
        <v>129</v>
      </c>
      <c r="BX834" s="13" t="s">
        <v>8898</v>
      </c>
      <c r="DA834" s="13" t="s">
        <v>10348</v>
      </c>
      <c r="DB834" s="13" t="s">
        <v>10348</v>
      </c>
    </row>
    <row r="835" spans="1:106" s="13" customFormat="1" ht="12.75" customHeight="1" x14ac:dyDescent="0.2">
      <c r="A835" s="13" t="s">
        <v>102</v>
      </c>
      <c r="B835" s="13" t="s">
        <v>103</v>
      </c>
      <c r="D835" s="13" t="s">
        <v>4273</v>
      </c>
      <c r="E835" s="13" t="s">
        <v>471</v>
      </c>
      <c r="F835" s="13" t="s">
        <v>4273</v>
      </c>
      <c r="H835" s="13" t="s">
        <v>820</v>
      </c>
      <c r="J835" s="13" t="s">
        <v>106</v>
      </c>
      <c r="W835" s="13">
        <v>834</v>
      </c>
      <c r="X835" s="13">
        <v>834</v>
      </c>
      <c r="Y835" s="13" t="s">
        <v>107</v>
      </c>
      <c r="Z835" s="13" t="s">
        <v>108</v>
      </c>
      <c r="AA835" s="13" t="s">
        <v>107</v>
      </c>
      <c r="AB835" s="13" t="s">
        <v>8899</v>
      </c>
      <c r="AC835" s="13" t="s">
        <v>8899</v>
      </c>
      <c r="AD835" s="13" t="s">
        <v>8900</v>
      </c>
      <c r="AE835" s="13" t="s">
        <v>112</v>
      </c>
      <c r="AF835" s="13" t="s">
        <v>8900</v>
      </c>
      <c r="AG835" s="32" t="s">
        <v>8899</v>
      </c>
      <c r="AH835" s="13" t="s">
        <v>8901</v>
      </c>
      <c r="AL835" s="13" t="s">
        <v>8902</v>
      </c>
      <c r="AN835" s="13">
        <v>329</v>
      </c>
      <c r="AO835" s="13" t="s">
        <v>8903</v>
      </c>
      <c r="AQ835" s="13" t="s">
        <v>8900</v>
      </c>
      <c r="AR835" s="13" t="s">
        <v>8900</v>
      </c>
      <c r="AS835" s="13" t="s">
        <v>116</v>
      </c>
      <c r="AT835" s="13" t="s">
        <v>8904</v>
      </c>
      <c r="AU835" s="13" t="s">
        <v>8904</v>
      </c>
      <c r="AV835" s="13" t="s">
        <v>2204</v>
      </c>
      <c r="AY835" s="17" t="s">
        <v>8905</v>
      </c>
      <c r="AZ835" s="13" t="s">
        <v>8906</v>
      </c>
      <c r="BA835" s="13" t="s">
        <v>8906</v>
      </c>
      <c r="BB835" s="13" t="s">
        <v>8907</v>
      </c>
      <c r="BC835" s="13" t="s">
        <v>8907</v>
      </c>
      <c r="BD835" s="13">
        <f>LEN(SUBSTITUTE(BC835, ", "," "))</f>
        <v>59</v>
      </c>
      <c r="BE835" s="17" t="s">
        <v>1697</v>
      </c>
      <c r="BF835" s="17" t="s">
        <v>951</v>
      </c>
      <c r="BG835" s="17" t="s">
        <v>8908</v>
      </c>
      <c r="BH835" s="17"/>
      <c r="BI835" s="17"/>
      <c r="BJ835" s="17" t="s">
        <v>8909</v>
      </c>
      <c r="BK835" s="17"/>
      <c r="BL835" s="17"/>
      <c r="BM835" s="17"/>
      <c r="BN835" s="17"/>
      <c r="BO835" s="17" t="s">
        <v>8910</v>
      </c>
      <c r="BP835" s="17"/>
      <c r="BQ835" s="17"/>
      <c r="BR835" s="17"/>
      <c r="BS835" s="17" t="s">
        <v>127</v>
      </c>
      <c r="BT835" s="17" t="s">
        <v>8911</v>
      </c>
      <c r="BU835" s="17" t="s">
        <v>129</v>
      </c>
      <c r="BV835" s="17"/>
      <c r="BW835" s="17"/>
      <c r="BX835" s="13" t="s">
        <v>8912</v>
      </c>
      <c r="DA835" s="13" t="s">
        <v>10348</v>
      </c>
      <c r="DB835" s="13" t="s">
        <v>10348</v>
      </c>
    </row>
    <row r="836" spans="1:106" s="13" customFormat="1" ht="12.75" customHeight="1" x14ac:dyDescent="0.2">
      <c r="A836" s="13" t="s">
        <v>102</v>
      </c>
      <c r="B836" s="13" t="s">
        <v>103</v>
      </c>
      <c r="D836" s="13" t="s">
        <v>5212</v>
      </c>
      <c r="E836" s="13" t="s">
        <v>228</v>
      </c>
      <c r="F836" s="13" t="s">
        <v>5212</v>
      </c>
      <c r="G836" s="13" t="s">
        <v>229</v>
      </c>
      <c r="H836" s="13" t="s">
        <v>820</v>
      </c>
      <c r="J836" s="13" t="s">
        <v>106</v>
      </c>
      <c r="W836" s="13">
        <v>835</v>
      </c>
      <c r="X836" s="13">
        <v>835</v>
      </c>
      <c r="Y836" s="13" t="s">
        <v>107</v>
      </c>
      <c r="Z836" s="13" t="s">
        <v>108</v>
      </c>
      <c r="AA836" s="13" t="s">
        <v>107</v>
      </c>
      <c r="AB836" s="13" t="s">
        <v>8913</v>
      </c>
      <c r="AC836" s="13" t="s">
        <v>8913</v>
      </c>
      <c r="AD836" s="13" t="s">
        <v>8914</v>
      </c>
      <c r="AE836" s="13" t="s">
        <v>112</v>
      </c>
      <c r="AF836" s="13" t="s">
        <v>8914</v>
      </c>
      <c r="AG836" s="13" t="s">
        <v>8913</v>
      </c>
      <c r="AH836" s="13" t="s">
        <v>8915</v>
      </c>
      <c r="AL836" s="13" t="s">
        <v>8916</v>
      </c>
      <c r="AN836" s="13">
        <v>329</v>
      </c>
      <c r="AO836" s="13" t="s">
        <v>8917</v>
      </c>
      <c r="AQ836" s="13" t="s">
        <v>8914</v>
      </c>
      <c r="AR836" s="13" t="s">
        <v>8914</v>
      </c>
      <c r="AS836" s="13" t="s">
        <v>116</v>
      </c>
      <c r="AT836" s="13" t="s">
        <v>8904</v>
      </c>
      <c r="AU836" s="13" t="s">
        <v>8904</v>
      </c>
      <c r="AV836" s="13" t="s">
        <v>1677</v>
      </c>
      <c r="AY836" s="13" t="s">
        <v>8918</v>
      </c>
      <c r="AZ836" s="13" t="s">
        <v>8919</v>
      </c>
      <c r="BA836" s="13" t="s">
        <v>8919</v>
      </c>
      <c r="BB836" s="13" t="s">
        <v>8920</v>
      </c>
      <c r="BC836" s="13" t="s">
        <v>8921</v>
      </c>
      <c r="BD836" s="13">
        <f>LEN(SUBSTITUTE(BC836, ", "," "))</f>
        <v>55</v>
      </c>
      <c r="BE836" s="17" t="s">
        <v>8922</v>
      </c>
      <c r="BF836" s="17"/>
      <c r="BG836" s="17"/>
      <c r="BH836" s="17"/>
      <c r="BI836" s="17"/>
      <c r="BJ836" s="17" t="s">
        <v>8909</v>
      </c>
      <c r="BK836" s="17" t="s">
        <v>8923</v>
      </c>
      <c r="BL836" s="17"/>
      <c r="BM836" s="17"/>
      <c r="BN836" s="17" t="s">
        <v>8924</v>
      </c>
      <c r="BO836" s="17" t="s">
        <v>8925</v>
      </c>
      <c r="BP836" s="17"/>
      <c r="BQ836" s="17"/>
      <c r="BR836" s="17"/>
      <c r="BS836" s="17" t="s">
        <v>127</v>
      </c>
      <c r="BT836" s="17" t="s">
        <v>8911</v>
      </c>
      <c r="BU836" s="17" t="s">
        <v>129</v>
      </c>
      <c r="BV836" s="17"/>
      <c r="BW836" s="17"/>
      <c r="BX836" s="25" t="s">
        <v>8926</v>
      </c>
      <c r="BY836" s="13" t="s">
        <v>8927</v>
      </c>
      <c r="DA836" s="13" t="s">
        <v>10348</v>
      </c>
      <c r="DB836" s="13" t="s">
        <v>10348</v>
      </c>
    </row>
    <row r="837" spans="1:106" s="13" customFormat="1" ht="12.75" customHeight="1" x14ac:dyDescent="0.2">
      <c r="A837" s="13" t="s">
        <v>102</v>
      </c>
      <c r="B837" s="13" t="s">
        <v>103</v>
      </c>
      <c r="D837" s="13" t="s">
        <v>5212</v>
      </c>
      <c r="E837" s="13" t="s">
        <v>228</v>
      </c>
      <c r="F837" s="13" t="s">
        <v>5212</v>
      </c>
      <c r="G837" s="13" t="s">
        <v>229</v>
      </c>
      <c r="H837" s="13" t="s">
        <v>820</v>
      </c>
      <c r="J837" s="13" t="s">
        <v>106</v>
      </c>
      <c r="W837" s="13">
        <v>836</v>
      </c>
      <c r="X837" s="13">
        <v>836</v>
      </c>
      <c r="Y837" s="13" t="s">
        <v>107</v>
      </c>
      <c r="Z837" s="13" t="s">
        <v>108</v>
      </c>
      <c r="AA837" s="13" t="s">
        <v>107</v>
      </c>
      <c r="AB837" s="13" t="s">
        <v>8928</v>
      </c>
      <c r="AC837" s="13" t="s">
        <v>8928</v>
      </c>
      <c r="AD837" s="13" t="s">
        <v>8929</v>
      </c>
      <c r="AE837" s="13" t="s">
        <v>112</v>
      </c>
      <c r="AF837" s="13" t="s">
        <v>8929</v>
      </c>
      <c r="AG837" s="13" t="s">
        <v>8928</v>
      </c>
      <c r="AH837" s="13" t="s">
        <v>8930</v>
      </c>
      <c r="AL837" s="13" t="s">
        <v>8931</v>
      </c>
      <c r="AN837" s="13">
        <v>329</v>
      </c>
      <c r="AO837" s="13" t="s">
        <v>8932</v>
      </c>
      <c r="AQ837" s="13" t="s">
        <v>8929</v>
      </c>
      <c r="AR837" s="13" t="s">
        <v>8929</v>
      </c>
      <c r="AS837" s="13" t="s">
        <v>116</v>
      </c>
      <c r="AT837" s="13" t="s">
        <v>8904</v>
      </c>
      <c r="AU837" s="13" t="s">
        <v>8904</v>
      </c>
      <c r="AV837" s="13" t="s">
        <v>1677</v>
      </c>
      <c r="AY837" s="13" t="s">
        <v>8933</v>
      </c>
      <c r="AZ837" s="13" t="s">
        <v>8934</v>
      </c>
      <c r="BA837" s="13" t="s">
        <v>8934</v>
      </c>
      <c r="BB837" s="13" t="s">
        <v>8935</v>
      </c>
      <c r="BC837" s="13" t="s">
        <v>8936</v>
      </c>
      <c r="BD837" s="13">
        <f>LEN(SUBSTITUTE(BC837, ", "," "))</f>
        <v>59</v>
      </c>
      <c r="BE837" s="17" t="s">
        <v>8922</v>
      </c>
      <c r="BF837" s="17"/>
      <c r="BG837" s="17"/>
      <c r="BH837" s="17"/>
      <c r="BI837" s="17"/>
      <c r="BJ837" s="17" t="s">
        <v>8937</v>
      </c>
      <c r="BK837" s="17" t="s">
        <v>2756</v>
      </c>
      <c r="BL837" s="17"/>
      <c r="BM837" s="17"/>
      <c r="BN837" s="17" t="s">
        <v>8924</v>
      </c>
      <c r="BO837" s="17" t="s">
        <v>8938</v>
      </c>
      <c r="BP837" s="17"/>
      <c r="BQ837" s="17"/>
      <c r="BR837" s="17"/>
      <c r="BS837" s="17" t="s">
        <v>127</v>
      </c>
      <c r="BT837" s="17" t="s">
        <v>8911</v>
      </c>
      <c r="BU837" s="17" t="s">
        <v>129</v>
      </c>
      <c r="BV837" s="17"/>
      <c r="BW837" s="17"/>
      <c r="BX837" s="25" t="s">
        <v>8939</v>
      </c>
      <c r="BY837" s="13" t="s">
        <v>8927</v>
      </c>
      <c r="DA837" s="13" t="s">
        <v>10348</v>
      </c>
      <c r="DB837" s="13" t="s">
        <v>10348</v>
      </c>
    </row>
    <row r="838" spans="1:106" s="13" customFormat="1" ht="12.75" customHeight="1" x14ac:dyDescent="0.2">
      <c r="A838" s="13" t="s">
        <v>102</v>
      </c>
      <c r="B838" s="13" t="s">
        <v>103</v>
      </c>
      <c r="D838" s="13" t="s">
        <v>4273</v>
      </c>
      <c r="E838" s="13" t="s">
        <v>471</v>
      </c>
      <c r="F838" s="13" t="s">
        <v>4273</v>
      </c>
      <c r="H838" s="13" t="s">
        <v>820</v>
      </c>
      <c r="J838" s="13" t="s">
        <v>106</v>
      </c>
      <c r="W838" s="13">
        <v>837</v>
      </c>
      <c r="X838" s="13">
        <v>837</v>
      </c>
      <c r="Y838" s="13" t="s">
        <v>107</v>
      </c>
      <c r="Z838" s="13" t="s">
        <v>108</v>
      </c>
      <c r="AA838" s="13" t="s">
        <v>107</v>
      </c>
      <c r="AB838" s="13" t="s">
        <v>8940</v>
      </c>
      <c r="AC838" s="13" t="s">
        <v>8940</v>
      </c>
      <c r="AD838" s="13" t="s">
        <v>8941</v>
      </c>
      <c r="AE838" s="13" t="s">
        <v>112</v>
      </c>
      <c r="AF838" s="13" t="s">
        <v>8941</v>
      </c>
      <c r="AG838" s="32" t="s">
        <v>8940</v>
      </c>
      <c r="AH838" s="13" t="s">
        <v>8942</v>
      </c>
      <c r="AL838" s="13" t="s">
        <v>8943</v>
      </c>
      <c r="AN838" s="13">
        <v>329</v>
      </c>
      <c r="AO838" s="13" t="s">
        <v>8944</v>
      </c>
      <c r="AQ838" s="13" t="s">
        <v>8941</v>
      </c>
      <c r="AR838" s="13" t="s">
        <v>8941</v>
      </c>
      <c r="AS838" s="13" t="s">
        <v>116</v>
      </c>
      <c r="AT838" s="13" t="s">
        <v>8945</v>
      </c>
      <c r="AU838" s="13" t="s">
        <v>8946</v>
      </c>
      <c r="AV838" s="13" t="s">
        <v>2204</v>
      </c>
      <c r="AY838" s="17" t="s">
        <v>8947</v>
      </c>
      <c r="AZ838" s="13" t="s">
        <v>8641</v>
      </c>
      <c r="BA838" s="13" t="s">
        <v>8641</v>
      </c>
      <c r="BB838" s="13" t="s">
        <v>8642</v>
      </c>
      <c r="BC838" s="13" t="s">
        <v>8642</v>
      </c>
      <c r="BD838" s="13">
        <f>LEN(SUBSTITUTE(BC838, ", "," "))</f>
        <v>39</v>
      </c>
      <c r="BE838" s="17" t="s">
        <v>1697</v>
      </c>
      <c r="BF838" s="17" t="s">
        <v>951</v>
      </c>
      <c r="BG838" s="17"/>
      <c r="BH838" s="17"/>
      <c r="BI838" s="17"/>
      <c r="BJ838" s="17" t="s">
        <v>7138</v>
      </c>
      <c r="BK838" s="17"/>
      <c r="BL838" s="17"/>
      <c r="BM838" s="17"/>
      <c r="BN838" s="17"/>
      <c r="BO838" s="17"/>
      <c r="BP838" s="17"/>
      <c r="BQ838" s="17"/>
      <c r="BR838" s="17"/>
      <c r="BS838" s="17" t="s">
        <v>127</v>
      </c>
      <c r="BT838" s="17" t="s">
        <v>8623</v>
      </c>
      <c r="BU838" s="17" t="s">
        <v>129</v>
      </c>
      <c r="BV838" s="17"/>
      <c r="BW838" s="17"/>
      <c r="BX838" s="13" t="s">
        <v>8948</v>
      </c>
      <c r="DA838" s="13" t="s">
        <v>10348</v>
      </c>
      <c r="DB838" s="13" t="s">
        <v>10348</v>
      </c>
    </row>
    <row r="839" spans="1:106" s="13" customFormat="1" ht="12.75" customHeight="1" x14ac:dyDescent="0.2">
      <c r="A839" s="13" t="s">
        <v>102</v>
      </c>
      <c r="B839" s="13" t="s">
        <v>103</v>
      </c>
      <c r="D839" s="13" t="s">
        <v>4273</v>
      </c>
      <c r="E839" s="13" t="s">
        <v>471</v>
      </c>
      <c r="F839" s="13" t="s">
        <v>4273</v>
      </c>
      <c r="H839" s="13" t="s">
        <v>820</v>
      </c>
      <c r="J839" s="13" t="s">
        <v>106</v>
      </c>
      <c r="W839" s="13">
        <v>838</v>
      </c>
      <c r="X839" s="13">
        <v>838</v>
      </c>
      <c r="Y839" s="13" t="s">
        <v>107</v>
      </c>
      <c r="Z839" s="13" t="s">
        <v>108</v>
      </c>
      <c r="AA839" s="13" t="s">
        <v>107</v>
      </c>
      <c r="AB839" s="13" t="s">
        <v>8949</v>
      </c>
      <c r="AC839" s="13" t="s">
        <v>8949</v>
      </c>
      <c r="AD839" s="13" t="s">
        <v>8950</v>
      </c>
      <c r="AE839" s="13" t="s">
        <v>112</v>
      </c>
      <c r="AF839" s="13" t="s">
        <v>8950</v>
      </c>
      <c r="AG839" s="32" t="s">
        <v>8949</v>
      </c>
      <c r="AH839" s="13" t="s">
        <v>8951</v>
      </c>
      <c r="AL839" s="13" t="s">
        <v>8952</v>
      </c>
      <c r="AN839" s="13">
        <v>329</v>
      </c>
      <c r="AO839" s="13" t="s">
        <v>8953</v>
      </c>
      <c r="AQ839" s="13" t="s">
        <v>8950</v>
      </c>
      <c r="AR839" s="13" t="s">
        <v>8950</v>
      </c>
      <c r="AS839" s="13" t="s">
        <v>116</v>
      </c>
      <c r="AT839" s="13" t="s">
        <v>8954</v>
      </c>
      <c r="AU839" s="13" t="s">
        <v>8946</v>
      </c>
      <c r="AV839" s="13" t="s">
        <v>2204</v>
      </c>
      <c r="AY839" s="17" t="s">
        <v>8955</v>
      </c>
      <c r="AZ839" s="13" t="s">
        <v>8650</v>
      </c>
      <c r="BA839" s="13" t="s">
        <v>8650</v>
      </c>
      <c r="BB839" s="13" t="s">
        <v>8651</v>
      </c>
      <c r="BC839" s="13" t="s">
        <v>8651</v>
      </c>
      <c r="BD839" s="13">
        <f>LEN(SUBSTITUTE(BC839, ", "," "))</f>
        <v>39</v>
      </c>
      <c r="BE839" s="17" t="s">
        <v>1697</v>
      </c>
      <c r="BF839" s="17" t="s">
        <v>951</v>
      </c>
      <c r="BG839" s="17"/>
      <c r="BH839" s="17"/>
      <c r="BI839" s="17"/>
      <c r="BJ839" s="17" t="s">
        <v>5942</v>
      </c>
      <c r="BK839" s="17"/>
      <c r="BL839" s="17"/>
      <c r="BM839" s="17"/>
      <c r="BN839" s="17"/>
      <c r="BO839" s="17"/>
      <c r="BP839" s="17"/>
      <c r="BQ839" s="17"/>
      <c r="BR839" s="17"/>
      <c r="BS839" s="17" t="s">
        <v>127</v>
      </c>
      <c r="BT839" s="17" t="s">
        <v>8623</v>
      </c>
      <c r="BU839" s="17" t="s">
        <v>129</v>
      </c>
      <c r="BV839" s="17"/>
      <c r="BW839" s="17"/>
      <c r="BX839" s="13" t="s">
        <v>8956</v>
      </c>
      <c r="DA839" s="13" t="s">
        <v>10348</v>
      </c>
      <c r="DB839" s="13" t="s">
        <v>10348</v>
      </c>
    </row>
    <row r="840" spans="1:106" s="13" customFormat="1" ht="12.75" customHeight="1" x14ac:dyDescent="0.2">
      <c r="A840" s="13" t="s">
        <v>102</v>
      </c>
      <c r="B840" s="13" t="s">
        <v>103</v>
      </c>
      <c r="D840" s="13" t="s">
        <v>8957</v>
      </c>
      <c r="E840" s="13" t="s">
        <v>8958</v>
      </c>
      <c r="F840" s="13" t="s">
        <v>8957</v>
      </c>
      <c r="G840" s="13" t="s">
        <v>105</v>
      </c>
      <c r="H840" s="13" t="s">
        <v>820</v>
      </c>
      <c r="J840" s="13" t="s">
        <v>106</v>
      </c>
      <c r="W840" s="13">
        <v>851</v>
      </c>
      <c r="X840" s="13">
        <v>851</v>
      </c>
      <c r="Y840" s="13" t="s">
        <v>8959</v>
      </c>
      <c r="Z840" s="13" t="s">
        <v>8960</v>
      </c>
      <c r="AA840" s="13" t="s">
        <v>8961</v>
      </c>
      <c r="AB840" s="13" t="s">
        <v>9114</v>
      </c>
      <c r="AC840" s="13" t="s">
        <v>9114</v>
      </c>
      <c r="AD840" s="13" t="s">
        <v>9114</v>
      </c>
      <c r="AE840" s="13" t="s">
        <v>8964</v>
      </c>
      <c r="AF840" s="13" t="s">
        <v>9114</v>
      </c>
      <c r="AG840" s="13" t="s">
        <v>9114</v>
      </c>
      <c r="AH840" s="13" t="s">
        <v>9115</v>
      </c>
      <c r="AL840" s="13" t="s">
        <v>9116</v>
      </c>
      <c r="AN840" s="13">
        <v>3406</v>
      </c>
      <c r="AO840" s="13" t="s">
        <v>9117</v>
      </c>
      <c r="AQ840" s="13" t="s">
        <v>9114</v>
      </c>
      <c r="AR840" s="13" t="s">
        <v>9114</v>
      </c>
      <c r="AS840" s="13" t="s">
        <v>8968</v>
      </c>
      <c r="AT840" s="13" t="s">
        <v>9118</v>
      </c>
      <c r="AU840" s="13" t="s">
        <v>9119</v>
      </c>
      <c r="AV840" s="13" t="s">
        <v>9120</v>
      </c>
      <c r="AY840" s="13" t="s">
        <v>9121</v>
      </c>
      <c r="AZ840" s="13" t="s">
        <v>9122</v>
      </c>
      <c r="BA840" s="13" t="s">
        <v>9122</v>
      </c>
      <c r="BB840" s="17" t="s">
        <v>9123</v>
      </c>
      <c r="BC840" s="17" t="s">
        <v>9123</v>
      </c>
      <c r="BD840" s="13">
        <f t="shared" ref="BD840:BD848" si="30">LEN(SUBSTITUTE(BC840,", "," "))</f>
        <v>29</v>
      </c>
      <c r="BE840" s="17" t="s">
        <v>9124</v>
      </c>
      <c r="BF840" s="17" t="s">
        <v>9125</v>
      </c>
      <c r="BG840" s="17" t="s">
        <v>9126</v>
      </c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 t="s">
        <v>6939</v>
      </c>
      <c r="BT840" s="17" t="s">
        <v>9127</v>
      </c>
      <c r="BU840" s="17" t="s">
        <v>129</v>
      </c>
      <c r="BV840" s="17"/>
      <c r="BW840" s="17"/>
      <c r="BX840" s="13" t="s">
        <v>9128</v>
      </c>
      <c r="BY840" s="13" t="s">
        <v>8981</v>
      </c>
      <c r="DA840" s="13" t="s">
        <v>10348</v>
      </c>
      <c r="DB840" s="13" t="s">
        <v>10348</v>
      </c>
    </row>
    <row r="841" spans="1:106" s="13" customFormat="1" ht="12.75" customHeight="1" x14ac:dyDescent="0.2">
      <c r="A841" s="13" t="s">
        <v>102</v>
      </c>
      <c r="B841" s="13" t="s">
        <v>103</v>
      </c>
      <c r="D841" s="13" t="s">
        <v>8957</v>
      </c>
      <c r="E841" s="13" t="s">
        <v>8958</v>
      </c>
      <c r="F841" s="13" t="s">
        <v>8957</v>
      </c>
      <c r="G841" s="13" t="s">
        <v>105</v>
      </c>
      <c r="H841" s="13" t="s">
        <v>820</v>
      </c>
      <c r="J841" s="13" t="s">
        <v>106</v>
      </c>
      <c r="W841" s="13">
        <v>852</v>
      </c>
      <c r="X841" s="13">
        <v>852</v>
      </c>
      <c r="Y841" s="13" t="s">
        <v>8959</v>
      </c>
      <c r="Z841" s="13" t="s">
        <v>8960</v>
      </c>
      <c r="AA841" s="13" t="s">
        <v>8961</v>
      </c>
      <c r="AB841" s="13" t="s">
        <v>9129</v>
      </c>
      <c r="AC841" s="13" t="s">
        <v>9129</v>
      </c>
      <c r="AD841" s="13" t="s">
        <v>9129</v>
      </c>
      <c r="AE841" s="13" t="s">
        <v>8964</v>
      </c>
      <c r="AF841" s="13" t="s">
        <v>9129</v>
      </c>
      <c r="AG841" s="13" t="s">
        <v>9129</v>
      </c>
      <c r="AH841" s="13" t="s">
        <v>9130</v>
      </c>
      <c r="AL841" s="13" t="s">
        <v>9131</v>
      </c>
      <c r="AN841" s="13">
        <v>3406</v>
      </c>
      <c r="AO841" s="13" t="s">
        <v>9132</v>
      </c>
      <c r="AQ841" s="13" t="s">
        <v>9129</v>
      </c>
      <c r="AR841" s="13" t="s">
        <v>9129</v>
      </c>
      <c r="AS841" s="13" t="s">
        <v>9133</v>
      </c>
      <c r="AU841" s="13" t="s">
        <v>9134</v>
      </c>
      <c r="AV841" s="13" t="s">
        <v>9135</v>
      </c>
      <c r="AY841" s="13" t="s">
        <v>9136</v>
      </c>
      <c r="AZ841" s="13" t="s">
        <v>9137</v>
      </c>
      <c r="BA841" s="13" t="s">
        <v>9137</v>
      </c>
      <c r="BB841" s="17" t="s">
        <v>9138</v>
      </c>
      <c r="BC841" s="17" t="s">
        <v>9138</v>
      </c>
      <c r="BD841" s="13">
        <f t="shared" si="30"/>
        <v>43</v>
      </c>
      <c r="BE841" s="17" t="s">
        <v>7570</v>
      </c>
      <c r="BF841" s="17" t="s">
        <v>2719</v>
      </c>
      <c r="BG841" s="17" t="s">
        <v>5079</v>
      </c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 t="s">
        <v>6939</v>
      </c>
      <c r="BT841" s="17" t="s">
        <v>9127</v>
      </c>
      <c r="BU841" s="17" t="s">
        <v>129</v>
      </c>
      <c r="BV841" s="17"/>
      <c r="BW841" s="17"/>
      <c r="BX841" s="13" t="s">
        <v>9139</v>
      </c>
      <c r="BY841" s="13" t="s">
        <v>8981</v>
      </c>
      <c r="DA841" s="13" t="s">
        <v>10348</v>
      </c>
      <c r="DB841" s="13" t="s">
        <v>10348</v>
      </c>
    </row>
    <row r="842" spans="1:106" s="13" customFormat="1" ht="12.75" customHeight="1" x14ac:dyDescent="0.2">
      <c r="A842" s="13" t="s">
        <v>102</v>
      </c>
      <c r="B842" s="13" t="s">
        <v>103</v>
      </c>
      <c r="D842" s="13" t="s">
        <v>8957</v>
      </c>
      <c r="E842" s="13" t="s">
        <v>8958</v>
      </c>
      <c r="F842" s="13" t="s">
        <v>8957</v>
      </c>
      <c r="G842" s="13" t="s">
        <v>105</v>
      </c>
      <c r="H842" s="13" t="s">
        <v>820</v>
      </c>
      <c r="J842" s="13" t="s">
        <v>106</v>
      </c>
      <c r="W842" s="13">
        <v>853</v>
      </c>
      <c r="X842" s="13">
        <v>853</v>
      </c>
      <c r="Y842" s="13" t="s">
        <v>8959</v>
      </c>
      <c r="Z842" s="13" t="s">
        <v>8960</v>
      </c>
      <c r="AA842" s="13" t="s">
        <v>8961</v>
      </c>
      <c r="AB842" s="13" t="s">
        <v>9140</v>
      </c>
      <c r="AC842" s="13" t="s">
        <v>9140</v>
      </c>
      <c r="AD842" s="13" t="s">
        <v>9140</v>
      </c>
      <c r="AE842" s="13" t="s">
        <v>8964</v>
      </c>
      <c r="AF842" s="13" t="s">
        <v>9140</v>
      </c>
      <c r="AG842" s="13" t="s">
        <v>9140</v>
      </c>
      <c r="AH842" s="13" t="s">
        <v>9141</v>
      </c>
      <c r="AL842" s="13" t="s">
        <v>9142</v>
      </c>
      <c r="AN842" s="13">
        <v>3406</v>
      </c>
      <c r="AO842" s="13" t="s">
        <v>9143</v>
      </c>
      <c r="AQ842" s="13" t="s">
        <v>9140</v>
      </c>
      <c r="AR842" s="13" t="s">
        <v>9140</v>
      </c>
      <c r="AS842" s="13" t="s">
        <v>8968</v>
      </c>
      <c r="AT842" s="13" t="s">
        <v>9144</v>
      </c>
      <c r="AU842" s="13" t="s">
        <v>9119</v>
      </c>
      <c r="AV842" s="13" t="s">
        <v>2715</v>
      </c>
      <c r="AY842" s="13" t="s">
        <v>9145</v>
      </c>
      <c r="AZ842" s="13" t="s">
        <v>9146</v>
      </c>
      <c r="BA842" s="13" t="s">
        <v>9146</v>
      </c>
      <c r="BB842" s="17" t="s">
        <v>9147</v>
      </c>
      <c r="BC842" s="17" t="s">
        <v>9147</v>
      </c>
      <c r="BD842" s="13">
        <f t="shared" si="30"/>
        <v>39</v>
      </c>
      <c r="BE842" s="17" t="s">
        <v>2719</v>
      </c>
      <c r="BF842" s="17" t="s">
        <v>950</v>
      </c>
      <c r="BG842" s="17" t="s">
        <v>9148</v>
      </c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 t="s">
        <v>6939</v>
      </c>
      <c r="BT842" s="17" t="s">
        <v>9127</v>
      </c>
      <c r="BU842" s="17" t="s">
        <v>129</v>
      </c>
      <c r="BV842" s="17"/>
      <c r="BW842" s="17"/>
      <c r="BX842" s="13" t="s">
        <v>9149</v>
      </c>
      <c r="BY842" s="13" t="s">
        <v>8981</v>
      </c>
      <c r="DA842" s="13" t="s">
        <v>10348</v>
      </c>
      <c r="DB842" s="13" t="s">
        <v>10348</v>
      </c>
    </row>
    <row r="843" spans="1:106" s="13" customFormat="1" ht="12.75" customHeight="1" x14ac:dyDescent="0.2">
      <c r="A843" s="13" t="s">
        <v>102</v>
      </c>
      <c r="B843" s="13" t="s">
        <v>103</v>
      </c>
      <c r="D843" s="13" t="s">
        <v>8957</v>
      </c>
      <c r="E843" s="13" t="s">
        <v>8958</v>
      </c>
      <c r="F843" s="13" t="s">
        <v>8957</v>
      </c>
      <c r="G843" s="13" t="s">
        <v>105</v>
      </c>
      <c r="H843" s="13" t="s">
        <v>820</v>
      </c>
      <c r="J843" s="13" t="s">
        <v>106</v>
      </c>
      <c r="W843" s="13">
        <v>854</v>
      </c>
      <c r="X843" s="13">
        <v>854</v>
      </c>
      <c r="Y843" s="13" t="s">
        <v>8959</v>
      </c>
      <c r="Z843" s="13" t="s">
        <v>8960</v>
      </c>
      <c r="AA843" s="13" t="s">
        <v>8961</v>
      </c>
      <c r="AB843" s="13" t="s">
        <v>9150</v>
      </c>
      <c r="AC843" s="13" t="s">
        <v>9150</v>
      </c>
      <c r="AD843" s="13" t="s">
        <v>9150</v>
      </c>
      <c r="AE843" s="13" t="s">
        <v>8964</v>
      </c>
      <c r="AF843" s="13" t="s">
        <v>9150</v>
      </c>
      <c r="AG843" s="13" t="s">
        <v>9150</v>
      </c>
      <c r="AH843" s="13" t="s">
        <v>9151</v>
      </c>
      <c r="AL843" s="13" t="s">
        <v>9152</v>
      </c>
      <c r="AN843" s="13">
        <v>3406</v>
      </c>
      <c r="AO843" s="13" t="s">
        <v>9153</v>
      </c>
      <c r="AQ843" s="13" t="s">
        <v>9150</v>
      </c>
      <c r="AR843" s="13" t="s">
        <v>9150</v>
      </c>
      <c r="AS843" s="13" t="s">
        <v>8968</v>
      </c>
      <c r="AT843" s="13" t="s">
        <v>9154</v>
      </c>
      <c r="AU843" s="13" t="s">
        <v>9119</v>
      </c>
      <c r="AV843" s="13" t="s">
        <v>2715</v>
      </c>
      <c r="AY843" s="13" t="s">
        <v>9155</v>
      </c>
      <c r="AZ843" s="13" t="s">
        <v>9156</v>
      </c>
      <c r="BA843" s="13" t="s">
        <v>9156</v>
      </c>
      <c r="BB843" s="17" t="s">
        <v>9157</v>
      </c>
      <c r="BC843" s="17" t="s">
        <v>9157</v>
      </c>
      <c r="BD843" s="13">
        <f t="shared" si="30"/>
        <v>43</v>
      </c>
      <c r="BE843" s="17" t="s">
        <v>2719</v>
      </c>
      <c r="BF843" s="17" t="s">
        <v>950</v>
      </c>
      <c r="BG843" s="17" t="s">
        <v>9158</v>
      </c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 t="s">
        <v>6939</v>
      </c>
      <c r="BT843" s="17" t="s">
        <v>9127</v>
      </c>
      <c r="BU843" s="17" t="s">
        <v>129</v>
      </c>
      <c r="BV843" s="17"/>
      <c r="BW843" s="17"/>
      <c r="BX843" s="13" t="s">
        <v>9159</v>
      </c>
      <c r="BY843" s="13" t="s">
        <v>8981</v>
      </c>
      <c r="DA843" s="13" t="s">
        <v>10348</v>
      </c>
      <c r="DB843" s="13" t="s">
        <v>10348</v>
      </c>
    </row>
    <row r="844" spans="1:106" s="13" customFormat="1" ht="12.75" customHeight="1" x14ac:dyDescent="0.2">
      <c r="A844" s="13" t="s">
        <v>102</v>
      </c>
      <c r="B844" s="13" t="s">
        <v>103</v>
      </c>
      <c r="D844" s="13" t="s">
        <v>8957</v>
      </c>
      <c r="E844" s="13" t="s">
        <v>8958</v>
      </c>
      <c r="F844" s="13" t="s">
        <v>8957</v>
      </c>
      <c r="G844" s="13" t="s">
        <v>105</v>
      </c>
      <c r="H844" s="13" t="s">
        <v>820</v>
      </c>
      <c r="J844" s="13" t="s">
        <v>106</v>
      </c>
      <c r="W844" s="13">
        <v>855</v>
      </c>
      <c r="X844" s="13">
        <v>855</v>
      </c>
      <c r="Y844" s="13" t="s">
        <v>8959</v>
      </c>
      <c r="Z844" s="13" t="s">
        <v>8960</v>
      </c>
      <c r="AA844" s="13" t="s">
        <v>8961</v>
      </c>
      <c r="AB844" s="13" t="s">
        <v>9160</v>
      </c>
      <c r="AC844" s="13" t="s">
        <v>9160</v>
      </c>
      <c r="AD844" s="13" t="s">
        <v>9160</v>
      </c>
      <c r="AE844" s="13" t="s">
        <v>8964</v>
      </c>
      <c r="AF844" s="13" t="s">
        <v>9160</v>
      </c>
      <c r="AG844" s="13" t="s">
        <v>9160</v>
      </c>
      <c r="AH844" s="13" t="s">
        <v>9161</v>
      </c>
      <c r="AL844" s="13" t="s">
        <v>9162</v>
      </c>
      <c r="AN844" s="13">
        <v>3406</v>
      </c>
      <c r="AO844" s="13" t="s">
        <v>9163</v>
      </c>
      <c r="AQ844" s="13" t="s">
        <v>9160</v>
      </c>
      <c r="AR844" s="13" t="s">
        <v>9160</v>
      </c>
      <c r="AS844" s="13" t="s">
        <v>8968</v>
      </c>
      <c r="AT844" s="13" t="s">
        <v>9164</v>
      </c>
      <c r="AU844" s="13" t="s">
        <v>9119</v>
      </c>
      <c r="AV844" s="13" t="s">
        <v>2715</v>
      </c>
      <c r="AY844" s="13" t="s">
        <v>9165</v>
      </c>
      <c r="AZ844" s="13" t="s">
        <v>9166</v>
      </c>
      <c r="BA844" s="13" t="s">
        <v>9166</v>
      </c>
      <c r="BB844" s="17" t="s">
        <v>9167</v>
      </c>
      <c r="BC844" s="17" t="s">
        <v>9167</v>
      </c>
      <c r="BD844" s="13">
        <f t="shared" si="30"/>
        <v>40</v>
      </c>
      <c r="BE844" s="17" t="s">
        <v>2719</v>
      </c>
      <c r="BF844" s="17" t="s">
        <v>950</v>
      </c>
      <c r="BG844" s="17" t="s">
        <v>9168</v>
      </c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 t="s">
        <v>6939</v>
      </c>
      <c r="BT844" s="17" t="s">
        <v>9127</v>
      </c>
      <c r="BU844" s="17" t="s">
        <v>129</v>
      </c>
      <c r="BV844" s="17"/>
      <c r="BW844" s="17"/>
      <c r="BX844" s="13" t="s">
        <v>9169</v>
      </c>
      <c r="BY844" s="13" t="s">
        <v>8981</v>
      </c>
      <c r="DA844" s="13" t="s">
        <v>10348</v>
      </c>
      <c r="DB844" s="13" t="s">
        <v>10348</v>
      </c>
    </row>
    <row r="845" spans="1:106" s="13" customFormat="1" ht="12.75" customHeight="1" x14ac:dyDescent="0.2">
      <c r="A845" s="13" t="s">
        <v>102</v>
      </c>
      <c r="B845" s="13" t="s">
        <v>103</v>
      </c>
      <c r="D845" s="13" t="s">
        <v>8957</v>
      </c>
      <c r="E845" s="13" t="s">
        <v>8958</v>
      </c>
      <c r="F845" s="13" t="s">
        <v>8957</v>
      </c>
      <c r="G845" s="13" t="s">
        <v>105</v>
      </c>
      <c r="H845" s="13" t="s">
        <v>820</v>
      </c>
      <c r="J845" s="13" t="s">
        <v>106</v>
      </c>
      <c r="W845" s="13">
        <v>856</v>
      </c>
      <c r="X845" s="13">
        <v>856</v>
      </c>
      <c r="Y845" s="13" t="s">
        <v>8959</v>
      </c>
      <c r="Z845" s="13" t="s">
        <v>8960</v>
      </c>
      <c r="AA845" s="13" t="s">
        <v>8961</v>
      </c>
      <c r="AB845" s="13" t="s">
        <v>9170</v>
      </c>
      <c r="AC845" s="13" t="s">
        <v>9170</v>
      </c>
      <c r="AD845" s="13" t="s">
        <v>9170</v>
      </c>
      <c r="AE845" s="13" t="s">
        <v>8964</v>
      </c>
      <c r="AF845" s="13" t="s">
        <v>9170</v>
      </c>
      <c r="AG845" s="13" t="s">
        <v>9170</v>
      </c>
      <c r="AH845" s="13" t="s">
        <v>9171</v>
      </c>
      <c r="AL845" s="13" t="s">
        <v>9172</v>
      </c>
      <c r="AN845" s="13">
        <v>3406</v>
      </c>
      <c r="AO845" s="13" t="s">
        <v>9173</v>
      </c>
      <c r="AQ845" s="13" t="s">
        <v>9170</v>
      </c>
      <c r="AR845" s="13" t="s">
        <v>9170</v>
      </c>
      <c r="AS845" s="13" t="s">
        <v>8968</v>
      </c>
      <c r="AT845" s="13" t="s">
        <v>9174</v>
      </c>
      <c r="AU845" s="13" t="s">
        <v>9119</v>
      </c>
      <c r="AV845" s="13" t="s">
        <v>9175</v>
      </c>
      <c r="AY845" s="13" t="s">
        <v>9176</v>
      </c>
      <c r="AZ845" s="13" t="s">
        <v>9177</v>
      </c>
      <c r="BA845" s="13" t="s">
        <v>9177</v>
      </c>
      <c r="BB845" s="17" t="s">
        <v>9178</v>
      </c>
      <c r="BC845" s="17" t="s">
        <v>9178</v>
      </c>
      <c r="BD845" s="13">
        <f t="shared" si="30"/>
        <v>40</v>
      </c>
      <c r="BE845" s="17" t="s">
        <v>9179</v>
      </c>
      <c r="BF845" s="17" t="s">
        <v>950</v>
      </c>
      <c r="BG845" s="17" t="s">
        <v>9180</v>
      </c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 t="s">
        <v>127</v>
      </c>
      <c r="BT845" s="17" t="s">
        <v>9127</v>
      </c>
      <c r="BU845" s="17" t="s">
        <v>129</v>
      </c>
      <c r="BV845" s="17" t="s">
        <v>130</v>
      </c>
      <c r="BW845" s="17"/>
      <c r="BX845" s="13" t="s">
        <v>9181</v>
      </c>
      <c r="BY845" s="13" t="s">
        <v>8981</v>
      </c>
      <c r="DA845" s="13" t="s">
        <v>10348</v>
      </c>
      <c r="DB845" s="13" t="s">
        <v>10348</v>
      </c>
    </row>
    <row r="846" spans="1:106" s="13" customFormat="1" ht="12.75" customHeight="1" x14ac:dyDescent="0.2">
      <c r="A846" s="13" t="s">
        <v>102</v>
      </c>
      <c r="B846" s="13" t="s">
        <v>103</v>
      </c>
      <c r="D846" s="13" t="s">
        <v>8957</v>
      </c>
      <c r="E846" s="13" t="s">
        <v>8958</v>
      </c>
      <c r="F846" s="13" t="s">
        <v>8957</v>
      </c>
      <c r="G846" s="13" t="s">
        <v>105</v>
      </c>
      <c r="H846" s="13" t="s">
        <v>820</v>
      </c>
      <c r="J846" s="13" t="s">
        <v>106</v>
      </c>
      <c r="W846" s="13">
        <v>839</v>
      </c>
      <c r="X846" s="13">
        <v>839</v>
      </c>
      <c r="Y846" s="13" t="s">
        <v>8959</v>
      </c>
      <c r="Z846" s="13" t="s">
        <v>8960</v>
      </c>
      <c r="AA846" s="13" t="s">
        <v>8961</v>
      </c>
      <c r="AB846" s="13" t="s">
        <v>8962</v>
      </c>
      <c r="AC846" s="13" t="s">
        <v>8963</v>
      </c>
      <c r="AD846" s="13" t="s">
        <v>8962</v>
      </c>
      <c r="AE846" s="13" t="s">
        <v>8964</v>
      </c>
      <c r="AF846" s="13" t="s">
        <v>8962</v>
      </c>
      <c r="AG846" s="13" t="s">
        <v>8962</v>
      </c>
      <c r="AH846" s="13" t="s">
        <v>8965</v>
      </c>
      <c r="AL846" s="13" t="s">
        <v>8966</v>
      </c>
      <c r="AN846" s="13">
        <v>3406</v>
      </c>
      <c r="AO846" s="13" t="s">
        <v>8967</v>
      </c>
      <c r="AQ846" s="13" t="s">
        <v>8962</v>
      </c>
      <c r="AR846" s="13" t="s">
        <v>8962</v>
      </c>
      <c r="AS846" s="13" t="s">
        <v>8968</v>
      </c>
      <c r="AT846" s="13" t="s">
        <v>8969</v>
      </c>
      <c r="AU846" s="13" t="s">
        <v>8970</v>
      </c>
      <c r="AV846" s="13" t="s">
        <v>8971</v>
      </c>
      <c r="AY846" s="13" t="s">
        <v>8972</v>
      </c>
      <c r="AZ846" s="13" t="s">
        <v>8973</v>
      </c>
      <c r="BA846" s="13" t="s">
        <v>8973</v>
      </c>
      <c r="BB846" s="17" t="s">
        <v>8974</v>
      </c>
      <c r="BC846" s="17" t="s">
        <v>8975</v>
      </c>
      <c r="BD846" s="13">
        <f t="shared" si="30"/>
        <v>55</v>
      </c>
      <c r="BE846" s="17" t="s">
        <v>517</v>
      </c>
      <c r="BF846" s="17" t="s">
        <v>8976</v>
      </c>
      <c r="BG846" s="17" t="s">
        <v>8977</v>
      </c>
      <c r="BH846" s="17" t="s">
        <v>735</v>
      </c>
      <c r="BI846" s="17"/>
      <c r="BJ846" s="17"/>
      <c r="BK846" s="17"/>
      <c r="BL846" s="17"/>
      <c r="BM846" s="17"/>
      <c r="BN846" s="17"/>
      <c r="BO846" s="17" t="s">
        <v>8978</v>
      </c>
      <c r="BP846" s="17" t="s">
        <v>8979</v>
      </c>
      <c r="BQ846" s="17"/>
      <c r="BR846" s="17"/>
      <c r="BS846" s="17" t="s">
        <v>6939</v>
      </c>
      <c r="BT846" s="17"/>
      <c r="BU846" s="17" t="s">
        <v>129</v>
      </c>
      <c r="BV846" s="17"/>
      <c r="BW846" s="17"/>
      <c r="BX846" s="13" t="s">
        <v>8980</v>
      </c>
      <c r="BY846" s="13" t="s">
        <v>8981</v>
      </c>
      <c r="DA846" s="13" t="s">
        <v>10348</v>
      </c>
      <c r="DB846" s="13" t="s">
        <v>10348</v>
      </c>
    </row>
    <row r="847" spans="1:106" s="13" customFormat="1" ht="12.75" customHeight="1" x14ac:dyDescent="0.2">
      <c r="A847" s="13" t="s">
        <v>102</v>
      </c>
      <c r="B847" s="13" t="s">
        <v>103</v>
      </c>
      <c r="D847" s="13" t="s">
        <v>8957</v>
      </c>
      <c r="E847" s="13" t="s">
        <v>8958</v>
      </c>
      <c r="F847" s="13" t="s">
        <v>8957</v>
      </c>
      <c r="G847" s="13" t="s">
        <v>105</v>
      </c>
      <c r="H847" s="13" t="s">
        <v>820</v>
      </c>
      <c r="J847" s="13" t="s">
        <v>106</v>
      </c>
      <c r="W847" s="13">
        <v>840</v>
      </c>
      <c r="X847" s="13">
        <v>840</v>
      </c>
      <c r="Y847" s="13" t="s">
        <v>8959</v>
      </c>
      <c r="Z847" s="13" t="s">
        <v>8960</v>
      </c>
      <c r="AA847" s="13" t="s">
        <v>8961</v>
      </c>
      <c r="AB847" s="13" t="s">
        <v>8982</v>
      </c>
      <c r="AC847" s="13" t="s">
        <v>8983</v>
      </c>
      <c r="AD847" s="13" t="s">
        <v>8982</v>
      </c>
      <c r="AE847" s="13" t="s">
        <v>8964</v>
      </c>
      <c r="AF847" s="13" t="s">
        <v>8982</v>
      </c>
      <c r="AG847" s="13" t="s">
        <v>8982</v>
      </c>
      <c r="AH847" s="13" t="s">
        <v>8984</v>
      </c>
      <c r="AL847" s="13" t="s">
        <v>8985</v>
      </c>
      <c r="AN847" s="13">
        <v>3406</v>
      </c>
      <c r="AO847" s="13" t="s">
        <v>8986</v>
      </c>
      <c r="AQ847" s="13" t="s">
        <v>8982</v>
      </c>
      <c r="AR847" s="13" t="s">
        <v>8982</v>
      </c>
      <c r="AS847" s="13" t="s">
        <v>8968</v>
      </c>
      <c r="AT847" s="13" t="s">
        <v>8987</v>
      </c>
      <c r="AU847" s="13" t="s">
        <v>8970</v>
      </c>
      <c r="AV847" s="13" t="s">
        <v>8971</v>
      </c>
      <c r="AY847" s="13" t="s">
        <v>8988</v>
      </c>
      <c r="AZ847" s="13" t="s">
        <v>8989</v>
      </c>
      <c r="BA847" s="13" t="s">
        <v>8989</v>
      </c>
      <c r="BB847" s="17" t="s">
        <v>8990</v>
      </c>
      <c r="BC847" s="17" t="s">
        <v>8991</v>
      </c>
      <c r="BD847" s="13">
        <f t="shared" si="30"/>
        <v>57</v>
      </c>
      <c r="BE847" s="17" t="s">
        <v>517</v>
      </c>
      <c r="BF847" s="17" t="s">
        <v>8976</v>
      </c>
      <c r="BG847" s="17" t="s">
        <v>8977</v>
      </c>
      <c r="BH847" s="17" t="s">
        <v>8992</v>
      </c>
      <c r="BI847" s="17"/>
      <c r="BJ847" s="17"/>
      <c r="BK847" s="17"/>
      <c r="BL847" s="17"/>
      <c r="BM847" s="17"/>
      <c r="BN847" s="17"/>
      <c r="BO847" s="17" t="s">
        <v>8993</v>
      </c>
      <c r="BP847" s="17" t="s">
        <v>8979</v>
      </c>
      <c r="BQ847" s="17"/>
      <c r="BR847" s="17"/>
      <c r="BS847" s="17" t="s">
        <v>6939</v>
      </c>
      <c r="BT847" s="17"/>
      <c r="BU847" s="17" t="s">
        <v>129</v>
      </c>
      <c r="BV847" s="17"/>
      <c r="BW847" s="17"/>
      <c r="BX847" s="13" t="s">
        <v>8994</v>
      </c>
      <c r="BY847" s="13" t="s">
        <v>8981</v>
      </c>
      <c r="DA847" s="13" t="s">
        <v>10348</v>
      </c>
      <c r="DB847" s="13" t="s">
        <v>10348</v>
      </c>
    </row>
    <row r="848" spans="1:106" s="13" customFormat="1" ht="12.75" customHeight="1" x14ac:dyDescent="0.2">
      <c r="A848" s="13" t="s">
        <v>102</v>
      </c>
      <c r="B848" s="13" t="s">
        <v>103</v>
      </c>
      <c r="D848" s="13" t="s">
        <v>8957</v>
      </c>
      <c r="E848" s="13" t="s">
        <v>8958</v>
      </c>
      <c r="F848" s="13" t="s">
        <v>8957</v>
      </c>
      <c r="G848" s="13" t="s">
        <v>105</v>
      </c>
      <c r="H848" s="13" t="s">
        <v>820</v>
      </c>
      <c r="J848" s="13" t="s">
        <v>106</v>
      </c>
      <c r="W848" s="13">
        <v>841</v>
      </c>
      <c r="X848" s="13">
        <v>841</v>
      </c>
      <c r="Y848" s="13" t="s">
        <v>8959</v>
      </c>
      <c r="Z848" s="13" t="s">
        <v>8960</v>
      </c>
      <c r="AA848" s="13" t="s">
        <v>8961</v>
      </c>
      <c r="AB848" s="13" t="s">
        <v>8995</v>
      </c>
      <c r="AC848" s="13" t="s">
        <v>8996</v>
      </c>
      <c r="AD848" s="13" t="s">
        <v>8995</v>
      </c>
      <c r="AE848" s="13" t="s">
        <v>8964</v>
      </c>
      <c r="AF848" s="13" t="s">
        <v>8995</v>
      </c>
      <c r="AG848" s="13" t="s">
        <v>8995</v>
      </c>
      <c r="AH848" s="13" t="s">
        <v>8997</v>
      </c>
      <c r="AL848" s="13" t="s">
        <v>8998</v>
      </c>
      <c r="AN848" s="13">
        <v>3406</v>
      </c>
      <c r="AO848" s="13" t="s">
        <v>8999</v>
      </c>
      <c r="AQ848" s="13" t="s">
        <v>8995</v>
      </c>
      <c r="AR848" s="13" t="s">
        <v>8995</v>
      </c>
      <c r="AS848" s="13" t="s">
        <v>8968</v>
      </c>
      <c r="AT848" s="13" t="s">
        <v>9000</v>
      </c>
      <c r="AU848" s="13" t="s">
        <v>8970</v>
      </c>
      <c r="AV848" s="13" t="s">
        <v>8971</v>
      </c>
      <c r="AY848" s="13" t="s">
        <v>9001</v>
      </c>
      <c r="AZ848" s="13" t="s">
        <v>9002</v>
      </c>
      <c r="BA848" s="13" t="s">
        <v>9002</v>
      </c>
      <c r="BB848" s="17" t="s">
        <v>9003</v>
      </c>
      <c r="BC848" s="17" t="s">
        <v>9004</v>
      </c>
      <c r="BD848" s="13">
        <f t="shared" si="30"/>
        <v>58</v>
      </c>
      <c r="BE848" s="17" t="s">
        <v>517</v>
      </c>
      <c r="BF848" s="17" t="s">
        <v>8976</v>
      </c>
      <c r="BG848" s="17" t="s">
        <v>8977</v>
      </c>
      <c r="BH848" s="17" t="s">
        <v>9005</v>
      </c>
      <c r="BI848" s="17"/>
      <c r="BJ848" s="17"/>
      <c r="BK848" s="17"/>
      <c r="BL848" s="17"/>
      <c r="BM848" s="17"/>
      <c r="BN848" s="17"/>
      <c r="BO848" s="17" t="s">
        <v>9006</v>
      </c>
      <c r="BP848" s="17" t="s">
        <v>8979</v>
      </c>
      <c r="BQ848" s="17"/>
      <c r="BR848" s="17"/>
      <c r="BS848" s="17" t="s">
        <v>6939</v>
      </c>
      <c r="BT848" s="17"/>
      <c r="BU848" s="17" t="s">
        <v>129</v>
      </c>
      <c r="BV848" s="17"/>
      <c r="BW848" s="17"/>
      <c r="BX848" s="13" t="s">
        <v>9007</v>
      </c>
      <c r="BY848" s="13" t="s">
        <v>8981</v>
      </c>
      <c r="DA848" s="13" t="s">
        <v>10348</v>
      </c>
      <c r="DB848" s="13" t="s">
        <v>10348</v>
      </c>
    </row>
    <row r="849" spans="1:106" s="13" customFormat="1" ht="12.75" customHeight="1" x14ac:dyDescent="0.2">
      <c r="A849" s="13" t="s">
        <v>102</v>
      </c>
      <c r="B849" s="13" t="s">
        <v>103</v>
      </c>
      <c r="D849" s="13" t="s">
        <v>820</v>
      </c>
      <c r="E849" s="13" t="s">
        <v>471</v>
      </c>
      <c r="F849" s="13" t="s">
        <v>820</v>
      </c>
      <c r="G849" s="13" t="s">
        <v>229</v>
      </c>
      <c r="H849" s="13" t="s">
        <v>820</v>
      </c>
      <c r="J849" s="13" t="s">
        <v>106</v>
      </c>
      <c r="W849" s="13">
        <v>842</v>
      </c>
      <c r="X849" s="13">
        <v>842</v>
      </c>
      <c r="Y849" s="13" t="s">
        <v>8959</v>
      </c>
      <c r="Z849" s="13" t="s">
        <v>8960</v>
      </c>
      <c r="AA849" s="13" t="s">
        <v>9008</v>
      </c>
      <c r="AB849" s="13" t="s">
        <v>9009</v>
      </c>
      <c r="AC849" s="13" t="s">
        <v>9010</v>
      </c>
      <c r="AD849" s="13" t="s">
        <v>9009</v>
      </c>
      <c r="AE849" s="13" t="s">
        <v>8964</v>
      </c>
      <c r="AF849" s="13" t="s">
        <v>9009</v>
      </c>
      <c r="AG849" s="13" t="s">
        <v>9009</v>
      </c>
      <c r="AH849" s="13" t="s">
        <v>9011</v>
      </c>
      <c r="AL849" s="13" t="s">
        <v>9012</v>
      </c>
      <c r="AN849" s="13">
        <v>3406</v>
      </c>
      <c r="AO849" s="13" t="s">
        <v>9013</v>
      </c>
      <c r="AQ849" s="13" t="s">
        <v>9009</v>
      </c>
      <c r="AR849" s="13" t="s">
        <v>9009</v>
      </c>
      <c r="AS849" s="13" t="s">
        <v>8968</v>
      </c>
      <c r="AT849" s="13" t="s">
        <v>9014</v>
      </c>
      <c r="AU849" s="13" t="s">
        <v>9015</v>
      </c>
      <c r="AV849" s="13" t="s">
        <v>9016</v>
      </c>
      <c r="AW849" s="13" t="s">
        <v>9017</v>
      </c>
      <c r="AX849" s="13" t="s">
        <v>9018</v>
      </c>
      <c r="AY849" s="13" t="s">
        <v>9019</v>
      </c>
      <c r="AZ849" s="13" t="s">
        <v>9020</v>
      </c>
      <c r="BA849" s="13" t="s">
        <v>9020</v>
      </c>
      <c r="BB849" s="13" t="s">
        <v>9021</v>
      </c>
      <c r="BC849" s="13" t="s">
        <v>9021</v>
      </c>
      <c r="BD849" s="13">
        <f>LEN(SUBSTITUTE(BC849, ", "," "))</f>
        <v>56</v>
      </c>
      <c r="BE849" s="17" t="s">
        <v>9022</v>
      </c>
      <c r="BF849" s="17" t="s">
        <v>9023</v>
      </c>
      <c r="BJ849" s="17" t="s">
        <v>9024</v>
      </c>
      <c r="BK849" s="17" t="s">
        <v>9025</v>
      </c>
      <c r="BO849" s="17" t="s">
        <v>834</v>
      </c>
      <c r="BS849" s="17" t="s">
        <v>127</v>
      </c>
      <c r="BT849" s="17" t="s">
        <v>9015</v>
      </c>
      <c r="BU849" s="17" t="s">
        <v>129</v>
      </c>
      <c r="BX849" s="13" t="s">
        <v>9026</v>
      </c>
      <c r="DA849" s="13" t="s">
        <v>10348</v>
      </c>
      <c r="DB849" s="13" t="s">
        <v>10348</v>
      </c>
    </row>
    <row r="850" spans="1:106" s="13" customFormat="1" ht="12.75" customHeight="1" x14ac:dyDescent="0.2">
      <c r="A850" s="13" t="s">
        <v>102</v>
      </c>
      <c r="B850" s="13" t="s">
        <v>103</v>
      </c>
      <c r="D850" s="13" t="s">
        <v>820</v>
      </c>
      <c r="E850" s="13" t="s">
        <v>471</v>
      </c>
      <c r="F850" s="13" t="s">
        <v>820</v>
      </c>
      <c r="G850" s="13" t="s">
        <v>229</v>
      </c>
      <c r="H850" s="13" t="s">
        <v>820</v>
      </c>
      <c r="J850" s="13" t="s">
        <v>106</v>
      </c>
      <c r="W850" s="13">
        <v>843</v>
      </c>
      <c r="X850" s="13">
        <v>843</v>
      </c>
      <c r="Y850" s="13" t="s">
        <v>8959</v>
      </c>
      <c r="Z850" s="13" t="s">
        <v>8960</v>
      </c>
      <c r="AA850" s="13" t="s">
        <v>9008</v>
      </c>
      <c r="AB850" s="13" t="s">
        <v>9027</v>
      </c>
      <c r="AC850" s="13" t="s">
        <v>9028</v>
      </c>
      <c r="AD850" s="13" t="s">
        <v>9027</v>
      </c>
      <c r="AE850" s="13" t="s">
        <v>8964</v>
      </c>
      <c r="AF850" s="13" t="s">
        <v>9027</v>
      </c>
      <c r="AG850" s="13" t="s">
        <v>9027</v>
      </c>
      <c r="AH850" s="13" t="s">
        <v>9029</v>
      </c>
      <c r="AL850" s="13" t="s">
        <v>9030</v>
      </c>
      <c r="AN850" s="13">
        <v>3406</v>
      </c>
      <c r="AO850" s="13" t="s">
        <v>9031</v>
      </c>
      <c r="AQ850" s="13" t="s">
        <v>9027</v>
      </c>
      <c r="AR850" s="13" t="s">
        <v>9027</v>
      </c>
      <c r="AS850" s="13" t="s">
        <v>8968</v>
      </c>
      <c r="AT850" s="13" t="s">
        <v>9032</v>
      </c>
      <c r="AU850" s="13" t="s">
        <v>9015</v>
      </c>
      <c r="AV850" s="13" t="s">
        <v>9016</v>
      </c>
      <c r="AW850" s="13" t="s">
        <v>9017</v>
      </c>
      <c r="AX850" s="13" t="s">
        <v>9018</v>
      </c>
      <c r="AY850" s="13" t="s">
        <v>9033</v>
      </c>
      <c r="AZ850" s="13" t="s">
        <v>9034</v>
      </c>
      <c r="BA850" s="13" t="s">
        <v>9034</v>
      </c>
      <c r="BB850" s="13" t="s">
        <v>9035</v>
      </c>
      <c r="BC850" s="13" t="s">
        <v>9035</v>
      </c>
      <c r="BD850" s="13">
        <f>LEN(SUBSTITUTE(BC850, ", "," "))</f>
        <v>56</v>
      </c>
      <c r="BE850" s="17" t="s">
        <v>9022</v>
      </c>
      <c r="BF850" s="17" t="s">
        <v>9023</v>
      </c>
      <c r="BJ850" s="17" t="s">
        <v>9036</v>
      </c>
      <c r="BK850" s="17" t="s">
        <v>9025</v>
      </c>
      <c r="BO850" s="17" t="s">
        <v>834</v>
      </c>
      <c r="BS850" s="17" t="s">
        <v>127</v>
      </c>
      <c r="BT850" s="17" t="s">
        <v>9015</v>
      </c>
      <c r="BU850" s="17" t="s">
        <v>129</v>
      </c>
      <c r="BX850" s="13" t="s">
        <v>9037</v>
      </c>
      <c r="DA850" s="13" t="s">
        <v>10348</v>
      </c>
      <c r="DB850" s="13" t="s">
        <v>10348</v>
      </c>
    </row>
    <row r="851" spans="1:106" s="13" customFormat="1" ht="12.75" customHeight="1" x14ac:dyDescent="0.2">
      <c r="A851" s="13" t="s">
        <v>102</v>
      </c>
      <c r="B851" s="13" t="s">
        <v>103</v>
      </c>
      <c r="D851" s="13" t="s">
        <v>820</v>
      </c>
      <c r="E851" s="13" t="s">
        <v>471</v>
      </c>
      <c r="F851" s="13" t="s">
        <v>820</v>
      </c>
      <c r="G851" s="13" t="s">
        <v>229</v>
      </c>
      <c r="H851" s="13" t="s">
        <v>820</v>
      </c>
      <c r="J851" s="13" t="s">
        <v>106</v>
      </c>
      <c r="W851" s="13">
        <v>844</v>
      </c>
      <c r="X851" s="13">
        <v>844</v>
      </c>
      <c r="Y851" s="13" t="s">
        <v>8959</v>
      </c>
      <c r="Z851" s="13" t="s">
        <v>8960</v>
      </c>
      <c r="AA851" s="13" t="s">
        <v>9008</v>
      </c>
      <c r="AB851" s="13" t="s">
        <v>9038</v>
      </c>
      <c r="AC851" s="13" t="s">
        <v>9039</v>
      </c>
      <c r="AD851" s="13" t="s">
        <v>9038</v>
      </c>
      <c r="AE851" s="13" t="s">
        <v>8964</v>
      </c>
      <c r="AF851" s="13" t="s">
        <v>9038</v>
      </c>
      <c r="AG851" s="13" t="s">
        <v>9038</v>
      </c>
      <c r="AH851" s="13" t="s">
        <v>9040</v>
      </c>
      <c r="AL851" s="13" t="s">
        <v>9041</v>
      </c>
      <c r="AN851" s="13">
        <v>3406</v>
      </c>
      <c r="AO851" s="13" t="s">
        <v>9042</v>
      </c>
      <c r="AQ851" s="13" t="s">
        <v>9038</v>
      </c>
      <c r="AR851" s="13" t="s">
        <v>9038</v>
      </c>
      <c r="AS851" s="13" t="s">
        <v>8968</v>
      </c>
      <c r="AT851" s="13" t="s">
        <v>9043</v>
      </c>
      <c r="AU851" s="13" t="s">
        <v>9015</v>
      </c>
      <c r="AV851" s="13" t="s">
        <v>9016</v>
      </c>
      <c r="AW851" s="13" t="s">
        <v>9017</v>
      </c>
      <c r="AX851" s="13" t="s">
        <v>9018</v>
      </c>
      <c r="AY851" s="13" t="s">
        <v>9043</v>
      </c>
      <c r="AZ851" s="13" t="s">
        <v>9044</v>
      </c>
      <c r="BA851" s="13" t="s">
        <v>9044</v>
      </c>
      <c r="BB851" s="13" t="s">
        <v>9045</v>
      </c>
      <c r="BC851" s="13" t="s">
        <v>9045</v>
      </c>
      <c r="BD851" s="13">
        <f>LEN(SUBSTITUTE(BC851, ", "," "))</f>
        <v>56</v>
      </c>
      <c r="BE851" s="17" t="s">
        <v>9022</v>
      </c>
      <c r="BF851" s="17" t="s">
        <v>9023</v>
      </c>
      <c r="BJ851" s="17" t="s">
        <v>9046</v>
      </c>
      <c r="BK851" s="17" t="s">
        <v>9025</v>
      </c>
      <c r="BO851" s="17" t="s">
        <v>834</v>
      </c>
      <c r="BS851" s="17" t="s">
        <v>127</v>
      </c>
      <c r="BT851" s="17" t="s">
        <v>9015</v>
      </c>
      <c r="BU851" s="17" t="s">
        <v>129</v>
      </c>
      <c r="BX851" s="13" t="s">
        <v>9047</v>
      </c>
      <c r="DA851" s="13" t="s">
        <v>10348</v>
      </c>
      <c r="DB851" s="13" t="s">
        <v>10348</v>
      </c>
    </row>
    <row r="852" spans="1:106" s="13" customFormat="1" ht="12.75" customHeight="1" x14ac:dyDescent="0.2">
      <c r="A852" s="13" t="s">
        <v>102</v>
      </c>
      <c r="B852" s="13" t="s">
        <v>103</v>
      </c>
      <c r="D852" s="13" t="s">
        <v>820</v>
      </c>
      <c r="E852" s="13" t="s">
        <v>471</v>
      </c>
      <c r="F852" s="13" t="s">
        <v>820</v>
      </c>
      <c r="G852" s="13" t="s">
        <v>229</v>
      </c>
      <c r="H852" s="13" t="s">
        <v>820</v>
      </c>
      <c r="J852" s="13" t="s">
        <v>106</v>
      </c>
      <c r="W852" s="13">
        <v>845</v>
      </c>
      <c r="X852" s="13">
        <v>845</v>
      </c>
      <c r="Y852" s="13" t="s">
        <v>8959</v>
      </c>
      <c r="Z852" s="13" t="s">
        <v>8960</v>
      </c>
      <c r="AA852" s="13" t="s">
        <v>9008</v>
      </c>
      <c r="AB852" s="13" t="s">
        <v>9048</v>
      </c>
      <c r="AC852" s="13" t="s">
        <v>9049</v>
      </c>
      <c r="AD852" s="13" t="s">
        <v>9048</v>
      </c>
      <c r="AE852" s="13" t="s">
        <v>8964</v>
      </c>
      <c r="AF852" s="13" t="s">
        <v>9048</v>
      </c>
      <c r="AG852" s="13" t="s">
        <v>9048</v>
      </c>
      <c r="AH852" s="13" t="s">
        <v>9050</v>
      </c>
      <c r="AL852" s="13" t="s">
        <v>9051</v>
      </c>
      <c r="AN852" s="13">
        <v>3406</v>
      </c>
      <c r="AO852" s="13" t="s">
        <v>9052</v>
      </c>
      <c r="AQ852" s="13" t="s">
        <v>9048</v>
      </c>
      <c r="AR852" s="13" t="s">
        <v>9048</v>
      </c>
      <c r="AS852" s="13" t="s">
        <v>8968</v>
      </c>
      <c r="AT852" s="13" t="s">
        <v>9053</v>
      </c>
      <c r="AU852" s="13" t="s">
        <v>9015</v>
      </c>
      <c r="AV852" s="13" t="s">
        <v>9016</v>
      </c>
      <c r="AW852" s="13" t="s">
        <v>9017</v>
      </c>
      <c r="AX852" s="13" t="s">
        <v>9018</v>
      </c>
      <c r="AY852" s="13" t="s">
        <v>9053</v>
      </c>
      <c r="AZ852" s="13" t="s">
        <v>9054</v>
      </c>
      <c r="BA852" s="13" t="s">
        <v>9054</v>
      </c>
      <c r="BB852" s="13" t="s">
        <v>9055</v>
      </c>
      <c r="BC852" s="13" t="s">
        <v>9055</v>
      </c>
      <c r="BD852" s="13">
        <f>LEN(SUBSTITUTE(BC852, ", "," "))</f>
        <v>56</v>
      </c>
      <c r="BE852" s="17" t="s">
        <v>9022</v>
      </c>
      <c r="BF852" s="17" t="s">
        <v>9023</v>
      </c>
      <c r="BJ852" s="17" t="s">
        <v>9056</v>
      </c>
      <c r="BK852" s="17" t="s">
        <v>9025</v>
      </c>
      <c r="BO852" s="17" t="s">
        <v>834</v>
      </c>
      <c r="BS852" s="17" t="s">
        <v>127</v>
      </c>
      <c r="BT852" s="17" t="s">
        <v>9015</v>
      </c>
      <c r="BU852" s="17" t="s">
        <v>129</v>
      </c>
      <c r="BX852" s="13" t="s">
        <v>9057</v>
      </c>
      <c r="DA852" s="13" t="s">
        <v>10348</v>
      </c>
      <c r="DB852" s="13" t="s">
        <v>10348</v>
      </c>
    </row>
    <row r="853" spans="1:106" s="13" customFormat="1" ht="12.75" customHeight="1" x14ac:dyDescent="0.2">
      <c r="A853" s="13" t="s">
        <v>102</v>
      </c>
      <c r="B853" s="13" t="s">
        <v>103</v>
      </c>
      <c r="D853" s="13" t="s">
        <v>8957</v>
      </c>
      <c r="E853" s="13" t="s">
        <v>8958</v>
      </c>
      <c r="F853" s="13" t="s">
        <v>8957</v>
      </c>
      <c r="G853" s="13" t="s">
        <v>105</v>
      </c>
      <c r="H853" s="13" t="s">
        <v>820</v>
      </c>
      <c r="J853" s="13" t="s">
        <v>106</v>
      </c>
      <c r="W853" s="13">
        <v>846</v>
      </c>
      <c r="X853" s="13">
        <v>846</v>
      </c>
      <c r="Y853" s="13" t="s">
        <v>8959</v>
      </c>
      <c r="Z853" s="13" t="s">
        <v>8960</v>
      </c>
      <c r="AA853" s="13" t="s">
        <v>8961</v>
      </c>
      <c r="AB853" s="13" t="s">
        <v>9058</v>
      </c>
      <c r="AC853" s="13" t="s">
        <v>9059</v>
      </c>
      <c r="AD853" s="13" t="s">
        <v>9058</v>
      </c>
      <c r="AE853" s="13" t="s">
        <v>8964</v>
      </c>
      <c r="AF853" s="13" t="s">
        <v>9058</v>
      </c>
      <c r="AG853" s="13" t="s">
        <v>9058</v>
      </c>
      <c r="AH853" s="13" t="s">
        <v>9060</v>
      </c>
      <c r="AL853" s="13" t="s">
        <v>9061</v>
      </c>
      <c r="AN853" s="13">
        <v>3406</v>
      </c>
      <c r="AO853" s="13" t="s">
        <v>9062</v>
      </c>
      <c r="AQ853" s="13" t="s">
        <v>9058</v>
      </c>
      <c r="AR853" s="13" t="s">
        <v>9058</v>
      </c>
      <c r="AS853" s="13" t="s">
        <v>8968</v>
      </c>
      <c r="AT853" s="13" t="s">
        <v>9061</v>
      </c>
      <c r="AU853" s="13" t="s">
        <v>8970</v>
      </c>
      <c r="AV853" s="13" t="s">
        <v>2715</v>
      </c>
      <c r="AY853" s="13" t="s">
        <v>9063</v>
      </c>
      <c r="AZ853" s="13" t="s">
        <v>9064</v>
      </c>
      <c r="BA853" s="13" t="s">
        <v>9064</v>
      </c>
      <c r="BB853" s="17" t="s">
        <v>9065</v>
      </c>
      <c r="BC853" s="17" t="s">
        <v>9065</v>
      </c>
      <c r="BD853" s="13">
        <f t="shared" ref="BD853:BD884" si="31">LEN(SUBSTITUTE(BC853,", "," "))</f>
        <v>41</v>
      </c>
      <c r="BE853" s="17" t="s">
        <v>2719</v>
      </c>
      <c r="BF853" s="17" t="s">
        <v>950</v>
      </c>
      <c r="BG853" s="17" t="s">
        <v>9066</v>
      </c>
      <c r="BH853" s="17"/>
      <c r="BI853" s="17"/>
      <c r="BJ853" s="17" t="s">
        <v>9067</v>
      </c>
      <c r="BK853" s="17" t="s">
        <v>1082</v>
      </c>
      <c r="BL853" s="17"/>
      <c r="BM853" s="17"/>
      <c r="BN853" s="17"/>
      <c r="BO853" s="17"/>
      <c r="BP853" s="17"/>
      <c r="BQ853" s="17"/>
      <c r="BR853" s="17"/>
      <c r="BS853" s="17" t="s">
        <v>6939</v>
      </c>
      <c r="BT853" s="17"/>
      <c r="BU853" s="17" t="s">
        <v>129</v>
      </c>
      <c r="BV853" s="17"/>
      <c r="BW853" s="17"/>
      <c r="BX853" s="13" t="s">
        <v>9068</v>
      </c>
      <c r="BY853" s="13" t="s">
        <v>8981</v>
      </c>
      <c r="DA853" s="13" t="s">
        <v>10348</v>
      </c>
      <c r="DB853" s="13" t="s">
        <v>10348</v>
      </c>
    </row>
    <row r="854" spans="1:106" s="13" customFormat="1" ht="12.75" customHeight="1" x14ac:dyDescent="0.2">
      <c r="A854" s="13" t="s">
        <v>102</v>
      </c>
      <c r="B854" s="13" t="s">
        <v>103</v>
      </c>
      <c r="D854" s="13" t="s">
        <v>8957</v>
      </c>
      <c r="E854" s="13" t="s">
        <v>8958</v>
      </c>
      <c r="F854" s="13" t="s">
        <v>8957</v>
      </c>
      <c r="G854" s="13" t="s">
        <v>105</v>
      </c>
      <c r="H854" s="13" t="s">
        <v>820</v>
      </c>
      <c r="J854" s="13" t="s">
        <v>106</v>
      </c>
      <c r="W854" s="13">
        <v>847</v>
      </c>
      <c r="X854" s="13">
        <v>847</v>
      </c>
      <c r="Y854" s="13" t="s">
        <v>8959</v>
      </c>
      <c r="Z854" s="13" t="s">
        <v>8960</v>
      </c>
      <c r="AA854" s="13" t="s">
        <v>8961</v>
      </c>
      <c r="AB854" s="13" t="s">
        <v>9069</v>
      </c>
      <c r="AC854" s="13" t="s">
        <v>9070</v>
      </c>
      <c r="AD854" s="13" t="s">
        <v>9069</v>
      </c>
      <c r="AE854" s="13" t="s">
        <v>8964</v>
      </c>
      <c r="AF854" s="13" t="s">
        <v>9069</v>
      </c>
      <c r="AG854" s="13" t="s">
        <v>9069</v>
      </c>
      <c r="AH854" s="13" t="s">
        <v>9071</v>
      </c>
      <c r="AL854" s="13" t="s">
        <v>9072</v>
      </c>
      <c r="AN854" s="13">
        <v>3406</v>
      </c>
      <c r="AO854" s="13" t="s">
        <v>9073</v>
      </c>
      <c r="AQ854" s="13" t="s">
        <v>9069</v>
      </c>
      <c r="AR854" s="13" t="s">
        <v>9069</v>
      </c>
      <c r="AS854" s="13" t="s">
        <v>8968</v>
      </c>
      <c r="AT854" s="13" t="s">
        <v>9074</v>
      </c>
      <c r="AU854" s="13" t="s">
        <v>8970</v>
      </c>
      <c r="AV854" s="13" t="s">
        <v>2715</v>
      </c>
      <c r="AY854" s="13" t="s">
        <v>9075</v>
      </c>
      <c r="AZ854" s="13" t="s">
        <v>9076</v>
      </c>
      <c r="BA854" s="13" t="s">
        <v>9076</v>
      </c>
      <c r="BB854" s="17" t="s">
        <v>9077</v>
      </c>
      <c r="BC854" s="17" t="s">
        <v>9077</v>
      </c>
      <c r="BD854" s="13">
        <f t="shared" si="31"/>
        <v>41</v>
      </c>
      <c r="BE854" s="17" t="s">
        <v>2719</v>
      </c>
      <c r="BF854" s="17" t="s">
        <v>950</v>
      </c>
      <c r="BG854" s="17" t="s">
        <v>9066</v>
      </c>
      <c r="BH854" s="17"/>
      <c r="BI854" s="17"/>
      <c r="BJ854" s="17" t="s">
        <v>9078</v>
      </c>
      <c r="BK854" s="17" t="s">
        <v>1082</v>
      </c>
      <c r="BL854" s="17"/>
      <c r="BM854" s="17"/>
      <c r="BN854" s="17"/>
      <c r="BO854" s="17"/>
      <c r="BP854" s="17"/>
      <c r="BQ854" s="17"/>
      <c r="BR854" s="17"/>
      <c r="BS854" s="17" t="s">
        <v>6939</v>
      </c>
      <c r="BT854" s="17"/>
      <c r="BU854" s="17" t="s">
        <v>129</v>
      </c>
      <c r="BV854" s="17"/>
      <c r="BW854" s="17"/>
      <c r="BX854" s="13" t="s">
        <v>9079</v>
      </c>
      <c r="BY854" s="13" t="s">
        <v>8981</v>
      </c>
      <c r="DA854" s="13" t="s">
        <v>10348</v>
      </c>
      <c r="DB854" s="13" t="s">
        <v>10348</v>
      </c>
    </row>
    <row r="855" spans="1:106" s="13" customFormat="1" ht="12.75" customHeight="1" x14ac:dyDescent="0.2">
      <c r="A855" s="13" t="s">
        <v>102</v>
      </c>
      <c r="B855" s="13" t="s">
        <v>103</v>
      </c>
      <c r="D855" s="13" t="s">
        <v>8957</v>
      </c>
      <c r="E855" s="13" t="s">
        <v>9097</v>
      </c>
      <c r="F855" s="13" t="s">
        <v>8957</v>
      </c>
      <c r="H855" s="13" t="s">
        <v>820</v>
      </c>
      <c r="J855" s="13" t="s">
        <v>106</v>
      </c>
      <c r="W855" s="13">
        <v>849</v>
      </c>
      <c r="X855" s="13">
        <v>849</v>
      </c>
      <c r="Y855" s="13" t="s">
        <v>8959</v>
      </c>
      <c r="Z855" s="13" t="s">
        <v>8960</v>
      </c>
      <c r="AA855" s="13" t="s">
        <v>8961</v>
      </c>
      <c r="AB855" s="13" t="s">
        <v>9098</v>
      </c>
      <c r="AC855" s="13" t="s">
        <v>9098</v>
      </c>
      <c r="AD855" s="13" t="s">
        <v>9098</v>
      </c>
      <c r="AE855" s="13" t="s">
        <v>8964</v>
      </c>
      <c r="AF855" s="13" t="s">
        <v>9098</v>
      </c>
      <c r="AG855" s="13" t="s">
        <v>9098</v>
      </c>
      <c r="AH855" s="13" t="s">
        <v>9099</v>
      </c>
      <c r="AL855" s="13" t="s">
        <v>9100</v>
      </c>
      <c r="AN855" s="13">
        <v>3406</v>
      </c>
      <c r="AO855" s="13" t="s">
        <v>9101</v>
      </c>
      <c r="AV855" s="13" t="s">
        <v>9016</v>
      </c>
      <c r="AY855" s="13" t="s">
        <v>9100</v>
      </c>
      <c r="AZ855" s="13" t="s">
        <v>9102</v>
      </c>
      <c r="BA855" s="13" t="s">
        <v>9102</v>
      </c>
      <c r="BB855" s="17" t="s">
        <v>9103</v>
      </c>
      <c r="BC855" s="17" t="s">
        <v>9103</v>
      </c>
      <c r="BD855" s="13">
        <f t="shared" si="31"/>
        <v>31</v>
      </c>
      <c r="BE855" s="17" t="s">
        <v>9022</v>
      </c>
      <c r="BF855" s="17" t="s">
        <v>9023</v>
      </c>
      <c r="BG855" s="17"/>
      <c r="BH855" s="17"/>
      <c r="BI855" s="17"/>
      <c r="BJ855" s="17"/>
      <c r="BK855" s="17"/>
      <c r="BL855" s="17"/>
      <c r="BM855" s="17"/>
      <c r="BN855" s="17"/>
      <c r="BO855" s="17" t="s">
        <v>9104</v>
      </c>
      <c r="BP855" s="17"/>
      <c r="BQ855" s="17"/>
      <c r="BR855" s="17"/>
      <c r="BS855" s="17" t="s">
        <v>6939</v>
      </c>
      <c r="BT855" s="17" t="s">
        <v>9105</v>
      </c>
      <c r="BU855" s="17"/>
      <c r="BV855" s="17"/>
      <c r="BW855" s="17"/>
      <c r="BX855" s="13" t="s">
        <v>9106</v>
      </c>
      <c r="DA855" s="13" t="s">
        <v>10348</v>
      </c>
      <c r="DB855" s="13" t="s">
        <v>10348</v>
      </c>
    </row>
    <row r="856" spans="1:106" s="13" customFormat="1" ht="12.75" customHeight="1" x14ac:dyDescent="0.2">
      <c r="A856" s="13" t="s">
        <v>102</v>
      </c>
      <c r="B856" s="13" t="s">
        <v>103</v>
      </c>
      <c r="D856" s="13" t="s">
        <v>8957</v>
      </c>
      <c r="E856" s="13" t="s">
        <v>9097</v>
      </c>
      <c r="F856" s="13" t="s">
        <v>8957</v>
      </c>
      <c r="H856" s="13" t="s">
        <v>820</v>
      </c>
      <c r="J856" s="13" t="s">
        <v>106</v>
      </c>
      <c r="W856" s="13">
        <v>850</v>
      </c>
      <c r="X856" s="13">
        <v>850</v>
      </c>
      <c r="Y856" s="13" t="s">
        <v>8959</v>
      </c>
      <c r="Z856" s="13" t="s">
        <v>8960</v>
      </c>
      <c r="AA856" s="13" t="s">
        <v>8961</v>
      </c>
      <c r="AB856" s="13" t="s">
        <v>9107</v>
      </c>
      <c r="AC856" s="13" t="s">
        <v>9107</v>
      </c>
      <c r="AD856" s="13" t="s">
        <v>9107</v>
      </c>
      <c r="AE856" s="13" t="s">
        <v>8964</v>
      </c>
      <c r="AF856" s="13" t="s">
        <v>9107</v>
      </c>
      <c r="AG856" s="13" t="s">
        <v>9107</v>
      </c>
      <c r="AH856" s="13" t="s">
        <v>9108</v>
      </c>
      <c r="AL856" s="13" t="s">
        <v>9109</v>
      </c>
      <c r="AN856" s="13">
        <v>3406</v>
      </c>
      <c r="AO856" s="13" t="s">
        <v>9110</v>
      </c>
      <c r="AV856" s="13" t="s">
        <v>9016</v>
      </c>
      <c r="AY856" s="13" t="s">
        <v>9109</v>
      </c>
      <c r="AZ856" s="13" t="s">
        <v>9111</v>
      </c>
      <c r="BA856" s="13" t="s">
        <v>9111</v>
      </c>
      <c r="BB856" s="17" t="s">
        <v>9112</v>
      </c>
      <c r="BC856" s="17" t="s">
        <v>9112</v>
      </c>
      <c r="BD856" s="13">
        <f t="shared" si="31"/>
        <v>31</v>
      </c>
      <c r="BE856" s="17" t="s">
        <v>9022</v>
      </c>
      <c r="BF856" s="17" t="s">
        <v>9023</v>
      </c>
      <c r="BG856" s="17"/>
      <c r="BH856" s="17"/>
      <c r="BI856" s="17"/>
      <c r="BJ856" s="17"/>
      <c r="BK856" s="17"/>
      <c r="BL856" s="17"/>
      <c r="BM856" s="17"/>
      <c r="BN856" s="17"/>
      <c r="BO856" s="17" t="s">
        <v>9113</v>
      </c>
      <c r="BP856" s="17"/>
      <c r="BQ856" s="17"/>
      <c r="BR856" s="17"/>
      <c r="BS856" s="17" t="s">
        <v>6939</v>
      </c>
      <c r="BT856" s="17" t="s">
        <v>9105</v>
      </c>
      <c r="BU856" s="17"/>
      <c r="BV856" s="17"/>
      <c r="BW856" s="17"/>
      <c r="BX856" s="13" t="s">
        <v>9106</v>
      </c>
      <c r="DA856" s="13" t="s">
        <v>10348</v>
      </c>
      <c r="DB856" s="13" t="s">
        <v>10348</v>
      </c>
    </row>
    <row r="857" spans="1:106" s="13" customFormat="1" ht="12.75" customHeight="1" x14ac:dyDescent="0.2">
      <c r="A857" s="13" t="s">
        <v>102</v>
      </c>
      <c r="B857" s="13" t="s">
        <v>103</v>
      </c>
      <c r="D857" s="13" t="s">
        <v>8957</v>
      </c>
      <c r="E857" s="13" t="s">
        <v>8958</v>
      </c>
      <c r="F857" s="13" t="s">
        <v>8957</v>
      </c>
      <c r="G857" s="13" t="s">
        <v>105</v>
      </c>
      <c r="H857" s="13" t="s">
        <v>820</v>
      </c>
      <c r="J857" s="13" t="s">
        <v>106</v>
      </c>
      <c r="W857" s="13">
        <v>868</v>
      </c>
      <c r="X857" s="13">
        <v>868</v>
      </c>
      <c r="Y857" s="13" t="s">
        <v>8959</v>
      </c>
      <c r="Z857" s="13" t="s">
        <v>8960</v>
      </c>
      <c r="AA857" s="13" t="s">
        <v>8961</v>
      </c>
      <c r="AB857" s="13" t="s">
        <v>9315</v>
      </c>
      <c r="AC857" s="13" t="s">
        <v>9315</v>
      </c>
      <c r="AD857" s="13" t="s">
        <v>9315</v>
      </c>
      <c r="AE857" s="13" t="s">
        <v>8964</v>
      </c>
      <c r="AF857" s="13" t="s">
        <v>9315</v>
      </c>
      <c r="AG857" s="13" t="s">
        <v>9315</v>
      </c>
      <c r="AH857" s="13" t="s">
        <v>9316</v>
      </c>
      <c r="AL857" s="13" t="s">
        <v>9317</v>
      </c>
      <c r="AN857" s="13">
        <v>3406</v>
      </c>
      <c r="AO857" s="13" t="s">
        <v>9318</v>
      </c>
      <c r="AQ857" s="13" t="s">
        <v>9315</v>
      </c>
      <c r="AR857" s="13" t="s">
        <v>9315</v>
      </c>
      <c r="AS857" s="13" t="s">
        <v>8968</v>
      </c>
      <c r="AT857" s="13" t="s">
        <v>9317</v>
      </c>
      <c r="AU857" s="13" t="s">
        <v>8970</v>
      </c>
      <c r="AV857" s="13" t="s">
        <v>9319</v>
      </c>
      <c r="AY857" s="13" t="s">
        <v>9320</v>
      </c>
      <c r="AZ857" s="13" t="s">
        <v>9321</v>
      </c>
      <c r="BA857" s="13" t="s">
        <v>9321</v>
      </c>
      <c r="BB857" s="13" t="s">
        <v>9322</v>
      </c>
      <c r="BC857" s="13" t="s">
        <v>9323</v>
      </c>
      <c r="BD857" s="13">
        <f t="shared" si="31"/>
        <v>58</v>
      </c>
      <c r="BE857" s="17" t="s">
        <v>9324</v>
      </c>
      <c r="BF857" s="17" t="s">
        <v>9325</v>
      </c>
      <c r="BG857" s="17" t="s">
        <v>9326</v>
      </c>
      <c r="BH857" s="17"/>
      <c r="BI857" s="17"/>
      <c r="BJ857" s="17"/>
      <c r="BK857" s="17"/>
      <c r="BL857" s="17"/>
      <c r="BM857" s="17"/>
      <c r="BN857" s="17"/>
      <c r="BO857" s="17" t="s">
        <v>9327</v>
      </c>
      <c r="BP857" s="17"/>
      <c r="BQ857" s="17"/>
      <c r="BR857" s="17"/>
      <c r="BS857" s="17" t="s">
        <v>127</v>
      </c>
      <c r="BT857" s="17"/>
      <c r="BU857" s="17" t="s">
        <v>129</v>
      </c>
      <c r="BV857" s="17"/>
      <c r="BW857" s="17"/>
      <c r="BX857" s="13" t="s">
        <v>9328</v>
      </c>
      <c r="BY857" s="13" t="s">
        <v>8981</v>
      </c>
      <c r="DA857" s="13" t="s">
        <v>10348</v>
      </c>
      <c r="DB857" s="13" t="s">
        <v>10348</v>
      </c>
    </row>
    <row r="858" spans="1:106" s="13" customFormat="1" ht="12.75" customHeight="1" x14ac:dyDescent="0.2">
      <c r="A858" s="13" t="s">
        <v>102</v>
      </c>
      <c r="B858" s="13" t="s">
        <v>103</v>
      </c>
      <c r="D858" s="13" t="s">
        <v>8957</v>
      </c>
      <c r="E858" s="13" t="s">
        <v>8958</v>
      </c>
      <c r="F858" s="13" t="s">
        <v>8957</v>
      </c>
      <c r="G858" s="13" t="s">
        <v>105</v>
      </c>
      <c r="H858" s="13" t="s">
        <v>820</v>
      </c>
      <c r="J858" s="13" t="s">
        <v>106</v>
      </c>
      <c r="W858" s="13">
        <v>869</v>
      </c>
      <c r="X858" s="13">
        <v>869</v>
      </c>
      <c r="Y858" s="13" t="s">
        <v>8959</v>
      </c>
      <c r="Z858" s="13" t="s">
        <v>8960</v>
      </c>
      <c r="AA858" s="13" t="s">
        <v>8961</v>
      </c>
      <c r="AB858" s="13" t="s">
        <v>9329</v>
      </c>
      <c r="AC858" s="13" t="s">
        <v>9329</v>
      </c>
      <c r="AD858" s="13" t="s">
        <v>9329</v>
      </c>
      <c r="AE858" s="13" t="s">
        <v>8964</v>
      </c>
      <c r="AF858" s="13" t="s">
        <v>9329</v>
      </c>
      <c r="AG858" s="13" t="s">
        <v>9329</v>
      </c>
      <c r="AH858" s="13" t="s">
        <v>9330</v>
      </c>
      <c r="AL858" s="13" t="s">
        <v>9331</v>
      </c>
      <c r="AN858" s="13">
        <v>3406</v>
      </c>
      <c r="AO858" s="13" t="s">
        <v>9332</v>
      </c>
      <c r="AQ858" s="13" t="s">
        <v>9329</v>
      </c>
      <c r="AR858" s="13" t="s">
        <v>9329</v>
      </c>
      <c r="AS858" s="13" t="s">
        <v>8968</v>
      </c>
      <c r="AT858" s="13" t="s">
        <v>9333</v>
      </c>
      <c r="AU858" s="13" t="s">
        <v>8970</v>
      </c>
      <c r="AV858" s="13" t="s">
        <v>9334</v>
      </c>
      <c r="AY858" s="13" t="s">
        <v>9335</v>
      </c>
      <c r="AZ858" s="13" t="s">
        <v>9336</v>
      </c>
      <c r="BA858" s="13" t="s">
        <v>9336</v>
      </c>
      <c r="BB858" s="17" t="s">
        <v>9337</v>
      </c>
      <c r="BC858" s="17" t="s">
        <v>9338</v>
      </c>
      <c r="BD858" s="13">
        <f t="shared" si="31"/>
        <v>58</v>
      </c>
      <c r="BE858" s="17" t="s">
        <v>9339</v>
      </c>
      <c r="BF858" s="17" t="s">
        <v>9325</v>
      </c>
      <c r="BG858" s="17"/>
      <c r="BH858" s="17"/>
      <c r="BI858" s="17"/>
      <c r="BJ858" s="17" t="s">
        <v>9340</v>
      </c>
      <c r="BK858" s="17"/>
      <c r="BL858" s="17"/>
      <c r="BM858" s="17"/>
      <c r="BN858" s="17"/>
      <c r="BO858" s="17" t="s">
        <v>9341</v>
      </c>
      <c r="BP858" s="17"/>
      <c r="BQ858" s="17"/>
      <c r="BR858" s="17"/>
      <c r="BS858" s="17" t="s">
        <v>127</v>
      </c>
      <c r="BT858" s="17"/>
      <c r="BU858" s="17" t="s">
        <v>129</v>
      </c>
      <c r="BV858" s="17"/>
      <c r="BW858" s="17"/>
      <c r="BX858" s="13" t="s">
        <v>9342</v>
      </c>
      <c r="BY858" s="13" t="s">
        <v>8981</v>
      </c>
      <c r="DA858" s="13" t="s">
        <v>10348</v>
      </c>
      <c r="DB858" s="13" t="s">
        <v>10348</v>
      </c>
    </row>
    <row r="859" spans="1:106" s="13" customFormat="1" ht="12.75" customHeight="1" x14ac:dyDescent="0.2">
      <c r="A859" s="13" t="s">
        <v>102</v>
      </c>
      <c r="B859" s="13" t="s">
        <v>103</v>
      </c>
      <c r="D859" s="13" t="s">
        <v>8957</v>
      </c>
      <c r="E859" s="13" t="s">
        <v>8958</v>
      </c>
      <c r="F859" s="13" t="s">
        <v>8957</v>
      </c>
      <c r="G859" s="13" t="s">
        <v>105</v>
      </c>
      <c r="H859" s="13" t="s">
        <v>820</v>
      </c>
      <c r="J859" s="13" t="s">
        <v>106</v>
      </c>
      <c r="W859" s="13">
        <v>870</v>
      </c>
      <c r="X859" s="13">
        <v>870</v>
      </c>
      <c r="Y859" s="13" t="s">
        <v>8959</v>
      </c>
      <c r="Z859" s="13" t="s">
        <v>8960</v>
      </c>
      <c r="AA859" s="13" t="s">
        <v>8961</v>
      </c>
      <c r="AB859" s="13" t="s">
        <v>9343</v>
      </c>
      <c r="AC859" s="13" t="s">
        <v>9343</v>
      </c>
      <c r="AD859" s="13" t="s">
        <v>9343</v>
      </c>
      <c r="AE859" s="13" t="s">
        <v>8964</v>
      </c>
      <c r="AF859" s="13" t="s">
        <v>9343</v>
      </c>
      <c r="AG859" s="13" t="s">
        <v>9343</v>
      </c>
      <c r="AH859" s="13" t="s">
        <v>9344</v>
      </c>
      <c r="AL859" s="13" t="s">
        <v>9345</v>
      </c>
      <c r="AN859" s="13">
        <v>3406</v>
      </c>
      <c r="AO859" s="13" t="s">
        <v>9346</v>
      </c>
      <c r="AV859" s="13" t="s">
        <v>9347</v>
      </c>
      <c r="AW859" s="13" t="s">
        <v>1691</v>
      </c>
      <c r="AX859" s="13" t="s">
        <v>1692</v>
      </c>
      <c r="AY859" s="13" t="s">
        <v>9348</v>
      </c>
      <c r="AZ859" s="13" t="s">
        <v>9349</v>
      </c>
      <c r="BA859" s="13" t="s">
        <v>9349</v>
      </c>
      <c r="BB859" s="17" t="s">
        <v>9350</v>
      </c>
      <c r="BC859" s="17" t="s">
        <v>9350</v>
      </c>
      <c r="BD859" s="13">
        <f t="shared" si="31"/>
        <v>41</v>
      </c>
      <c r="BE859" s="17" t="s">
        <v>1697</v>
      </c>
      <c r="BF859" s="17" t="s">
        <v>9351</v>
      </c>
      <c r="BG859" s="17" t="s">
        <v>9352</v>
      </c>
      <c r="BH859" s="31" t="s">
        <v>9353</v>
      </c>
      <c r="BI859" s="17"/>
      <c r="BJ859" s="17" t="s">
        <v>1915</v>
      </c>
      <c r="BK859" s="17"/>
      <c r="BL859" s="17"/>
      <c r="BM859" s="17"/>
      <c r="BN859" s="17"/>
      <c r="BO859" s="17"/>
      <c r="BP859" s="17"/>
      <c r="BQ859" s="17"/>
      <c r="BR859" s="17"/>
      <c r="BS859" s="17" t="s">
        <v>127</v>
      </c>
      <c r="BT859" s="17" t="s">
        <v>9354</v>
      </c>
      <c r="BU859" s="17"/>
      <c r="BV859" s="17" t="s">
        <v>130</v>
      </c>
      <c r="BW859" s="17"/>
      <c r="BX859" s="13" t="s">
        <v>9355</v>
      </c>
      <c r="BY859" s="13" t="s">
        <v>8981</v>
      </c>
      <c r="DA859" s="13" t="s">
        <v>10348</v>
      </c>
      <c r="DB859" s="13" t="s">
        <v>10348</v>
      </c>
    </row>
    <row r="860" spans="1:106" s="13" customFormat="1" ht="12.75" customHeight="1" x14ac:dyDescent="0.2">
      <c r="A860" s="13" t="s">
        <v>102</v>
      </c>
      <c r="B860" s="13" t="s">
        <v>103</v>
      </c>
      <c r="D860" s="13" t="s">
        <v>8957</v>
      </c>
      <c r="E860" s="13" t="s">
        <v>8958</v>
      </c>
      <c r="F860" s="13" t="s">
        <v>8957</v>
      </c>
      <c r="G860" s="13" t="s">
        <v>105</v>
      </c>
      <c r="H860" s="13" t="s">
        <v>820</v>
      </c>
      <c r="J860" s="13" t="s">
        <v>106</v>
      </c>
      <c r="W860" s="13">
        <v>871</v>
      </c>
      <c r="X860" s="13">
        <v>871</v>
      </c>
      <c r="Y860" s="13" t="s">
        <v>8959</v>
      </c>
      <c r="Z860" s="13" t="s">
        <v>8960</v>
      </c>
      <c r="AA860" s="13" t="s">
        <v>8961</v>
      </c>
      <c r="AB860" s="13" t="s">
        <v>9356</v>
      </c>
      <c r="AC860" s="13" t="s">
        <v>9356</v>
      </c>
      <c r="AD860" s="13" t="s">
        <v>9356</v>
      </c>
      <c r="AE860" s="13" t="s">
        <v>8964</v>
      </c>
      <c r="AF860" s="13" t="s">
        <v>9356</v>
      </c>
      <c r="AG860" s="13" t="s">
        <v>9356</v>
      </c>
      <c r="AH860" s="13" t="s">
        <v>9357</v>
      </c>
      <c r="AL860" s="13" t="s">
        <v>9358</v>
      </c>
      <c r="AN860" s="13">
        <v>3406</v>
      </c>
      <c r="AO860" s="13" t="s">
        <v>9359</v>
      </c>
      <c r="AQ860" s="13" t="s">
        <v>9356</v>
      </c>
      <c r="AR860" s="13" t="s">
        <v>9356</v>
      </c>
      <c r="AS860" s="13" t="s">
        <v>8968</v>
      </c>
      <c r="AT860" s="13" t="s">
        <v>9360</v>
      </c>
      <c r="AU860" s="13" t="s">
        <v>9105</v>
      </c>
      <c r="AV860" s="13" t="s">
        <v>9016</v>
      </c>
      <c r="AY860" s="13" t="s">
        <v>9361</v>
      </c>
      <c r="AZ860" s="13" t="s">
        <v>9362</v>
      </c>
      <c r="BA860" s="13" t="s">
        <v>9362</v>
      </c>
      <c r="BB860" s="17" t="s">
        <v>9363</v>
      </c>
      <c r="BC860" s="17" t="s">
        <v>9364</v>
      </c>
      <c r="BD860" s="13">
        <f t="shared" si="31"/>
        <v>56</v>
      </c>
      <c r="BE860" s="17" t="s">
        <v>9022</v>
      </c>
      <c r="BF860" s="17" t="s">
        <v>9023</v>
      </c>
      <c r="BG860" s="17" t="s">
        <v>9066</v>
      </c>
      <c r="BH860" s="17"/>
      <c r="BI860" s="17"/>
      <c r="BJ860" s="17" t="s">
        <v>9365</v>
      </c>
      <c r="BK860" s="17" t="s">
        <v>9366</v>
      </c>
      <c r="BL860" s="17"/>
      <c r="BM860" s="17"/>
      <c r="BN860" s="17"/>
      <c r="BO860" s="17" t="s">
        <v>9367</v>
      </c>
      <c r="BP860" s="17" t="s">
        <v>9368</v>
      </c>
      <c r="BQ860" s="17"/>
      <c r="BR860" s="17"/>
      <c r="BS860" s="17" t="s">
        <v>127</v>
      </c>
      <c r="BT860" s="17" t="s">
        <v>9369</v>
      </c>
      <c r="BU860" s="17" t="s">
        <v>7335</v>
      </c>
      <c r="BV860" s="17"/>
      <c r="BW860" s="17"/>
      <c r="BX860" s="13" t="s">
        <v>9370</v>
      </c>
      <c r="BY860" s="13" t="s">
        <v>8981</v>
      </c>
      <c r="DA860" s="13" t="s">
        <v>10348</v>
      </c>
      <c r="DB860" s="13" t="s">
        <v>10348</v>
      </c>
    </row>
    <row r="861" spans="1:106" s="13" customFormat="1" ht="12.75" customHeight="1" x14ac:dyDescent="0.2">
      <c r="A861" s="13" t="s">
        <v>102</v>
      </c>
      <c r="B861" s="13" t="s">
        <v>103</v>
      </c>
      <c r="D861" s="13" t="s">
        <v>8957</v>
      </c>
      <c r="E861" s="13" t="s">
        <v>8958</v>
      </c>
      <c r="F861" s="13" t="s">
        <v>8957</v>
      </c>
      <c r="G861" s="13" t="s">
        <v>105</v>
      </c>
      <c r="H861" s="13" t="s">
        <v>820</v>
      </c>
      <c r="J861" s="13" t="s">
        <v>106</v>
      </c>
      <c r="W861" s="13">
        <v>872</v>
      </c>
      <c r="X861" s="13">
        <v>872</v>
      </c>
      <c r="Y861" s="13" t="s">
        <v>8959</v>
      </c>
      <c r="Z861" s="13" t="s">
        <v>8960</v>
      </c>
      <c r="AA861" s="13" t="s">
        <v>8961</v>
      </c>
      <c r="AB861" s="13" t="s">
        <v>9371</v>
      </c>
      <c r="AC861" s="13" t="s">
        <v>9371</v>
      </c>
      <c r="AD861" s="13" t="s">
        <v>9371</v>
      </c>
      <c r="AE861" s="13" t="s">
        <v>8964</v>
      </c>
      <c r="AF861" s="13" t="s">
        <v>9371</v>
      </c>
      <c r="AG861" s="13" t="s">
        <v>9371</v>
      </c>
      <c r="AH861" s="13" t="s">
        <v>9372</v>
      </c>
      <c r="AL861" s="13" t="s">
        <v>9373</v>
      </c>
      <c r="AN861" s="13">
        <v>3406</v>
      </c>
      <c r="AO861" s="13" t="s">
        <v>9374</v>
      </c>
      <c r="AQ861" s="13" t="s">
        <v>9371</v>
      </c>
      <c r="AR861" s="13" t="s">
        <v>9371</v>
      </c>
      <c r="AS861" s="13" t="s">
        <v>8968</v>
      </c>
      <c r="AT861" s="13" t="s">
        <v>9375</v>
      </c>
      <c r="AU861" s="13" t="s">
        <v>9105</v>
      </c>
      <c r="AV861" s="13" t="s">
        <v>9016</v>
      </c>
      <c r="AY861" s="13" t="s">
        <v>9376</v>
      </c>
      <c r="AZ861" s="13" t="s">
        <v>9377</v>
      </c>
      <c r="BA861" s="13" t="s">
        <v>9377</v>
      </c>
      <c r="BB861" s="17" t="s">
        <v>9378</v>
      </c>
      <c r="BC861" s="17" t="s">
        <v>9379</v>
      </c>
      <c r="BD861" s="13">
        <f t="shared" si="31"/>
        <v>56</v>
      </c>
      <c r="BE861" s="17" t="s">
        <v>9022</v>
      </c>
      <c r="BF861" s="17" t="s">
        <v>9023</v>
      </c>
      <c r="BG861" s="17" t="s">
        <v>9066</v>
      </c>
      <c r="BH861" s="17"/>
      <c r="BI861" s="17"/>
      <c r="BJ861" s="17" t="s">
        <v>9104</v>
      </c>
      <c r="BK861" s="17" t="s">
        <v>9366</v>
      </c>
      <c r="BL861" s="17"/>
      <c r="BM861" s="17"/>
      <c r="BN861" s="17"/>
      <c r="BO861" s="17" t="s">
        <v>9367</v>
      </c>
      <c r="BP861" s="17" t="s">
        <v>9368</v>
      </c>
      <c r="BQ861" s="17"/>
      <c r="BR861" s="17"/>
      <c r="BS861" s="17" t="s">
        <v>127</v>
      </c>
      <c r="BT861" s="17" t="s">
        <v>9369</v>
      </c>
      <c r="BU861" s="17" t="s">
        <v>7335</v>
      </c>
      <c r="BV861" s="17"/>
      <c r="BW861" s="17"/>
      <c r="BX861" s="13" t="s">
        <v>9380</v>
      </c>
      <c r="BY861" s="13" t="s">
        <v>8981</v>
      </c>
      <c r="DA861" s="13" t="s">
        <v>10348</v>
      </c>
      <c r="DB861" s="13" t="s">
        <v>10348</v>
      </c>
    </row>
    <row r="862" spans="1:106" s="13" customFormat="1" ht="12.75" customHeight="1" x14ac:dyDescent="0.2">
      <c r="A862" s="13" t="s">
        <v>102</v>
      </c>
      <c r="B862" s="13" t="s">
        <v>103</v>
      </c>
      <c r="D862" s="13" t="s">
        <v>8957</v>
      </c>
      <c r="E862" s="13" t="s">
        <v>8958</v>
      </c>
      <c r="F862" s="13" t="s">
        <v>8957</v>
      </c>
      <c r="G862" s="13" t="s">
        <v>105</v>
      </c>
      <c r="H862" s="13" t="s">
        <v>820</v>
      </c>
      <c r="J862" s="13" t="s">
        <v>106</v>
      </c>
      <c r="W862" s="13">
        <v>873</v>
      </c>
      <c r="X862" s="13">
        <v>873</v>
      </c>
      <c r="Y862" s="13" t="s">
        <v>8959</v>
      </c>
      <c r="Z862" s="13" t="s">
        <v>8960</v>
      </c>
      <c r="AA862" s="13" t="s">
        <v>8961</v>
      </c>
      <c r="AB862" s="13" t="s">
        <v>9381</v>
      </c>
      <c r="AC862" s="13" t="s">
        <v>9381</v>
      </c>
      <c r="AD862" s="13" t="s">
        <v>9381</v>
      </c>
      <c r="AE862" s="13" t="s">
        <v>8964</v>
      </c>
      <c r="AF862" s="13" t="s">
        <v>9381</v>
      </c>
      <c r="AG862" s="13" t="s">
        <v>9381</v>
      </c>
      <c r="AH862" s="13" t="s">
        <v>9382</v>
      </c>
      <c r="AL862" s="13" t="s">
        <v>9383</v>
      </c>
      <c r="AN862" s="13">
        <v>3406</v>
      </c>
      <c r="AO862" s="13" t="s">
        <v>9384</v>
      </c>
      <c r="AQ862" s="13" t="s">
        <v>9381</v>
      </c>
      <c r="AR862" s="13" t="s">
        <v>9381</v>
      </c>
      <c r="AS862" s="13" t="s">
        <v>8968</v>
      </c>
      <c r="AT862" s="13" t="s">
        <v>9385</v>
      </c>
      <c r="AU862" s="13" t="s">
        <v>9105</v>
      </c>
      <c r="AV862" s="13" t="s">
        <v>9016</v>
      </c>
      <c r="AY862" s="13" t="s">
        <v>9386</v>
      </c>
      <c r="AZ862" s="13" t="s">
        <v>9387</v>
      </c>
      <c r="BA862" s="13" t="s">
        <v>9387</v>
      </c>
      <c r="BB862" s="17" t="s">
        <v>9388</v>
      </c>
      <c r="BC862" s="17" t="s">
        <v>9389</v>
      </c>
      <c r="BD862" s="13">
        <f t="shared" si="31"/>
        <v>56</v>
      </c>
      <c r="BE862" s="17" t="s">
        <v>9022</v>
      </c>
      <c r="BF862" s="17" t="s">
        <v>9023</v>
      </c>
      <c r="BG862" s="17" t="s">
        <v>9066</v>
      </c>
      <c r="BH862" s="17"/>
      <c r="BI862" s="17"/>
      <c r="BJ862" s="17" t="s">
        <v>9024</v>
      </c>
      <c r="BK862" s="17" t="s">
        <v>9366</v>
      </c>
      <c r="BL862" s="17"/>
      <c r="BM862" s="17"/>
      <c r="BN862" s="17"/>
      <c r="BO862" s="17" t="s">
        <v>9367</v>
      </c>
      <c r="BP862" s="17" t="s">
        <v>9368</v>
      </c>
      <c r="BQ862" s="17"/>
      <c r="BR862" s="17"/>
      <c r="BS862" s="17" t="s">
        <v>127</v>
      </c>
      <c r="BT862" s="17" t="s">
        <v>9369</v>
      </c>
      <c r="BU862" s="17" t="s">
        <v>7335</v>
      </c>
      <c r="BV862" s="17"/>
      <c r="BW862" s="17"/>
      <c r="BX862" s="13" t="s">
        <v>9390</v>
      </c>
      <c r="BY862" s="13" t="s">
        <v>8981</v>
      </c>
      <c r="DA862" s="13" t="s">
        <v>10348</v>
      </c>
      <c r="DB862" s="13" t="s">
        <v>10348</v>
      </c>
    </row>
    <row r="863" spans="1:106" s="13" customFormat="1" ht="12.75" customHeight="1" x14ac:dyDescent="0.2">
      <c r="A863" s="13" t="s">
        <v>102</v>
      </c>
      <c r="B863" s="13" t="s">
        <v>103</v>
      </c>
      <c r="D863" s="13" t="s">
        <v>8957</v>
      </c>
      <c r="E863" s="13" t="s">
        <v>8958</v>
      </c>
      <c r="F863" s="13" t="s">
        <v>8957</v>
      </c>
      <c r="G863" s="13" t="s">
        <v>105</v>
      </c>
      <c r="H863" s="13" t="s">
        <v>820</v>
      </c>
      <c r="J863" s="13" t="s">
        <v>106</v>
      </c>
      <c r="W863" s="13">
        <v>874</v>
      </c>
      <c r="X863" s="13">
        <v>874</v>
      </c>
      <c r="Y863" s="13" t="s">
        <v>8959</v>
      </c>
      <c r="Z863" s="13" t="s">
        <v>8960</v>
      </c>
      <c r="AA863" s="13" t="s">
        <v>8961</v>
      </c>
      <c r="AB863" s="13" t="s">
        <v>9391</v>
      </c>
      <c r="AC863" s="13" t="s">
        <v>9391</v>
      </c>
      <c r="AD863" s="13" t="s">
        <v>9391</v>
      </c>
      <c r="AE863" s="13" t="s">
        <v>8964</v>
      </c>
      <c r="AF863" s="13" t="s">
        <v>9391</v>
      </c>
      <c r="AG863" s="13" t="s">
        <v>9391</v>
      </c>
      <c r="AH863" s="13" t="s">
        <v>9392</v>
      </c>
      <c r="AL863" s="13" t="s">
        <v>9393</v>
      </c>
      <c r="AN863" s="13">
        <v>3406</v>
      </c>
      <c r="AO863" s="13" t="s">
        <v>9394</v>
      </c>
      <c r="AQ863" s="13" t="s">
        <v>9391</v>
      </c>
      <c r="AR863" s="13" t="s">
        <v>9391</v>
      </c>
      <c r="AS863" s="13" t="s">
        <v>8968</v>
      </c>
      <c r="AT863" s="13" t="s">
        <v>9395</v>
      </c>
      <c r="AU863" s="13" t="s">
        <v>9105</v>
      </c>
      <c r="AV863" s="13" t="s">
        <v>9016</v>
      </c>
      <c r="AY863" s="13" t="s">
        <v>9396</v>
      </c>
      <c r="AZ863" s="13" t="s">
        <v>9397</v>
      </c>
      <c r="BA863" s="13" t="s">
        <v>9397</v>
      </c>
      <c r="BB863" s="17" t="s">
        <v>9398</v>
      </c>
      <c r="BC863" s="17" t="s">
        <v>9399</v>
      </c>
      <c r="BD863" s="13">
        <f t="shared" si="31"/>
        <v>56</v>
      </c>
      <c r="BE863" s="17" t="s">
        <v>9022</v>
      </c>
      <c r="BF863" s="17" t="s">
        <v>9023</v>
      </c>
      <c r="BG863" s="17" t="s">
        <v>9066</v>
      </c>
      <c r="BH863" s="17"/>
      <c r="BI863" s="17"/>
      <c r="BJ863" s="17" t="s">
        <v>9400</v>
      </c>
      <c r="BK863" s="17" t="s">
        <v>9366</v>
      </c>
      <c r="BL863" s="17"/>
      <c r="BM863" s="17"/>
      <c r="BN863" s="17"/>
      <c r="BO863" s="17" t="s">
        <v>9367</v>
      </c>
      <c r="BP863" s="17" t="s">
        <v>9368</v>
      </c>
      <c r="BQ863" s="17"/>
      <c r="BR863" s="17"/>
      <c r="BS863" s="17" t="s">
        <v>127</v>
      </c>
      <c r="BT863" s="17" t="s">
        <v>9369</v>
      </c>
      <c r="BU863" s="17" t="s">
        <v>7335</v>
      </c>
      <c r="BV863" s="17"/>
      <c r="BW863" s="17"/>
      <c r="BX863" s="13" t="s">
        <v>9401</v>
      </c>
      <c r="BY863" s="13" t="s">
        <v>8981</v>
      </c>
      <c r="DA863" s="13" t="s">
        <v>10348</v>
      </c>
      <c r="DB863" s="13" t="s">
        <v>10348</v>
      </c>
    </row>
    <row r="864" spans="1:106" s="13" customFormat="1" ht="12.75" customHeight="1" x14ac:dyDescent="0.2">
      <c r="A864" s="13" t="s">
        <v>102</v>
      </c>
      <c r="B864" s="13" t="s">
        <v>103</v>
      </c>
      <c r="D864" s="13" t="s">
        <v>8957</v>
      </c>
      <c r="E864" s="13" t="s">
        <v>8958</v>
      </c>
      <c r="F864" s="13" t="s">
        <v>8957</v>
      </c>
      <c r="G864" s="13" t="s">
        <v>105</v>
      </c>
      <c r="H864" s="13" t="s">
        <v>820</v>
      </c>
      <c r="J864" s="13" t="s">
        <v>106</v>
      </c>
      <c r="W864" s="13">
        <v>875</v>
      </c>
      <c r="X864" s="13">
        <v>875</v>
      </c>
      <c r="Y864" s="13" t="s">
        <v>8959</v>
      </c>
      <c r="Z864" s="13" t="s">
        <v>8960</v>
      </c>
      <c r="AA864" s="13" t="s">
        <v>8961</v>
      </c>
      <c r="AB864" s="13" t="s">
        <v>9402</v>
      </c>
      <c r="AC864" s="13" t="s">
        <v>9402</v>
      </c>
      <c r="AD864" s="13" t="s">
        <v>9402</v>
      </c>
      <c r="AE864" s="13" t="s">
        <v>8964</v>
      </c>
      <c r="AF864" s="13" t="s">
        <v>9402</v>
      </c>
      <c r="AG864" s="13" t="s">
        <v>9402</v>
      </c>
      <c r="AH864" s="13" t="s">
        <v>9403</v>
      </c>
      <c r="AL864" s="13" t="s">
        <v>9404</v>
      </c>
      <c r="AN864" s="13">
        <v>3406</v>
      </c>
      <c r="AO864" s="13" t="s">
        <v>9405</v>
      </c>
      <c r="AQ864" s="13" t="s">
        <v>9402</v>
      </c>
      <c r="AR864" s="13" t="s">
        <v>9402</v>
      </c>
      <c r="AS864" s="13" t="s">
        <v>8968</v>
      </c>
      <c r="AT864" s="13" t="s">
        <v>9406</v>
      </c>
      <c r="AU864" s="13" t="s">
        <v>9105</v>
      </c>
      <c r="AV864" s="13" t="s">
        <v>9016</v>
      </c>
      <c r="AY864" s="13" t="s">
        <v>9407</v>
      </c>
      <c r="AZ864" s="13" t="s">
        <v>9408</v>
      </c>
      <c r="BA864" s="13" t="s">
        <v>9408</v>
      </c>
      <c r="BB864" s="17" t="s">
        <v>9409</v>
      </c>
      <c r="BC864" s="17" t="s">
        <v>9410</v>
      </c>
      <c r="BD864" s="13">
        <f t="shared" si="31"/>
        <v>56</v>
      </c>
      <c r="BE864" s="17" t="s">
        <v>9022</v>
      </c>
      <c r="BF864" s="17" t="s">
        <v>9023</v>
      </c>
      <c r="BG864" s="17" t="s">
        <v>9066</v>
      </c>
      <c r="BH864" s="17"/>
      <c r="BI864" s="17"/>
      <c r="BJ864" s="17" t="s">
        <v>9411</v>
      </c>
      <c r="BK864" s="17" t="s">
        <v>9366</v>
      </c>
      <c r="BL864" s="17"/>
      <c r="BM864" s="17"/>
      <c r="BN864" s="17"/>
      <c r="BO864" s="17" t="s">
        <v>9367</v>
      </c>
      <c r="BP864" s="17" t="s">
        <v>9368</v>
      </c>
      <c r="BQ864" s="17"/>
      <c r="BR864" s="17"/>
      <c r="BS864" s="17" t="s">
        <v>127</v>
      </c>
      <c r="BT864" s="17" t="s">
        <v>9369</v>
      </c>
      <c r="BU864" s="17" t="s">
        <v>7335</v>
      </c>
      <c r="BV864" s="17"/>
      <c r="BW864" s="17"/>
      <c r="BX864" s="13" t="s">
        <v>9412</v>
      </c>
      <c r="BY864" s="13" t="s">
        <v>8981</v>
      </c>
      <c r="DA864" s="13" t="s">
        <v>10348</v>
      </c>
      <c r="DB864" s="13" t="s">
        <v>10348</v>
      </c>
    </row>
    <row r="865" spans="1:106" s="13" customFormat="1" ht="12.75" customHeight="1" x14ac:dyDescent="0.2">
      <c r="A865" s="13" t="s">
        <v>102</v>
      </c>
      <c r="B865" s="13" t="s">
        <v>103</v>
      </c>
      <c r="D865" s="13" t="s">
        <v>8957</v>
      </c>
      <c r="E865" s="13" t="s">
        <v>8958</v>
      </c>
      <c r="F865" s="13" t="s">
        <v>8957</v>
      </c>
      <c r="G865" s="13" t="s">
        <v>105</v>
      </c>
      <c r="H865" s="13" t="s">
        <v>820</v>
      </c>
      <c r="J865" s="13" t="s">
        <v>106</v>
      </c>
      <c r="W865" s="13">
        <v>876</v>
      </c>
      <c r="X865" s="13">
        <v>876</v>
      </c>
      <c r="Y865" s="13" t="s">
        <v>8959</v>
      </c>
      <c r="Z865" s="13" t="s">
        <v>8960</v>
      </c>
      <c r="AA865" s="13" t="s">
        <v>8961</v>
      </c>
      <c r="AB865" s="13" t="s">
        <v>9413</v>
      </c>
      <c r="AC865" s="13" t="s">
        <v>9413</v>
      </c>
      <c r="AD865" s="13" t="s">
        <v>9413</v>
      </c>
      <c r="AE865" s="13" t="s">
        <v>8964</v>
      </c>
      <c r="AF865" s="13" t="s">
        <v>9413</v>
      </c>
      <c r="AG865" s="13" t="s">
        <v>9413</v>
      </c>
      <c r="AH865" s="13" t="s">
        <v>9414</v>
      </c>
      <c r="AL865" s="13" t="s">
        <v>9415</v>
      </c>
      <c r="AN865" s="13">
        <v>3406</v>
      </c>
      <c r="AO865" s="13" t="s">
        <v>9416</v>
      </c>
      <c r="AQ865" s="13" t="s">
        <v>9413</v>
      </c>
      <c r="AR865" s="13" t="s">
        <v>9413</v>
      </c>
      <c r="AS865" s="13" t="s">
        <v>8968</v>
      </c>
      <c r="AT865" s="13" t="s">
        <v>9417</v>
      </c>
      <c r="AU865" s="13" t="s">
        <v>9105</v>
      </c>
      <c r="AV865" s="13" t="s">
        <v>9016</v>
      </c>
      <c r="AY865" s="13" t="s">
        <v>9418</v>
      </c>
      <c r="AZ865" s="13" t="s">
        <v>9419</v>
      </c>
      <c r="BA865" s="13" t="s">
        <v>9419</v>
      </c>
      <c r="BB865" s="17" t="s">
        <v>9420</v>
      </c>
      <c r="BC865" s="17" t="s">
        <v>9421</v>
      </c>
      <c r="BD865" s="13">
        <f t="shared" si="31"/>
        <v>56</v>
      </c>
      <c r="BE865" s="17" t="s">
        <v>9022</v>
      </c>
      <c r="BF865" s="17" t="s">
        <v>9023</v>
      </c>
      <c r="BG865" s="17" t="s">
        <v>9066</v>
      </c>
      <c r="BH865" s="17"/>
      <c r="BI865" s="17"/>
      <c r="BJ865" s="17" t="s">
        <v>9422</v>
      </c>
      <c r="BK865" s="17" t="s">
        <v>9366</v>
      </c>
      <c r="BL865" s="17"/>
      <c r="BM865" s="17"/>
      <c r="BN865" s="17"/>
      <c r="BO865" s="17" t="s">
        <v>9367</v>
      </c>
      <c r="BP865" s="17" t="s">
        <v>9368</v>
      </c>
      <c r="BQ865" s="17"/>
      <c r="BR865" s="17"/>
      <c r="BS865" s="17" t="s">
        <v>127</v>
      </c>
      <c r="BT865" s="17" t="s">
        <v>9369</v>
      </c>
      <c r="BU865" s="17" t="s">
        <v>7335</v>
      </c>
      <c r="BV865" s="17"/>
      <c r="BW865" s="17"/>
      <c r="BX865" s="13" t="s">
        <v>9423</v>
      </c>
      <c r="BY865" s="13" t="s">
        <v>8981</v>
      </c>
      <c r="DA865" s="13" t="s">
        <v>10348</v>
      </c>
      <c r="DB865" s="13" t="s">
        <v>10348</v>
      </c>
    </row>
    <row r="866" spans="1:106" s="13" customFormat="1" ht="12.75" customHeight="1" x14ac:dyDescent="0.2">
      <c r="A866" s="13" t="s">
        <v>102</v>
      </c>
      <c r="B866" s="13" t="s">
        <v>103</v>
      </c>
      <c r="D866" s="13" t="s">
        <v>8957</v>
      </c>
      <c r="E866" s="13" t="s">
        <v>8958</v>
      </c>
      <c r="F866" s="13" t="s">
        <v>8957</v>
      </c>
      <c r="G866" s="13" t="s">
        <v>105</v>
      </c>
      <c r="H866" s="13" t="s">
        <v>820</v>
      </c>
      <c r="J866" s="13" t="s">
        <v>106</v>
      </c>
      <c r="W866" s="13">
        <v>877</v>
      </c>
      <c r="X866" s="13">
        <v>877</v>
      </c>
      <c r="Y866" s="13" t="s">
        <v>8959</v>
      </c>
      <c r="Z866" s="13" t="s">
        <v>8960</v>
      </c>
      <c r="AA866" s="13" t="s">
        <v>8961</v>
      </c>
      <c r="AB866" s="13" t="s">
        <v>9424</v>
      </c>
      <c r="AC866" s="13" t="s">
        <v>9424</v>
      </c>
      <c r="AD866" s="13" t="s">
        <v>9424</v>
      </c>
      <c r="AE866" s="13" t="s">
        <v>8964</v>
      </c>
      <c r="AF866" s="13" t="s">
        <v>9424</v>
      </c>
      <c r="AG866" s="13" t="s">
        <v>9424</v>
      </c>
      <c r="AH866" s="13" t="s">
        <v>9425</v>
      </c>
      <c r="AL866" s="13" t="s">
        <v>9426</v>
      </c>
      <c r="AN866" s="13">
        <v>3406</v>
      </c>
      <c r="AO866" s="13" t="s">
        <v>9427</v>
      </c>
      <c r="AQ866" s="13" t="s">
        <v>9424</v>
      </c>
      <c r="AR866" s="13" t="s">
        <v>9424</v>
      </c>
      <c r="AS866" s="13" t="s">
        <v>8968</v>
      </c>
      <c r="AT866" s="13" t="s">
        <v>9428</v>
      </c>
      <c r="AU866" s="13" t="s">
        <v>9105</v>
      </c>
      <c r="AV866" s="13" t="s">
        <v>9016</v>
      </c>
      <c r="AY866" s="13" t="s">
        <v>9429</v>
      </c>
      <c r="AZ866" s="13" t="s">
        <v>9430</v>
      </c>
      <c r="BA866" s="13" t="s">
        <v>9430</v>
      </c>
      <c r="BB866" s="17" t="s">
        <v>9431</v>
      </c>
      <c r="BC866" s="17" t="s">
        <v>9432</v>
      </c>
      <c r="BD866" s="13">
        <f t="shared" si="31"/>
        <v>56</v>
      </c>
      <c r="BE866" s="17" t="s">
        <v>9022</v>
      </c>
      <c r="BF866" s="17" t="s">
        <v>9023</v>
      </c>
      <c r="BG866" s="17" t="s">
        <v>9066</v>
      </c>
      <c r="BH866" s="17"/>
      <c r="BI866" s="17"/>
      <c r="BJ866" s="17" t="s">
        <v>9433</v>
      </c>
      <c r="BK866" s="17" t="s">
        <v>9366</v>
      </c>
      <c r="BL866" s="17"/>
      <c r="BM866" s="17"/>
      <c r="BN866" s="17"/>
      <c r="BO866" s="17" t="s">
        <v>9367</v>
      </c>
      <c r="BP866" s="17" t="s">
        <v>9368</v>
      </c>
      <c r="BQ866" s="17"/>
      <c r="BR866" s="17"/>
      <c r="BS866" s="17" t="s">
        <v>127</v>
      </c>
      <c r="BT866" s="17" t="s">
        <v>9369</v>
      </c>
      <c r="BU866" s="17" t="s">
        <v>7335</v>
      </c>
      <c r="BV866" s="17"/>
      <c r="BW866" s="17"/>
      <c r="BX866" s="13" t="s">
        <v>9434</v>
      </c>
      <c r="BY866" s="13" t="s">
        <v>8981</v>
      </c>
      <c r="DA866" s="13" t="s">
        <v>10348</v>
      </c>
      <c r="DB866" s="13" t="s">
        <v>10348</v>
      </c>
    </row>
    <row r="867" spans="1:106" s="13" customFormat="1" ht="12.75" customHeight="1" x14ac:dyDescent="0.2">
      <c r="A867" s="13" t="s">
        <v>102</v>
      </c>
      <c r="B867" s="13" t="s">
        <v>103</v>
      </c>
      <c r="D867" s="13" t="s">
        <v>8957</v>
      </c>
      <c r="E867" s="13" t="s">
        <v>8958</v>
      </c>
      <c r="F867" s="13" t="s">
        <v>8957</v>
      </c>
      <c r="G867" s="13" t="s">
        <v>105</v>
      </c>
      <c r="H867" s="13" t="s">
        <v>820</v>
      </c>
      <c r="J867" s="13" t="s">
        <v>106</v>
      </c>
      <c r="W867" s="13">
        <v>878</v>
      </c>
      <c r="X867" s="13">
        <v>878</v>
      </c>
      <c r="Y867" s="13" t="s">
        <v>8959</v>
      </c>
      <c r="Z867" s="13" t="s">
        <v>8960</v>
      </c>
      <c r="AA867" s="13" t="s">
        <v>8961</v>
      </c>
      <c r="AB867" s="13" t="s">
        <v>9435</v>
      </c>
      <c r="AC867" s="13" t="s">
        <v>9435</v>
      </c>
      <c r="AD867" s="13" t="s">
        <v>9435</v>
      </c>
      <c r="AE867" s="13" t="s">
        <v>8964</v>
      </c>
      <c r="AF867" s="13" t="s">
        <v>9435</v>
      </c>
      <c r="AG867" s="13" t="s">
        <v>9435</v>
      </c>
      <c r="AH867" s="13" t="s">
        <v>9436</v>
      </c>
      <c r="AL867" s="13" t="s">
        <v>9437</v>
      </c>
      <c r="AN867" s="13">
        <v>3406</v>
      </c>
      <c r="AO867" s="13" t="s">
        <v>9438</v>
      </c>
      <c r="AQ867" s="13" t="s">
        <v>9435</v>
      </c>
      <c r="AR867" s="13" t="s">
        <v>9435</v>
      </c>
      <c r="AS867" s="13" t="s">
        <v>8968</v>
      </c>
      <c r="AT867" s="13" t="s">
        <v>9439</v>
      </c>
      <c r="AU867" s="13" t="s">
        <v>9105</v>
      </c>
      <c r="AV867" s="13" t="s">
        <v>9016</v>
      </c>
      <c r="AY867" s="13" t="s">
        <v>9440</v>
      </c>
      <c r="AZ867" s="13" t="s">
        <v>9441</v>
      </c>
      <c r="BA867" s="13" t="s">
        <v>9441</v>
      </c>
      <c r="BB867" s="17" t="s">
        <v>9442</v>
      </c>
      <c r="BC867" s="17" t="s">
        <v>9443</v>
      </c>
      <c r="BD867" s="13">
        <f t="shared" si="31"/>
        <v>56</v>
      </c>
      <c r="BE867" s="17" t="s">
        <v>9022</v>
      </c>
      <c r="BF867" s="17" t="s">
        <v>9023</v>
      </c>
      <c r="BG867" s="17" t="s">
        <v>9066</v>
      </c>
      <c r="BH867" s="17"/>
      <c r="BI867" s="17"/>
      <c r="BJ867" s="17" t="s">
        <v>9113</v>
      </c>
      <c r="BK867" s="17" t="s">
        <v>9366</v>
      </c>
      <c r="BL867" s="17"/>
      <c r="BM867" s="17"/>
      <c r="BN867" s="17"/>
      <c r="BO867" s="17" t="s">
        <v>9367</v>
      </c>
      <c r="BP867" s="17" t="s">
        <v>9368</v>
      </c>
      <c r="BQ867" s="17"/>
      <c r="BR867" s="17"/>
      <c r="BS867" s="17" t="s">
        <v>127</v>
      </c>
      <c r="BT867" s="17" t="s">
        <v>9369</v>
      </c>
      <c r="BU867" s="17" t="s">
        <v>7335</v>
      </c>
      <c r="BV867" s="17"/>
      <c r="BW867" s="17"/>
      <c r="BX867" s="13" t="s">
        <v>9444</v>
      </c>
      <c r="BY867" s="13" t="s">
        <v>8981</v>
      </c>
      <c r="DA867" s="13" t="s">
        <v>10348</v>
      </c>
      <c r="DB867" s="13" t="s">
        <v>10348</v>
      </c>
    </row>
    <row r="868" spans="1:106" s="13" customFormat="1" ht="12.75" customHeight="1" x14ac:dyDescent="0.2">
      <c r="A868" s="13" t="s">
        <v>102</v>
      </c>
      <c r="B868" s="13" t="s">
        <v>103</v>
      </c>
      <c r="D868" s="13" t="s">
        <v>8957</v>
      </c>
      <c r="E868" s="13" t="s">
        <v>8958</v>
      </c>
      <c r="F868" s="13" t="s">
        <v>8957</v>
      </c>
      <c r="G868" s="13" t="s">
        <v>105</v>
      </c>
      <c r="H868" s="13" t="s">
        <v>820</v>
      </c>
      <c r="J868" s="13" t="s">
        <v>106</v>
      </c>
      <c r="W868" s="13">
        <v>879</v>
      </c>
      <c r="X868" s="13">
        <v>879</v>
      </c>
      <c r="Y868" s="13" t="s">
        <v>8959</v>
      </c>
      <c r="Z868" s="13" t="s">
        <v>8960</v>
      </c>
      <c r="AA868" s="13" t="s">
        <v>8961</v>
      </c>
      <c r="AB868" s="13" t="s">
        <v>9445</v>
      </c>
      <c r="AC868" s="13" t="s">
        <v>9445</v>
      </c>
      <c r="AD868" s="13" t="s">
        <v>9445</v>
      </c>
      <c r="AE868" s="13" t="s">
        <v>8964</v>
      </c>
      <c r="AF868" s="13" t="s">
        <v>9445</v>
      </c>
      <c r="AG868" s="13" t="s">
        <v>9445</v>
      </c>
      <c r="AH868" s="13" t="s">
        <v>9446</v>
      </c>
      <c r="AL868" s="13" t="s">
        <v>9447</v>
      </c>
      <c r="AN868" s="13">
        <v>3406</v>
      </c>
      <c r="AO868" s="13" t="s">
        <v>9448</v>
      </c>
      <c r="AQ868" s="13" t="s">
        <v>9445</v>
      </c>
      <c r="AR868" s="13" t="s">
        <v>9445</v>
      </c>
      <c r="AS868" s="13" t="s">
        <v>8968</v>
      </c>
      <c r="AT868" s="13" t="s">
        <v>9449</v>
      </c>
      <c r="AU868" s="13" t="s">
        <v>9105</v>
      </c>
      <c r="AV868" s="13" t="s">
        <v>9016</v>
      </c>
      <c r="AY868" s="13" t="s">
        <v>9450</v>
      </c>
      <c r="AZ868" s="13" t="s">
        <v>9451</v>
      </c>
      <c r="BA868" s="13" t="s">
        <v>9451</v>
      </c>
      <c r="BB868" s="17" t="s">
        <v>9452</v>
      </c>
      <c r="BC868" s="17" t="s">
        <v>9453</v>
      </c>
      <c r="BD868" s="13">
        <f t="shared" si="31"/>
        <v>56</v>
      </c>
      <c r="BE868" s="17" t="s">
        <v>9022</v>
      </c>
      <c r="BF868" s="17" t="s">
        <v>9023</v>
      </c>
      <c r="BG868" s="17" t="s">
        <v>9066</v>
      </c>
      <c r="BH868" s="17"/>
      <c r="BI868" s="17"/>
      <c r="BJ868" s="17" t="s">
        <v>9454</v>
      </c>
      <c r="BK868" s="17" t="s">
        <v>9366</v>
      </c>
      <c r="BL868" s="17"/>
      <c r="BM868" s="17"/>
      <c r="BN868" s="17"/>
      <c r="BO868" s="17" t="s">
        <v>9367</v>
      </c>
      <c r="BP868" s="17" t="s">
        <v>9368</v>
      </c>
      <c r="BQ868" s="17"/>
      <c r="BR868" s="17"/>
      <c r="BS868" s="17" t="s">
        <v>127</v>
      </c>
      <c r="BT868" s="17" t="s">
        <v>9369</v>
      </c>
      <c r="BU868" s="17" t="s">
        <v>129</v>
      </c>
      <c r="BV868" s="17"/>
      <c r="BW868" s="17"/>
      <c r="BX868" s="13" t="s">
        <v>9455</v>
      </c>
      <c r="BY868" s="13" t="s">
        <v>8981</v>
      </c>
      <c r="DA868" s="13" t="s">
        <v>10348</v>
      </c>
      <c r="DB868" s="13" t="s">
        <v>10348</v>
      </c>
    </row>
    <row r="869" spans="1:106" s="13" customFormat="1" ht="12.75" customHeight="1" x14ac:dyDescent="0.2">
      <c r="A869" s="13" t="s">
        <v>102</v>
      </c>
      <c r="B869" s="13" t="s">
        <v>103</v>
      </c>
      <c r="D869" s="13" t="s">
        <v>8957</v>
      </c>
      <c r="E869" s="13" t="s">
        <v>9456</v>
      </c>
      <c r="F869" s="13" t="s">
        <v>8957</v>
      </c>
      <c r="H869" s="13" t="s">
        <v>820</v>
      </c>
      <c r="J869" s="13" t="s">
        <v>106</v>
      </c>
      <c r="W869" s="13">
        <v>880</v>
      </c>
      <c r="X869" s="13">
        <v>880</v>
      </c>
      <c r="Y869" s="13" t="s">
        <v>8959</v>
      </c>
      <c r="Z869" s="13" t="s">
        <v>8960</v>
      </c>
      <c r="AA869" s="13" t="s">
        <v>8961</v>
      </c>
      <c r="AB869" s="13" t="s">
        <v>9457</v>
      </c>
      <c r="AC869" s="13" t="s">
        <v>9457</v>
      </c>
      <c r="AD869" s="13" t="s">
        <v>9457</v>
      </c>
      <c r="AE869" s="13" t="s">
        <v>8964</v>
      </c>
      <c r="AF869" s="13" t="s">
        <v>9457</v>
      </c>
      <c r="AG869" s="13" t="s">
        <v>9457</v>
      </c>
      <c r="AH869" s="13" t="s">
        <v>9458</v>
      </c>
      <c r="AL869" s="13" t="s">
        <v>9459</v>
      </c>
      <c r="AN869" s="13">
        <v>3406</v>
      </c>
      <c r="AO869" s="13" t="s">
        <v>9460</v>
      </c>
      <c r="AQ869" s="13" t="s">
        <v>9457</v>
      </c>
      <c r="AR869" s="13" t="s">
        <v>9457</v>
      </c>
      <c r="AS869" s="13" t="s">
        <v>8968</v>
      </c>
      <c r="AT869" s="13" t="s">
        <v>9461</v>
      </c>
      <c r="AU869" s="13" t="s">
        <v>9462</v>
      </c>
      <c r="AV869" s="13" t="s">
        <v>9225</v>
      </c>
      <c r="AY869" s="13" t="s">
        <v>9463</v>
      </c>
      <c r="AZ869" s="13" t="s">
        <v>9464</v>
      </c>
      <c r="BA869" s="13" t="s">
        <v>9464</v>
      </c>
      <c r="BB869" s="17" t="s">
        <v>9465</v>
      </c>
      <c r="BC869" s="17" t="s">
        <v>9466</v>
      </c>
      <c r="BD869" s="13">
        <f t="shared" si="31"/>
        <v>59</v>
      </c>
      <c r="BE869" s="17" t="s">
        <v>834</v>
      </c>
      <c r="BF869" s="17" t="s">
        <v>9467</v>
      </c>
      <c r="BG869" s="17" t="s">
        <v>9468</v>
      </c>
      <c r="BH869" s="17"/>
      <c r="BI869" s="17"/>
      <c r="BJ869" s="17" t="s">
        <v>9469</v>
      </c>
      <c r="BK869" s="17"/>
      <c r="BL869" s="17"/>
      <c r="BM869" s="17"/>
      <c r="BN869" s="17"/>
      <c r="BO869" s="17" t="s">
        <v>9022</v>
      </c>
      <c r="BP869" s="17"/>
      <c r="BQ869" s="17"/>
      <c r="BR869" s="17"/>
      <c r="BS869" s="17" t="s">
        <v>127</v>
      </c>
      <c r="BT869" s="17" t="s">
        <v>9462</v>
      </c>
      <c r="BU869" s="17" t="s">
        <v>129</v>
      </c>
      <c r="BV869" s="17"/>
      <c r="BW869" s="17"/>
      <c r="BX869" s="13" t="s">
        <v>9470</v>
      </c>
      <c r="BY869" s="13" t="s">
        <v>8981</v>
      </c>
      <c r="DA869" s="13" t="s">
        <v>10348</v>
      </c>
      <c r="DB869" s="13" t="s">
        <v>10348</v>
      </c>
    </row>
    <row r="870" spans="1:106" s="13" customFormat="1" ht="12.75" customHeight="1" x14ac:dyDescent="0.2">
      <c r="A870" s="13" t="s">
        <v>102</v>
      </c>
      <c r="B870" s="13" t="s">
        <v>103</v>
      </c>
      <c r="D870" s="13" t="s">
        <v>8957</v>
      </c>
      <c r="E870" s="13" t="s">
        <v>8958</v>
      </c>
      <c r="F870" s="13" t="s">
        <v>8957</v>
      </c>
      <c r="G870" s="13" t="s">
        <v>105</v>
      </c>
      <c r="H870" s="13" t="s">
        <v>820</v>
      </c>
      <c r="J870" s="13" t="s">
        <v>106</v>
      </c>
      <c r="W870" s="13">
        <v>881</v>
      </c>
      <c r="X870" s="13">
        <v>881</v>
      </c>
      <c r="Y870" s="13" t="s">
        <v>8959</v>
      </c>
      <c r="Z870" s="13" t="s">
        <v>8960</v>
      </c>
      <c r="AA870" s="13" t="s">
        <v>8961</v>
      </c>
      <c r="AB870" s="13" t="s">
        <v>9471</v>
      </c>
      <c r="AC870" s="13" t="s">
        <v>9471</v>
      </c>
      <c r="AD870" s="13" t="s">
        <v>9471</v>
      </c>
      <c r="AE870" s="13" t="s">
        <v>8964</v>
      </c>
      <c r="AF870" s="13" t="s">
        <v>9471</v>
      </c>
      <c r="AG870" s="13" t="s">
        <v>9471</v>
      </c>
      <c r="AH870" s="13" t="s">
        <v>9472</v>
      </c>
      <c r="AL870" s="13" t="s">
        <v>9473</v>
      </c>
      <c r="AN870" s="13">
        <v>3406</v>
      </c>
      <c r="AO870" s="13" t="s">
        <v>9474</v>
      </c>
      <c r="AQ870" s="13" t="s">
        <v>9471</v>
      </c>
      <c r="AR870" s="13" t="s">
        <v>9471</v>
      </c>
      <c r="AS870" s="13" t="s">
        <v>8968</v>
      </c>
      <c r="AT870" s="13" t="s">
        <v>9475</v>
      </c>
      <c r="AU870" s="13" t="s">
        <v>8970</v>
      </c>
      <c r="AV870" s="13" t="s">
        <v>9016</v>
      </c>
      <c r="AY870" s="13" t="s">
        <v>9476</v>
      </c>
      <c r="AZ870" s="13" t="s">
        <v>9477</v>
      </c>
      <c r="BA870" s="13" t="s">
        <v>9477</v>
      </c>
      <c r="BB870" s="17" t="s">
        <v>9478</v>
      </c>
      <c r="BC870" s="17" t="s">
        <v>9479</v>
      </c>
      <c r="BD870" s="13">
        <f t="shared" si="31"/>
        <v>57</v>
      </c>
      <c r="BE870" s="17" t="s">
        <v>9022</v>
      </c>
      <c r="BF870" s="17" t="s">
        <v>9023</v>
      </c>
      <c r="BG870" s="17" t="s">
        <v>9066</v>
      </c>
      <c r="BH870" s="17"/>
      <c r="BI870" s="17"/>
      <c r="BJ870" s="17" t="s">
        <v>9104</v>
      </c>
      <c r="BK870" s="17" t="s">
        <v>9366</v>
      </c>
      <c r="BL870" s="17"/>
      <c r="BM870" s="17"/>
      <c r="BN870" s="17"/>
      <c r="BO870" s="17" t="s">
        <v>9480</v>
      </c>
      <c r="BP870" s="17" t="s">
        <v>9368</v>
      </c>
      <c r="BQ870" s="17"/>
      <c r="BR870" s="17"/>
      <c r="BS870" s="17" t="s">
        <v>127</v>
      </c>
      <c r="BT870" s="17" t="s">
        <v>9481</v>
      </c>
      <c r="BU870" s="17" t="s">
        <v>129</v>
      </c>
      <c r="BV870" s="17"/>
      <c r="BW870" s="17"/>
      <c r="BX870" s="13" t="s">
        <v>9482</v>
      </c>
      <c r="BY870" s="13" t="s">
        <v>8981</v>
      </c>
      <c r="DA870" s="13" t="s">
        <v>10348</v>
      </c>
      <c r="DB870" s="13" t="s">
        <v>10348</v>
      </c>
    </row>
    <row r="871" spans="1:106" s="13" customFormat="1" ht="12.75" customHeight="1" x14ac:dyDescent="0.2">
      <c r="A871" s="13" t="s">
        <v>102</v>
      </c>
      <c r="B871" s="13" t="s">
        <v>103</v>
      </c>
      <c r="D871" s="13" t="s">
        <v>8957</v>
      </c>
      <c r="E871" s="13" t="s">
        <v>8958</v>
      </c>
      <c r="F871" s="13" t="s">
        <v>8957</v>
      </c>
      <c r="G871" s="13" t="s">
        <v>105</v>
      </c>
      <c r="H871" s="13" t="s">
        <v>820</v>
      </c>
      <c r="J871" s="13" t="s">
        <v>106</v>
      </c>
      <c r="W871" s="13">
        <v>882</v>
      </c>
      <c r="X871" s="13">
        <v>882</v>
      </c>
      <c r="Y871" s="13" t="s">
        <v>8959</v>
      </c>
      <c r="Z871" s="13" t="s">
        <v>8960</v>
      </c>
      <c r="AA871" s="13" t="s">
        <v>8961</v>
      </c>
      <c r="AB871" s="13" t="s">
        <v>9483</v>
      </c>
      <c r="AC871" s="13" t="s">
        <v>9483</v>
      </c>
      <c r="AD871" s="13" t="s">
        <v>9483</v>
      </c>
      <c r="AE871" s="13" t="s">
        <v>8964</v>
      </c>
      <c r="AF871" s="13" t="s">
        <v>9483</v>
      </c>
      <c r="AG871" s="13" t="s">
        <v>9483</v>
      </c>
      <c r="AH871" s="13" t="s">
        <v>9484</v>
      </c>
      <c r="AL871" s="13" t="s">
        <v>9485</v>
      </c>
      <c r="AN871" s="13">
        <v>3406</v>
      </c>
      <c r="AO871" s="13" t="s">
        <v>9486</v>
      </c>
      <c r="AQ871" s="13" t="s">
        <v>9483</v>
      </c>
      <c r="AR871" s="13" t="s">
        <v>9483</v>
      </c>
      <c r="AS871" s="13" t="s">
        <v>8968</v>
      </c>
      <c r="AT871" s="13" t="s">
        <v>9487</v>
      </c>
      <c r="AU871" s="13" t="s">
        <v>8970</v>
      </c>
      <c r="AV871" s="13" t="s">
        <v>9016</v>
      </c>
      <c r="AY871" s="13" t="s">
        <v>9488</v>
      </c>
      <c r="AZ871" s="13" t="s">
        <v>9489</v>
      </c>
      <c r="BA871" s="13" t="s">
        <v>9489</v>
      </c>
      <c r="BB871" s="17" t="s">
        <v>9490</v>
      </c>
      <c r="BC871" s="17" t="s">
        <v>9491</v>
      </c>
      <c r="BD871" s="13">
        <f t="shared" si="31"/>
        <v>55</v>
      </c>
      <c r="BE871" s="17" t="s">
        <v>9022</v>
      </c>
      <c r="BF871" s="17" t="s">
        <v>9023</v>
      </c>
      <c r="BG871" s="17" t="s">
        <v>9066</v>
      </c>
      <c r="BH871" s="17"/>
      <c r="BI871" s="17"/>
      <c r="BJ871" s="17" t="s">
        <v>9104</v>
      </c>
      <c r="BK871" s="17" t="s">
        <v>9366</v>
      </c>
      <c r="BL871" s="17"/>
      <c r="BM871" s="17"/>
      <c r="BN871" s="17"/>
      <c r="BO871" s="17" t="s">
        <v>9492</v>
      </c>
      <c r="BP871" s="17" t="s">
        <v>9368</v>
      </c>
      <c r="BQ871" s="17"/>
      <c r="BR871" s="17"/>
      <c r="BS871" s="17" t="s">
        <v>127</v>
      </c>
      <c r="BT871" s="17" t="s">
        <v>9481</v>
      </c>
      <c r="BU871" s="17" t="s">
        <v>129</v>
      </c>
      <c r="BV871" s="17"/>
      <c r="BW871" s="17"/>
      <c r="BX871" s="13" t="s">
        <v>9493</v>
      </c>
      <c r="BY871" s="13" t="s">
        <v>8981</v>
      </c>
      <c r="DA871" s="13" t="s">
        <v>10348</v>
      </c>
      <c r="DB871" s="13" t="s">
        <v>10348</v>
      </c>
    </row>
    <row r="872" spans="1:106" s="13" customFormat="1" ht="12.75" customHeight="1" x14ac:dyDescent="0.2">
      <c r="A872" s="13" t="s">
        <v>102</v>
      </c>
      <c r="B872" s="13" t="s">
        <v>103</v>
      </c>
      <c r="D872" s="13" t="s">
        <v>8957</v>
      </c>
      <c r="E872" s="13" t="s">
        <v>8958</v>
      </c>
      <c r="F872" s="13" t="s">
        <v>8957</v>
      </c>
      <c r="G872" s="13" t="s">
        <v>105</v>
      </c>
      <c r="H872" s="13" t="s">
        <v>820</v>
      </c>
      <c r="J872" s="13" t="s">
        <v>106</v>
      </c>
      <c r="W872" s="13">
        <v>883</v>
      </c>
      <c r="X872" s="13">
        <v>883</v>
      </c>
      <c r="Y872" s="13" t="s">
        <v>8959</v>
      </c>
      <c r="Z872" s="13" t="s">
        <v>8960</v>
      </c>
      <c r="AA872" s="13" t="s">
        <v>8961</v>
      </c>
      <c r="AB872" s="13" t="s">
        <v>9494</v>
      </c>
      <c r="AC872" s="13" t="s">
        <v>9494</v>
      </c>
      <c r="AD872" s="13" t="s">
        <v>9494</v>
      </c>
      <c r="AE872" s="13" t="s">
        <v>8964</v>
      </c>
      <c r="AF872" s="13" t="s">
        <v>9494</v>
      </c>
      <c r="AG872" s="13" t="s">
        <v>9494</v>
      </c>
      <c r="AH872" s="13" t="s">
        <v>9495</v>
      </c>
      <c r="AL872" s="13" t="s">
        <v>9496</v>
      </c>
      <c r="AN872" s="13">
        <v>3406</v>
      </c>
      <c r="AO872" s="13" t="s">
        <v>9497</v>
      </c>
      <c r="AQ872" s="13" t="s">
        <v>9494</v>
      </c>
      <c r="AR872" s="13" t="s">
        <v>9494</v>
      </c>
      <c r="AS872" s="13" t="s">
        <v>8968</v>
      </c>
      <c r="AT872" s="13" t="s">
        <v>9498</v>
      </c>
      <c r="AU872" s="13" t="s">
        <v>8970</v>
      </c>
      <c r="AV872" s="13" t="s">
        <v>9016</v>
      </c>
      <c r="AY872" s="13" t="s">
        <v>9499</v>
      </c>
      <c r="AZ872" s="13" t="s">
        <v>9500</v>
      </c>
      <c r="BA872" s="13" t="s">
        <v>9500</v>
      </c>
      <c r="BB872" s="17" t="s">
        <v>9501</v>
      </c>
      <c r="BC872" s="17" t="s">
        <v>9502</v>
      </c>
      <c r="BD872" s="13">
        <f t="shared" si="31"/>
        <v>58</v>
      </c>
      <c r="BE872" s="17" t="s">
        <v>9022</v>
      </c>
      <c r="BF872" s="17" t="s">
        <v>9023</v>
      </c>
      <c r="BG872" s="17" t="s">
        <v>9066</v>
      </c>
      <c r="BH872" s="17"/>
      <c r="BI872" s="17"/>
      <c r="BJ872" s="17" t="s">
        <v>9411</v>
      </c>
      <c r="BK872" s="17" t="s">
        <v>9366</v>
      </c>
      <c r="BL872" s="17"/>
      <c r="BM872" s="17"/>
      <c r="BN872" s="17"/>
      <c r="BO872" s="17" t="s">
        <v>9503</v>
      </c>
      <c r="BP872" s="17" t="s">
        <v>9368</v>
      </c>
      <c r="BQ872" s="17"/>
      <c r="BR872" s="17"/>
      <c r="BS872" s="17" t="s">
        <v>127</v>
      </c>
      <c r="BT872" s="17" t="s">
        <v>9481</v>
      </c>
      <c r="BU872" s="17" t="s">
        <v>129</v>
      </c>
      <c r="BV872" s="17"/>
      <c r="BW872" s="17"/>
      <c r="BX872" s="13" t="s">
        <v>9504</v>
      </c>
      <c r="BY872" s="13" t="s">
        <v>8981</v>
      </c>
      <c r="DA872" s="13" t="s">
        <v>10348</v>
      </c>
      <c r="DB872" s="13" t="s">
        <v>10348</v>
      </c>
    </row>
    <row r="873" spans="1:106" s="13" customFormat="1" ht="12.75" customHeight="1" x14ac:dyDescent="0.2">
      <c r="A873" s="13" t="s">
        <v>102</v>
      </c>
      <c r="B873" s="13" t="s">
        <v>103</v>
      </c>
      <c r="D873" s="13" t="s">
        <v>8957</v>
      </c>
      <c r="E873" s="13" t="s">
        <v>8958</v>
      </c>
      <c r="F873" s="13" t="s">
        <v>8957</v>
      </c>
      <c r="G873" s="13" t="s">
        <v>105</v>
      </c>
      <c r="H873" s="13" t="s">
        <v>820</v>
      </c>
      <c r="J873" s="13" t="s">
        <v>106</v>
      </c>
      <c r="W873" s="13">
        <v>884</v>
      </c>
      <c r="X873" s="13">
        <v>884</v>
      </c>
      <c r="Y873" s="13" t="s">
        <v>8959</v>
      </c>
      <c r="Z873" s="13" t="s">
        <v>8960</v>
      </c>
      <c r="AA873" s="13" t="s">
        <v>8961</v>
      </c>
      <c r="AB873" s="13" t="s">
        <v>9505</v>
      </c>
      <c r="AC873" s="13" t="s">
        <v>9505</v>
      </c>
      <c r="AD873" s="13" t="s">
        <v>9505</v>
      </c>
      <c r="AE873" s="13" t="s">
        <v>8964</v>
      </c>
      <c r="AF873" s="13" t="s">
        <v>9505</v>
      </c>
      <c r="AG873" s="13" t="s">
        <v>9505</v>
      </c>
      <c r="AH873" s="13" t="s">
        <v>9506</v>
      </c>
      <c r="AL873" s="13" t="s">
        <v>9507</v>
      </c>
      <c r="AN873" s="13">
        <v>3406</v>
      </c>
      <c r="AO873" s="13" t="s">
        <v>9508</v>
      </c>
      <c r="AQ873" s="13" t="s">
        <v>9505</v>
      </c>
      <c r="AR873" s="13" t="s">
        <v>9505</v>
      </c>
      <c r="AS873" s="13" t="s">
        <v>8968</v>
      </c>
      <c r="AT873" s="13" t="s">
        <v>9509</v>
      </c>
      <c r="AU873" s="13" t="s">
        <v>8970</v>
      </c>
      <c r="AV873" s="13" t="s">
        <v>9016</v>
      </c>
      <c r="AY873" s="13" t="s">
        <v>9510</v>
      </c>
      <c r="AZ873" s="13" t="s">
        <v>9511</v>
      </c>
      <c r="BA873" s="13" t="s">
        <v>9511</v>
      </c>
      <c r="BB873" s="17" t="s">
        <v>9512</v>
      </c>
      <c r="BC873" s="17" t="s">
        <v>9513</v>
      </c>
      <c r="BD873" s="13">
        <f t="shared" si="31"/>
        <v>58</v>
      </c>
      <c r="BE873" s="17" t="s">
        <v>9022</v>
      </c>
      <c r="BF873" s="17" t="s">
        <v>9023</v>
      </c>
      <c r="BG873" s="17" t="s">
        <v>9066</v>
      </c>
      <c r="BH873" s="17"/>
      <c r="BI873" s="17"/>
      <c r="BJ873" s="17" t="s">
        <v>9514</v>
      </c>
      <c r="BK873" s="17" t="s">
        <v>9366</v>
      </c>
      <c r="BL873" s="17"/>
      <c r="BM873" s="17"/>
      <c r="BN873" s="17"/>
      <c r="BO873" s="17" t="s">
        <v>9503</v>
      </c>
      <c r="BP873" s="17" t="s">
        <v>9368</v>
      </c>
      <c r="BQ873" s="17"/>
      <c r="BR873" s="17"/>
      <c r="BS873" s="17" t="s">
        <v>127</v>
      </c>
      <c r="BT873" s="17" t="s">
        <v>9481</v>
      </c>
      <c r="BU873" s="17" t="s">
        <v>129</v>
      </c>
      <c r="BV873" s="17"/>
      <c r="BW873" s="17"/>
      <c r="BX873" s="13" t="s">
        <v>9515</v>
      </c>
      <c r="BY873" s="13" t="s">
        <v>8981</v>
      </c>
      <c r="DA873" s="13" t="s">
        <v>10348</v>
      </c>
      <c r="DB873" s="13" t="s">
        <v>10348</v>
      </c>
    </row>
    <row r="874" spans="1:106" s="13" customFormat="1" ht="12.75" customHeight="1" x14ac:dyDescent="0.2">
      <c r="A874" s="13" t="s">
        <v>102</v>
      </c>
      <c r="B874" s="13" t="s">
        <v>103</v>
      </c>
      <c r="D874" s="13" t="s">
        <v>8957</v>
      </c>
      <c r="E874" s="13" t="s">
        <v>8958</v>
      </c>
      <c r="F874" s="13" t="s">
        <v>8957</v>
      </c>
      <c r="G874" s="13" t="s">
        <v>105</v>
      </c>
      <c r="H874" s="13" t="s">
        <v>820</v>
      </c>
      <c r="J874" s="13" t="s">
        <v>106</v>
      </c>
      <c r="W874" s="13">
        <v>885</v>
      </c>
      <c r="X874" s="13">
        <v>885</v>
      </c>
      <c r="Y874" s="13" t="s">
        <v>8959</v>
      </c>
      <c r="Z874" s="13" t="s">
        <v>8960</v>
      </c>
      <c r="AA874" s="13" t="s">
        <v>8961</v>
      </c>
      <c r="AB874" s="13" t="s">
        <v>9516</v>
      </c>
      <c r="AC874" s="13" t="s">
        <v>9516</v>
      </c>
      <c r="AD874" s="13" t="s">
        <v>9516</v>
      </c>
      <c r="AE874" s="13" t="s">
        <v>8964</v>
      </c>
      <c r="AF874" s="13" t="s">
        <v>9516</v>
      </c>
      <c r="AG874" s="13" t="s">
        <v>9516</v>
      </c>
      <c r="AH874" s="13" t="s">
        <v>9517</v>
      </c>
      <c r="AL874" s="13" t="s">
        <v>9518</v>
      </c>
      <c r="AN874" s="13">
        <v>3406</v>
      </c>
      <c r="AO874" s="13" t="s">
        <v>9519</v>
      </c>
      <c r="AQ874" s="13" t="s">
        <v>9516</v>
      </c>
      <c r="AR874" s="13" t="s">
        <v>9516</v>
      </c>
      <c r="AS874" s="13" t="s">
        <v>8968</v>
      </c>
      <c r="AT874" s="13" t="s">
        <v>9520</v>
      </c>
      <c r="AU874" s="13" t="s">
        <v>8970</v>
      </c>
      <c r="AV874" s="13" t="s">
        <v>9016</v>
      </c>
      <c r="AY874" s="13" t="s">
        <v>9521</v>
      </c>
      <c r="AZ874" s="13" t="s">
        <v>9522</v>
      </c>
      <c r="BA874" s="13" t="s">
        <v>9522</v>
      </c>
      <c r="BB874" s="17" t="s">
        <v>9523</v>
      </c>
      <c r="BC874" s="17" t="s">
        <v>9524</v>
      </c>
      <c r="BD874" s="13">
        <f t="shared" si="31"/>
        <v>58</v>
      </c>
      <c r="BE874" s="17" t="s">
        <v>9022</v>
      </c>
      <c r="BF874" s="17" t="s">
        <v>9023</v>
      </c>
      <c r="BG874" s="17" t="s">
        <v>9066</v>
      </c>
      <c r="BH874" s="17"/>
      <c r="BI874" s="17"/>
      <c r="BJ874" s="17" t="s">
        <v>9525</v>
      </c>
      <c r="BK874" s="17" t="s">
        <v>9366</v>
      </c>
      <c r="BL874" s="17"/>
      <c r="BM874" s="17"/>
      <c r="BN874" s="17"/>
      <c r="BO874" s="17" t="s">
        <v>9503</v>
      </c>
      <c r="BP874" s="17" t="s">
        <v>9368</v>
      </c>
      <c r="BQ874" s="17"/>
      <c r="BR874" s="17"/>
      <c r="BS874" s="17" t="s">
        <v>127</v>
      </c>
      <c r="BT874" s="17" t="s">
        <v>9481</v>
      </c>
      <c r="BU874" s="17" t="s">
        <v>129</v>
      </c>
      <c r="BV874" s="17"/>
      <c r="BW874" s="17"/>
      <c r="BX874" s="13" t="s">
        <v>9526</v>
      </c>
      <c r="BY874" s="13" t="s">
        <v>8981</v>
      </c>
      <c r="DA874" s="13" t="s">
        <v>10348</v>
      </c>
      <c r="DB874" s="13" t="s">
        <v>10348</v>
      </c>
    </row>
    <row r="875" spans="1:106" s="13" customFormat="1" ht="12.75" customHeight="1" x14ac:dyDescent="0.2">
      <c r="A875" s="13" t="s">
        <v>102</v>
      </c>
      <c r="B875" s="13" t="s">
        <v>103</v>
      </c>
      <c r="D875" s="13" t="s">
        <v>8957</v>
      </c>
      <c r="E875" s="13" t="s">
        <v>8958</v>
      </c>
      <c r="F875" s="13" t="s">
        <v>8957</v>
      </c>
      <c r="G875" s="13" t="s">
        <v>105</v>
      </c>
      <c r="H875" s="13" t="s">
        <v>820</v>
      </c>
      <c r="J875" s="13" t="s">
        <v>106</v>
      </c>
      <c r="W875" s="13">
        <v>886</v>
      </c>
      <c r="X875" s="13">
        <v>886</v>
      </c>
      <c r="Y875" s="13" t="s">
        <v>8959</v>
      </c>
      <c r="Z875" s="13" t="s">
        <v>8960</v>
      </c>
      <c r="AA875" s="13" t="s">
        <v>8961</v>
      </c>
      <c r="AB875" s="13" t="s">
        <v>9527</v>
      </c>
      <c r="AC875" s="13" t="s">
        <v>9527</v>
      </c>
      <c r="AD875" s="13" t="s">
        <v>9527</v>
      </c>
      <c r="AE875" s="13" t="s">
        <v>8964</v>
      </c>
      <c r="AF875" s="13" t="s">
        <v>9527</v>
      </c>
      <c r="AG875" s="13" t="s">
        <v>9527</v>
      </c>
      <c r="AH875" s="13" t="s">
        <v>9528</v>
      </c>
      <c r="AL875" s="13" t="s">
        <v>9529</v>
      </c>
      <c r="AN875" s="13">
        <v>3406</v>
      </c>
      <c r="AO875" s="13" t="s">
        <v>9530</v>
      </c>
      <c r="AQ875" s="13" t="s">
        <v>9527</v>
      </c>
      <c r="AR875" s="13" t="s">
        <v>9527</v>
      </c>
      <c r="AS875" s="13" t="s">
        <v>8968</v>
      </c>
      <c r="AT875" s="13" t="s">
        <v>9531</v>
      </c>
      <c r="AU875" s="13" t="s">
        <v>8970</v>
      </c>
      <c r="AV875" s="13" t="s">
        <v>9016</v>
      </c>
      <c r="AY875" s="13" t="s">
        <v>9532</v>
      </c>
      <c r="AZ875" s="13" t="s">
        <v>9533</v>
      </c>
      <c r="BA875" s="13" t="s">
        <v>9533</v>
      </c>
      <c r="BB875" s="17" t="s">
        <v>9534</v>
      </c>
      <c r="BC875" s="17" t="s">
        <v>9535</v>
      </c>
      <c r="BD875" s="13">
        <f t="shared" si="31"/>
        <v>58</v>
      </c>
      <c r="BE875" s="17" t="s">
        <v>9022</v>
      </c>
      <c r="BF875" s="17" t="s">
        <v>9023</v>
      </c>
      <c r="BG875" s="17" t="s">
        <v>9066</v>
      </c>
      <c r="BH875" s="17"/>
      <c r="BI875" s="17"/>
      <c r="BJ875" s="17" t="s">
        <v>9113</v>
      </c>
      <c r="BK875" s="17" t="s">
        <v>9366</v>
      </c>
      <c r="BL875" s="17"/>
      <c r="BM875" s="17"/>
      <c r="BN875" s="17"/>
      <c r="BO875" s="17" t="s">
        <v>9503</v>
      </c>
      <c r="BP875" s="17" t="s">
        <v>9368</v>
      </c>
      <c r="BQ875" s="17"/>
      <c r="BR875" s="17"/>
      <c r="BS875" s="17" t="s">
        <v>127</v>
      </c>
      <c r="BT875" s="17" t="s">
        <v>9481</v>
      </c>
      <c r="BU875" s="17" t="s">
        <v>129</v>
      </c>
      <c r="BV875" s="17"/>
      <c r="BW875" s="17"/>
      <c r="BX875" s="13" t="s">
        <v>9536</v>
      </c>
      <c r="BY875" s="13" t="s">
        <v>8981</v>
      </c>
      <c r="DA875" s="13" t="s">
        <v>10348</v>
      </c>
      <c r="DB875" s="13" t="s">
        <v>10348</v>
      </c>
    </row>
    <row r="876" spans="1:106" s="13" customFormat="1" ht="12.75" customHeight="1" x14ac:dyDescent="0.2">
      <c r="A876" s="13" t="s">
        <v>102</v>
      </c>
      <c r="B876" s="13" t="s">
        <v>103</v>
      </c>
      <c r="D876" s="13" t="s">
        <v>8957</v>
      </c>
      <c r="E876" s="13" t="s">
        <v>8958</v>
      </c>
      <c r="F876" s="13" t="s">
        <v>8957</v>
      </c>
      <c r="G876" s="13" t="s">
        <v>105</v>
      </c>
      <c r="H876" s="13" t="s">
        <v>820</v>
      </c>
      <c r="J876" s="13" t="s">
        <v>106</v>
      </c>
      <c r="W876" s="13">
        <v>887</v>
      </c>
      <c r="X876" s="13">
        <v>887</v>
      </c>
      <c r="Y876" s="13" t="s">
        <v>8959</v>
      </c>
      <c r="Z876" s="13" t="s">
        <v>8960</v>
      </c>
      <c r="AA876" s="13" t="s">
        <v>8961</v>
      </c>
      <c r="AB876" s="13" t="s">
        <v>9537</v>
      </c>
      <c r="AC876" s="13" t="s">
        <v>9537</v>
      </c>
      <c r="AD876" s="13" t="s">
        <v>9537</v>
      </c>
      <c r="AE876" s="13" t="s">
        <v>8964</v>
      </c>
      <c r="AF876" s="13" t="s">
        <v>9537</v>
      </c>
      <c r="AG876" s="13" t="s">
        <v>9537</v>
      </c>
      <c r="AH876" s="13" t="s">
        <v>9538</v>
      </c>
      <c r="AL876" s="13" t="s">
        <v>9539</v>
      </c>
      <c r="AN876" s="13">
        <v>3406</v>
      </c>
      <c r="AO876" s="13" t="s">
        <v>9540</v>
      </c>
      <c r="AQ876" s="13" t="s">
        <v>9537</v>
      </c>
      <c r="AR876" s="13" t="s">
        <v>9537</v>
      </c>
      <c r="AS876" s="13" t="s">
        <v>8968</v>
      </c>
      <c r="AT876" s="13" t="s">
        <v>9541</v>
      </c>
      <c r="AU876" s="13" t="s">
        <v>8970</v>
      </c>
      <c r="AV876" s="13" t="s">
        <v>2715</v>
      </c>
      <c r="AY876" s="13" t="s">
        <v>9542</v>
      </c>
      <c r="AZ876" s="13" t="s">
        <v>9543</v>
      </c>
      <c r="BA876" s="13" t="s">
        <v>9543</v>
      </c>
      <c r="BB876" s="17" t="s">
        <v>9544</v>
      </c>
      <c r="BC876" s="17" t="s">
        <v>9544</v>
      </c>
      <c r="BD876" s="13">
        <f t="shared" si="31"/>
        <v>49</v>
      </c>
      <c r="BE876" s="17" t="s">
        <v>9545</v>
      </c>
      <c r="BF876" s="17" t="s">
        <v>9546</v>
      </c>
      <c r="BG876" s="17"/>
      <c r="BH876" s="17"/>
      <c r="BI876" s="17"/>
      <c r="BJ876" s="17" t="s">
        <v>9547</v>
      </c>
      <c r="BK876" s="17"/>
      <c r="BL876" s="17"/>
      <c r="BM876" s="17"/>
      <c r="BN876" s="17"/>
      <c r="BO876" s="17" t="s">
        <v>9548</v>
      </c>
      <c r="BP876" s="17"/>
      <c r="BQ876" s="17"/>
      <c r="BR876" s="17"/>
      <c r="BS876" s="17" t="s">
        <v>6939</v>
      </c>
      <c r="BT876" s="17"/>
      <c r="BU876" s="17" t="s">
        <v>129</v>
      </c>
      <c r="BV876" s="17"/>
      <c r="BW876" s="17"/>
      <c r="BX876" s="13" t="s">
        <v>9549</v>
      </c>
      <c r="BY876" s="13" t="s">
        <v>8981</v>
      </c>
      <c r="DA876" s="13" t="s">
        <v>10348</v>
      </c>
      <c r="DB876" s="13" t="s">
        <v>10348</v>
      </c>
    </row>
    <row r="877" spans="1:106" s="13" customFormat="1" ht="12.75" customHeight="1" x14ac:dyDescent="0.2">
      <c r="A877" s="13" t="s">
        <v>102</v>
      </c>
      <c r="B877" s="13" t="s">
        <v>103</v>
      </c>
      <c r="D877" s="13" t="s">
        <v>8957</v>
      </c>
      <c r="E877" s="13" t="s">
        <v>8958</v>
      </c>
      <c r="F877" s="13" t="s">
        <v>8957</v>
      </c>
      <c r="G877" s="13" t="s">
        <v>105</v>
      </c>
      <c r="H877" s="13" t="s">
        <v>820</v>
      </c>
      <c r="J877" s="13" t="s">
        <v>106</v>
      </c>
      <c r="W877" s="13">
        <v>888</v>
      </c>
      <c r="X877" s="13">
        <v>888</v>
      </c>
      <c r="Y877" s="13" t="s">
        <v>8959</v>
      </c>
      <c r="Z877" s="13" t="s">
        <v>8960</v>
      </c>
      <c r="AA877" s="13" t="s">
        <v>8961</v>
      </c>
      <c r="AB877" s="13" t="s">
        <v>9550</v>
      </c>
      <c r="AC877" s="13" t="s">
        <v>9550</v>
      </c>
      <c r="AD877" s="13" t="s">
        <v>9550</v>
      </c>
      <c r="AE877" s="13" t="s">
        <v>8964</v>
      </c>
      <c r="AF877" s="13" t="s">
        <v>9550</v>
      </c>
      <c r="AG877" s="13" t="s">
        <v>9550</v>
      </c>
      <c r="AH877" s="13" t="s">
        <v>9551</v>
      </c>
      <c r="AL877" s="13" t="s">
        <v>9552</v>
      </c>
      <c r="AN877" s="13">
        <v>3406</v>
      </c>
      <c r="AO877" s="13" t="s">
        <v>9553</v>
      </c>
      <c r="AQ877" s="13" t="s">
        <v>9550</v>
      </c>
      <c r="AR877" s="13" t="s">
        <v>9550</v>
      </c>
      <c r="AS877" s="13" t="s">
        <v>8968</v>
      </c>
      <c r="AT877" s="13" t="s">
        <v>9554</v>
      </c>
      <c r="AU877" s="13" t="s">
        <v>8970</v>
      </c>
      <c r="AV877" s="13" t="s">
        <v>9175</v>
      </c>
      <c r="AY877" s="13" t="s">
        <v>9555</v>
      </c>
      <c r="AZ877" s="13" t="s">
        <v>9556</v>
      </c>
      <c r="BA877" s="13" t="s">
        <v>9556</v>
      </c>
      <c r="BB877" s="17" t="s">
        <v>9557</v>
      </c>
      <c r="BC877" s="17" t="s">
        <v>9557</v>
      </c>
      <c r="BD877" s="13">
        <f t="shared" si="31"/>
        <v>55</v>
      </c>
      <c r="BE877" s="17" t="s">
        <v>9179</v>
      </c>
      <c r="BF877" s="17" t="s">
        <v>950</v>
      </c>
      <c r="BG877" s="17" t="s">
        <v>9558</v>
      </c>
      <c r="BH877" s="17"/>
      <c r="BI877" s="17"/>
      <c r="BJ877" s="17"/>
      <c r="BK877" s="17"/>
      <c r="BL877" s="17"/>
      <c r="BM877" s="17"/>
      <c r="BN877" s="17"/>
      <c r="BO877" s="17" t="s">
        <v>9559</v>
      </c>
      <c r="BP877" s="17"/>
      <c r="BQ877" s="17"/>
      <c r="BR877" s="17" t="s">
        <v>2302</v>
      </c>
      <c r="BS877" s="17" t="s">
        <v>127</v>
      </c>
      <c r="BT877" s="17"/>
      <c r="BU877" s="17" t="s">
        <v>129</v>
      </c>
      <c r="BV877" s="17" t="s">
        <v>130</v>
      </c>
      <c r="BW877" s="17"/>
      <c r="BX877" s="13" t="s">
        <v>9560</v>
      </c>
      <c r="BY877" s="13" t="s">
        <v>8981</v>
      </c>
      <c r="DA877" s="13" t="s">
        <v>10348</v>
      </c>
      <c r="DB877" s="13" t="s">
        <v>10348</v>
      </c>
    </row>
    <row r="878" spans="1:106" s="13" customFormat="1" ht="12.75" customHeight="1" x14ac:dyDescent="0.2">
      <c r="A878" s="13" t="s">
        <v>102</v>
      </c>
      <c r="B878" s="13" t="s">
        <v>103</v>
      </c>
      <c r="D878" s="13" t="s">
        <v>8957</v>
      </c>
      <c r="E878" s="13" t="s">
        <v>8958</v>
      </c>
      <c r="F878" s="13" t="s">
        <v>8957</v>
      </c>
      <c r="G878" s="13" t="s">
        <v>105</v>
      </c>
      <c r="H878" s="13" t="s">
        <v>820</v>
      </c>
      <c r="J878" s="13" t="s">
        <v>106</v>
      </c>
      <c r="W878" s="13">
        <v>889</v>
      </c>
      <c r="X878" s="13">
        <v>889</v>
      </c>
      <c r="Y878" s="13" t="s">
        <v>8959</v>
      </c>
      <c r="Z878" s="13" t="s">
        <v>8960</v>
      </c>
      <c r="AA878" s="13" t="s">
        <v>8961</v>
      </c>
      <c r="AB878" s="13" t="s">
        <v>9561</v>
      </c>
      <c r="AC878" s="13" t="s">
        <v>9561</v>
      </c>
      <c r="AD878" s="13" t="s">
        <v>9561</v>
      </c>
      <c r="AE878" s="13" t="s">
        <v>8964</v>
      </c>
      <c r="AF878" s="13" t="s">
        <v>9561</v>
      </c>
      <c r="AG878" s="13" t="s">
        <v>9561</v>
      </c>
      <c r="AH878" s="13" t="s">
        <v>9562</v>
      </c>
      <c r="AL878" s="13" t="s">
        <v>9563</v>
      </c>
      <c r="AN878" s="13">
        <v>3406</v>
      </c>
      <c r="AO878" s="13" t="s">
        <v>9564</v>
      </c>
      <c r="AQ878" s="13" t="s">
        <v>9561</v>
      </c>
      <c r="AR878" s="13" t="s">
        <v>9561</v>
      </c>
      <c r="AS878" s="13" t="s">
        <v>8968</v>
      </c>
      <c r="AT878" s="13" t="s">
        <v>9565</v>
      </c>
      <c r="AU878" s="13" t="s">
        <v>8970</v>
      </c>
      <c r="AV878" s="13" t="s">
        <v>9175</v>
      </c>
      <c r="AY878" s="13" t="s">
        <v>9566</v>
      </c>
      <c r="AZ878" s="13" t="s">
        <v>9567</v>
      </c>
      <c r="BA878" s="13" t="s">
        <v>9567</v>
      </c>
      <c r="BB878" s="17" t="s">
        <v>9568</v>
      </c>
      <c r="BC878" s="17" t="s">
        <v>9568</v>
      </c>
      <c r="BD878" s="13">
        <f t="shared" si="31"/>
        <v>53</v>
      </c>
      <c r="BE878" s="17" t="s">
        <v>9179</v>
      </c>
      <c r="BF878" s="17" t="s">
        <v>950</v>
      </c>
      <c r="BG878" s="17" t="s">
        <v>9569</v>
      </c>
      <c r="BH878" s="17"/>
      <c r="BI878" s="17"/>
      <c r="BJ878" s="17"/>
      <c r="BK878" s="17"/>
      <c r="BL878" s="17"/>
      <c r="BM878" s="17"/>
      <c r="BN878" s="17"/>
      <c r="BO878" s="17" t="s">
        <v>9570</v>
      </c>
      <c r="BP878" s="17"/>
      <c r="BQ878" s="17"/>
      <c r="BR878" s="17"/>
      <c r="BS878" s="17" t="s">
        <v>127</v>
      </c>
      <c r="BT878" s="17"/>
      <c r="BU878" s="17" t="s">
        <v>129</v>
      </c>
      <c r="BV878" s="17" t="s">
        <v>130</v>
      </c>
      <c r="BW878" s="17"/>
      <c r="BX878" s="13" t="s">
        <v>9571</v>
      </c>
      <c r="BY878" s="13" t="s">
        <v>8981</v>
      </c>
      <c r="DA878" s="13" t="s">
        <v>10348</v>
      </c>
      <c r="DB878" s="13" t="s">
        <v>10348</v>
      </c>
    </row>
    <row r="879" spans="1:106" s="13" customFormat="1" ht="12.75" customHeight="1" x14ac:dyDescent="0.2">
      <c r="A879" s="13" t="s">
        <v>102</v>
      </c>
      <c r="B879" s="13" t="s">
        <v>103</v>
      </c>
      <c r="D879" s="13" t="s">
        <v>8957</v>
      </c>
      <c r="E879" s="13" t="s">
        <v>8958</v>
      </c>
      <c r="F879" s="13" t="s">
        <v>8957</v>
      </c>
      <c r="G879" s="13" t="s">
        <v>105</v>
      </c>
      <c r="H879" s="13" t="s">
        <v>820</v>
      </c>
      <c r="J879" s="13" t="s">
        <v>106</v>
      </c>
      <c r="W879" s="13">
        <v>890</v>
      </c>
      <c r="X879" s="13">
        <v>890</v>
      </c>
      <c r="Y879" s="13" t="s">
        <v>8959</v>
      </c>
      <c r="Z879" s="13" t="s">
        <v>8960</v>
      </c>
      <c r="AA879" s="13" t="s">
        <v>8961</v>
      </c>
      <c r="AB879" s="13" t="s">
        <v>9572</v>
      </c>
      <c r="AC879" s="13" t="s">
        <v>9572</v>
      </c>
      <c r="AD879" s="13" t="s">
        <v>9572</v>
      </c>
      <c r="AE879" s="13" t="s">
        <v>8964</v>
      </c>
      <c r="AF879" s="13" t="s">
        <v>9572</v>
      </c>
      <c r="AG879" s="13" t="s">
        <v>9572</v>
      </c>
      <c r="AH879" s="13" t="s">
        <v>9573</v>
      </c>
      <c r="AL879" s="13" t="s">
        <v>9574</v>
      </c>
      <c r="AN879" s="13">
        <v>3406</v>
      </c>
      <c r="AO879" s="13" t="s">
        <v>9575</v>
      </c>
      <c r="AQ879" s="13" t="s">
        <v>9572</v>
      </c>
      <c r="AR879" s="13" t="s">
        <v>9572</v>
      </c>
      <c r="AS879" s="13" t="s">
        <v>8968</v>
      </c>
      <c r="AT879" s="13" t="s">
        <v>9576</v>
      </c>
      <c r="AU879" s="13" t="s">
        <v>8970</v>
      </c>
      <c r="AV879" s="13" t="s">
        <v>9135</v>
      </c>
      <c r="AY879" s="38" t="s">
        <v>9577</v>
      </c>
      <c r="AZ879" s="13" t="s">
        <v>9578</v>
      </c>
      <c r="BA879" s="13" t="s">
        <v>9578</v>
      </c>
      <c r="BB879" s="17" t="s">
        <v>9579</v>
      </c>
      <c r="BC879" s="17" t="s">
        <v>9579</v>
      </c>
      <c r="BD879" s="13">
        <f t="shared" si="31"/>
        <v>50</v>
      </c>
      <c r="BE879" s="17" t="s">
        <v>2719</v>
      </c>
      <c r="BF879" s="17" t="s">
        <v>9546</v>
      </c>
      <c r="BG879" s="17" t="s">
        <v>9066</v>
      </c>
      <c r="BH879" s="17"/>
      <c r="BI879" s="17"/>
      <c r="BJ879" s="17" t="s">
        <v>9580</v>
      </c>
      <c r="BK879" s="17"/>
      <c r="BL879" s="17"/>
      <c r="BM879" s="17"/>
      <c r="BN879" s="17"/>
      <c r="BO879" s="17" t="s">
        <v>9581</v>
      </c>
      <c r="BP879" s="17"/>
      <c r="BQ879" s="17"/>
      <c r="BR879" s="17"/>
      <c r="BS879" s="17" t="s">
        <v>6939</v>
      </c>
      <c r="BT879" s="17"/>
      <c r="BU879" s="17" t="s">
        <v>129</v>
      </c>
      <c r="BV879" s="17"/>
      <c r="BW879" s="17" t="s">
        <v>9582</v>
      </c>
      <c r="BX879" s="13" t="s">
        <v>9583</v>
      </c>
      <c r="BY879" s="13" t="s">
        <v>8981</v>
      </c>
      <c r="DA879" s="13" t="s">
        <v>10348</v>
      </c>
      <c r="DB879" s="13" t="s">
        <v>10348</v>
      </c>
    </row>
    <row r="880" spans="1:106" s="13" customFormat="1" ht="12.75" customHeight="1" x14ac:dyDescent="0.2">
      <c r="A880" s="13" t="s">
        <v>102</v>
      </c>
      <c r="B880" s="13" t="s">
        <v>103</v>
      </c>
      <c r="D880" s="13" t="s">
        <v>8957</v>
      </c>
      <c r="E880" s="13" t="s">
        <v>8958</v>
      </c>
      <c r="F880" s="13" t="s">
        <v>8957</v>
      </c>
      <c r="G880" s="13" t="s">
        <v>105</v>
      </c>
      <c r="H880" s="13" t="s">
        <v>820</v>
      </c>
      <c r="J880" s="13" t="s">
        <v>106</v>
      </c>
      <c r="W880" s="13">
        <v>891</v>
      </c>
      <c r="X880" s="13">
        <v>891</v>
      </c>
      <c r="Y880" s="13" t="s">
        <v>8959</v>
      </c>
      <c r="Z880" s="13" t="s">
        <v>8960</v>
      </c>
      <c r="AA880" s="13" t="s">
        <v>8961</v>
      </c>
      <c r="AB880" s="13" t="s">
        <v>9584</v>
      </c>
      <c r="AC880" s="13" t="s">
        <v>9584</v>
      </c>
      <c r="AD880" s="13" t="s">
        <v>9584</v>
      </c>
      <c r="AE880" s="13" t="s">
        <v>8964</v>
      </c>
      <c r="AF880" s="13" t="s">
        <v>9584</v>
      </c>
      <c r="AG880" s="13" t="s">
        <v>9584</v>
      </c>
      <c r="AH880" s="13" t="s">
        <v>9585</v>
      </c>
      <c r="AL880" s="13" t="s">
        <v>9586</v>
      </c>
      <c r="AN880" s="13">
        <v>3406</v>
      </c>
      <c r="AO880" s="13" t="s">
        <v>9587</v>
      </c>
      <c r="AQ880" s="13" t="s">
        <v>9584</v>
      </c>
      <c r="AR880" s="13" t="s">
        <v>9584</v>
      </c>
      <c r="AS880" s="13" t="s">
        <v>8968</v>
      </c>
      <c r="AT880" s="13" t="s">
        <v>9588</v>
      </c>
      <c r="AU880" s="13" t="s">
        <v>9224</v>
      </c>
      <c r="AV880" s="13" t="s">
        <v>9589</v>
      </c>
      <c r="AY880" s="13" t="s">
        <v>9590</v>
      </c>
      <c r="AZ880" s="13" t="s">
        <v>9591</v>
      </c>
      <c r="BA880" s="13" t="s">
        <v>9591</v>
      </c>
      <c r="BB880" s="17" t="s">
        <v>9592</v>
      </c>
      <c r="BC880" s="17" t="s">
        <v>9592</v>
      </c>
      <c r="BD880" s="13">
        <f t="shared" si="31"/>
        <v>56</v>
      </c>
      <c r="BE880" s="17" t="s">
        <v>9593</v>
      </c>
      <c r="BF880" s="17"/>
      <c r="BG880" s="17"/>
      <c r="BH880" s="17"/>
      <c r="BI880" s="17"/>
      <c r="BJ880" s="17"/>
      <c r="BK880" s="17"/>
      <c r="BL880" s="17"/>
      <c r="BM880" s="17"/>
      <c r="BN880" s="17"/>
      <c r="BO880" s="17" t="s">
        <v>9594</v>
      </c>
      <c r="BP880" s="17"/>
      <c r="BQ880" s="17"/>
      <c r="BR880" s="17"/>
      <c r="BS880" s="17" t="s">
        <v>127</v>
      </c>
      <c r="BT880" s="17"/>
      <c r="BU880" s="17" t="s">
        <v>7335</v>
      </c>
      <c r="BV880" s="17"/>
      <c r="BW880" s="17"/>
      <c r="BX880" s="13" t="s">
        <v>9595</v>
      </c>
      <c r="BY880" s="13" t="s">
        <v>8981</v>
      </c>
      <c r="DA880" s="13" t="s">
        <v>10348</v>
      </c>
      <c r="DB880" s="13" t="s">
        <v>10348</v>
      </c>
    </row>
    <row r="881" spans="1:106" s="13" customFormat="1" ht="12.75" customHeight="1" x14ac:dyDescent="0.2">
      <c r="A881" s="13" t="s">
        <v>102</v>
      </c>
      <c r="B881" s="13" t="s">
        <v>103</v>
      </c>
      <c r="D881" s="13" t="s">
        <v>8957</v>
      </c>
      <c r="E881" s="13" t="s">
        <v>8958</v>
      </c>
      <c r="F881" s="13" t="s">
        <v>8957</v>
      </c>
      <c r="G881" s="13" t="s">
        <v>105</v>
      </c>
      <c r="H881" s="13" t="s">
        <v>820</v>
      </c>
      <c r="J881" s="13" t="s">
        <v>106</v>
      </c>
      <c r="W881" s="13">
        <v>892</v>
      </c>
      <c r="X881" s="13">
        <v>892</v>
      </c>
      <c r="Y881" s="13" t="s">
        <v>8959</v>
      </c>
      <c r="Z881" s="13" t="s">
        <v>8960</v>
      </c>
      <c r="AA881" s="13" t="s">
        <v>8961</v>
      </c>
      <c r="AB881" s="13" t="s">
        <v>9596</v>
      </c>
      <c r="AC881" s="13" t="s">
        <v>9596</v>
      </c>
      <c r="AD881" s="13" t="s">
        <v>9596</v>
      </c>
      <c r="AE881" s="13" t="s">
        <v>8964</v>
      </c>
      <c r="AF881" s="13" t="s">
        <v>9596</v>
      </c>
      <c r="AG881" s="13" t="s">
        <v>9596</v>
      </c>
      <c r="AH881" s="13" t="s">
        <v>9597</v>
      </c>
      <c r="AL881" s="13" t="s">
        <v>9598</v>
      </c>
      <c r="AN881" s="13">
        <v>3406</v>
      </c>
      <c r="AO881" s="13" t="s">
        <v>9599</v>
      </c>
      <c r="AQ881" s="13" t="s">
        <v>9596</v>
      </c>
      <c r="AR881" s="13" t="s">
        <v>9596</v>
      </c>
      <c r="AS881" s="13" t="s">
        <v>8968</v>
      </c>
      <c r="AT881" s="13" t="s">
        <v>9600</v>
      </c>
      <c r="AU881" s="13" t="s">
        <v>9601</v>
      </c>
      <c r="AV881" s="13" t="s">
        <v>9602</v>
      </c>
      <c r="AY881" s="13" t="s">
        <v>9603</v>
      </c>
      <c r="AZ881" s="13" t="s">
        <v>9604</v>
      </c>
      <c r="BA881" s="13" t="s">
        <v>9604</v>
      </c>
      <c r="BB881" s="17" t="s">
        <v>9605</v>
      </c>
      <c r="BC881" s="17" t="s">
        <v>9606</v>
      </c>
      <c r="BD881" s="13">
        <f t="shared" si="31"/>
        <v>58</v>
      </c>
      <c r="BE881" s="17" t="s">
        <v>9607</v>
      </c>
      <c r="BF881" s="17" t="s">
        <v>7628</v>
      </c>
      <c r="BG881" s="17"/>
      <c r="BH881" s="17"/>
      <c r="BI881" s="17"/>
      <c r="BJ881" s="17" t="s">
        <v>9608</v>
      </c>
      <c r="BK881" s="17"/>
      <c r="BL881" s="17"/>
      <c r="BM881" s="17"/>
      <c r="BN881" s="17"/>
      <c r="BO881" s="17" t="s">
        <v>9609</v>
      </c>
      <c r="BP881" s="17" t="s">
        <v>9368</v>
      </c>
      <c r="BQ881" s="17"/>
      <c r="BR881" s="17"/>
      <c r="BS881" s="17" t="s">
        <v>127</v>
      </c>
      <c r="BT881" s="17" t="s">
        <v>9601</v>
      </c>
      <c r="BU881" s="17" t="s">
        <v>129</v>
      </c>
      <c r="BV881" s="17"/>
      <c r="BW881" s="17"/>
      <c r="BX881" s="13" t="s">
        <v>9610</v>
      </c>
      <c r="BY881" s="13" t="s">
        <v>8981</v>
      </c>
      <c r="DA881" s="13" t="s">
        <v>10348</v>
      </c>
      <c r="DB881" s="13" t="s">
        <v>10348</v>
      </c>
    </row>
    <row r="882" spans="1:106" s="13" customFormat="1" ht="12.75" customHeight="1" x14ac:dyDescent="0.2">
      <c r="A882" s="13" t="s">
        <v>102</v>
      </c>
      <c r="B882" s="13" t="s">
        <v>103</v>
      </c>
      <c r="D882" s="13" t="s">
        <v>8957</v>
      </c>
      <c r="E882" s="13" t="s">
        <v>8958</v>
      </c>
      <c r="F882" s="13" t="s">
        <v>8957</v>
      </c>
      <c r="G882" s="13" t="s">
        <v>105</v>
      </c>
      <c r="H882" s="13" t="s">
        <v>820</v>
      </c>
      <c r="J882" s="13" t="s">
        <v>106</v>
      </c>
      <c r="W882" s="13">
        <v>893</v>
      </c>
      <c r="X882" s="13">
        <v>893</v>
      </c>
      <c r="Y882" s="13" t="s">
        <v>8959</v>
      </c>
      <c r="Z882" s="13" t="s">
        <v>8960</v>
      </c>
      <c r="AA882" s="13" t="s">
        <v>8961</v>
      </c>
      <c r="AB882" s="13" t="s">
        <v>9611</v>
      </c>
      <c r="AC882" s="13" t="s">
        <v>9611</v>
      </c>
      <c r="AD882" s="13" t="s">
        <v>9611</v>
      </c>
      <c r="AE882" s="13" t="s">
        <v>8964</v>
      </c>
      <c r="AF882" s="13" t="s">
        <v>9611</v>
      </c>
      <c r="AG882" s="13" t="s">
        <v>9611</v>
      </c>
      <c r="AH882" s="13" t="s">
        <v>9612</v>
      </c>
      <c r="AL882" s="13" t="s">
        <v>9613</v>
      </c>
      <c r="AN882" s="13">
        <v>3406</v>
      </c>
      <c r="AO882" s="13" t="s">
        <v>9614</v>
      </c>
      <c r="AQ882" s="13" t="s">
        <v>9611</v>
      </c>
      <c r="AR882" s="13" t="s">
        <v>9611</v>
      </c>
      <c r="AS882" s="13" t="s">
        <v>8968</v>
      </c>
      <c r="AT882" s="13" t="s">
        <v>9615</v>
      </c>
      <c r="AU882" s="13" t="s">
        <v>9601</v>
      </c>
      <c r="AV882" s="13" t="s">
        <v>9616</v>
      </c>
      <c r="AY882" s="13" t="s">
        <v>9617</v>
      </c>
      <c r="AZ882" s="13" t="s">
        <v>9618</v>
      </c>
      <c r="BA882" s="13" t="s">
        <v>9618</v>
      </c>
      <c r="BB882" s="17" t="s">
        <v>9619</v>
      </c>
      <c r="BC882" s="17" t="s">
        <v>9619</v>
      </c>
      <c r="BD882" s="13">
        <f t="shared" si="31"/>
        <v>54</v>
      </c>
      <c r="BE882" s="17" t="s">
        <v>9276</v>
      </c>
      <c r="BF882" s="17" t="s">
        <v>950</v>
      </c>
      <c r="BG882" s="17"/>
      <c r="BH882" s="17"/>
      <c r="BI882" s="17"/>
      <c r="BJ882" s="17" t="s">
        <v>9620</v>
      </c>
      <c r="BK882" s="17"/>
      <c r="BL882" s="17"/>
      <c r="BM882" s="17"/>
      <c r="BN882" s="17"/>
      <c r="BO882" s="17" t="s">
        <v>9621</v>
      </c>
      <c r="BP882" s="17"/>
      <c r="BQ882" s="17"/>
      <c r="BR882" s="17"/>
      <c r="BS882" s="17" t="s">
        <v>6939</v>
      </c>
      <c r="BT882" s="17" t="s">
        <v>9601</v>
      </c>
      <c r="BU882" s="17" t="s">
        <v>129</v>
      </c>
      <c r="BV882" s="17"/>
      <c r="BW882" s="17"/>
      <c r="BX882" s="13" t="s">
        <v>9622</v>
      </c>
      <c r="BY882" s="13" t="s">
        <v>8981</v>
      </c>
      <c r="DA882" s="13" t="s">
        <v>10348</v>
      </c>
      <c r="DB882" s="13" t="s">
        <v>10348</v>
      </c>
    </row>
    <row r="883" spans="1:106" s="13" customFormat="1" ht="12.75" customHeight="1" x14ac:dyDescent="0.2">
      <c r="A883" s="13" t="s">
        <v>102</v>
      </c>
      <c r="B883" s="13" t="s">
        <v>103</v>
      </c>
      <c r="D883" s="13" t="s">
        <v>8957</v>
      </c>
      <c r="E883" s="13" t="s">
        <v>8958</v>
      </c>
      <c r="F883" s="13" t="s">
        <v>8957</v>
      </c>
      <c r="G883" s="13" t="s">
        <v>105</v>
      </c>
      <c r="H883" s="13" t="s">
        <v>820</v>
      </c>
      <c r="J883" s="13" t="s">
        <v>106</v>
      </c>
      <c r="W883" s="13">
        <v>894</v>
      </c>
      <c r="X883" s="13">
        <v>894</v>
      </c>
      <c r="Y883" s="13" t="s">
        <v>8959</v>
      </c>
      <c r="Z883" s="13" t="s">
        <v>8960</v>
      </c>
      <c r="AA883" s="13" t="s">
        <v>8961</v>
      </c>
      <c r="AB883" s="13" t="s">
        <v>9623</v>
      </c>
      <c r="AC883" s="13" t="s">
        <v>9623</v>
      </c>
      <c r="AD883" s="13" t="s">
        <v>9623</v>
      </c>
      <c r="AE883" s="13" t="s">
        <v>8964</v>
      </c>
      <c r="AF883" s="13" t="s">
        <v>9623</v>
      </c>
      <c r="AG883" s="13" t="s">
        <v>9623</v>
      </c>
      <c r="AH883" s="13" t="s">
        <v>9624</v>
      </c>
      <c r="AL883" s="13" t="s">
        <v>9625</v>
      </c>
      <c r="AN883" s="13">
        <v>3406</v>
      </c>
      <c r="AO883" s="13" t="s">
        <v>9626</v>
      </c>
      <c r="AQ883" s="13" t="s">
        <v>9623</v>
      </c>
      <c r="AR883" s="13" t="s">
        <v>9623</v>
      </c>
      <c r="AS883" s="13" t="s">
        <v>8968</v>
      </c>
      <c r="AT883" s="13" t="s">
        <v>9627</v>
      </c>
      <c r="AU883" s="13" t="s">
        <v>9196</v>
      </c>
      <c r="AV883" s="13" t="s">
        <v>9589</v>
      </c>
      <c r="AY883" s="13" t="s">
        <v>9628</v>
      </c>
      <c r="AZ883" s="13" t="s">
        <v>9629</v>
      </c>
      <c r="BA883" s="13" t="s">
        <v>9629</v>
      </c>
      <c r="BB883" s="17" t="s">
        <v>9630</v>
      </c>
      <c r="BC883" s="17" t="s">
        <v>9630</v>
      </c>
      <c r="BD883" s="13">
        <f t="shared" si="31"/>
        <v>55</v>
      </c>
      <c r="BE883" s="17" t="s">
        <v>9593</v>
      </c>
      <c r="BF883" s="17"/>
      <c r="BG883" s="17"/>
      <c r="BH883" s="17"/>
      <c r="BI883" s="17"/>
      <c r="BJ883" s="17"/>
      <c r="BK883" s="17"/>
      <c r="BL883" s="17"/>
      <c r="BM883" s="17"/>
      <c r="BN883" s="17"/>
      <c r="BO883" s="17" t="s">
        <v>9631</v>
      </c>
      <c r="BP883" s="17"/>
      <c r="BQ883" s="17"/>
      <c r="BR883" s="17"/>
      <c r="BS883" s="17" t="s">
        <v>127</v>
      </c>
      <c r="BT883" s="17" t="s">
        <v>9196</v>
      </c>
      <c r="BU883" s="17" t="s">
        <v>129</v>
      </c>
      <c r="BV883" s="17"/>
      <c r="BW883" s="17"/>
      <c r="BX883" s="13" t="s">
        <v>9632</v>
      </c>
      <c r="BY883" s="13" t="s">
        <v>8981</v>
      </c>
      <c r="DA883" s="13" t="s">
        <v>10348</v>
      </c>
      <c r="DB883" s="13" t="s">
        <v>10348</v>
      </c>
    </row>
    <row r="884" spans="1:106" s="13" customFormat="1" ht="12.75" customHeight="1" x14ac:dyDescent="0.2">
      <c r="A884" s="13" t="s">
        <v>102</v>
      </c>
      <c r="B884" s="13" t="s">
        <v>103</v>
      </c>
      <c r="D884" s="13" t="s">
        <v>8957</v>
      </c>
      <c r="E884" s="13" t="s">
        <v>8958</v>
      </c>
      <c r="F884" s="13" t="s">
        <v>8957</v>
      </c>
      <c r="G884" s="13" t="s">
        <v>105</v>
      </c>
      <c r="H884" s="13" t="s">
        <v>820</v>
      </c>
      <c r="J884" s="13" t="s">
        <v>106</v>
      </c>
      <c r="W884" s="13">
        <v>895</v>
      </c>
      <c r="X884" s="13">
        <v>895</v>
      </c>
      <c r="Y884" s="13" t="s">
        <v>8959</v>
      </c>
      <c r="Z884" s="13" t="s">
        <v>8960</v>
      </c>
      <c r="AA884" s="13" t="s">
        <v>8961</v>
      </c>
      <c r="AB884" s="13" t="s">
        <v>9633</v>
      </c>
      <c r="AC884" s="13" t="s">
        <v>9633</v>
      </c>
      <c r="AD884" s="13" t="s">
        <v>9633</v>
      </c>
      <c r="AE884" s="13" t="s">
        <v>8964</v>
      </c>
      <c r="AF884" s="13" t="s">
        <v>9633</v>
      </c>
      <c r="AG884" s="13" t="s">
        <v>9633</v>
      </c>
      <c r="AH884" s="13" t="s">
        <v>9634</v>
      </c>
      <c r="AL884" s="13" t="s">
        <v>9635</v>
      </c>
      <c r="AN884" s="13">
        <v>3406</v>
      </c>
      <c r="AO884" s="13" t="s">
        <v>9636</v>
      </c>
      <c r="AQ884" s="13" t="s">
        <v>9633</v>
      </c>
      <c r="AR884" s="13" t="s">
        <v>9633</v>
      </c>
      <c r="AS884" s="13" t="s">
        <v>8968</v>
      </c>
      <c r="AT884" s="13" t="s">
        <v>9637</v>
      </c>
      <c r="AU884" s="13" t="s">
        <v>9638</v>
      </c>
      <c r="AV884" s="13" t="s">
        <v>5759</v>
      </c>
      <c r="AY884" s="13" t="s">
        <v>9639</v>
      </c>
      <c r="AZ884" s="13" t="s">
        <v>9640</v>
      </c>
      <c r="BA884" s="13" t="s">
        <v>9640</v>
      </c>
      <c r="BB884" s="17" t="s">
        <v>9641</v>
      </c>
      <c r="BC884" s="17" t="s">
        <v>9642</v>
      </c>
      <c r="BD884" s="13">
        <f t="shared" si="31"/>
        <v>56</v>
      </c>
      <c r="BE884" s="17" t="s">
        <v>9643</v>
      </c>
      <c r="BF884" s="17"/>
      <c r="BG884" s="17"/>
      <c r="BH884" s="17"/>
      <c r="BI884" s="17"/>
      <c r="BJ884" s="17" t="s">
        <v>9644</v>
      </c>
      <c r="BK884" s="17"/>
      <c r="BL884" s="17"/>
      <c r="BM884" s="17"/>
      <c r="BN884" s="17"/>
      <c r="BO884" s="17" t="s">
        <v>9645</v>
      </c>
      <c r="BP884" s="17"/>
      <c r="BQ884" s="17"/>
      <c r="BR884" s="17" t="s">
        <v>144</v>
      </c>
      <c r="BS884" s="17" t="s">
        <v>127</v>
      </c>
      <c r="BT884" s="17" t="s">
        <v>9638</v>
      </c>
      <c r="BU884" s="17" t="s">
        <v>129</v>
      </c>
      <c r="BV884" s="17" t="s">
        <v>130</v>
      </c>
      <c r="BW884" s="17"/>
      <c r="BX884" s="13" t="s">
        <v>9646</v>
      </c>
      <c r="BY884" s="13" t="s">
        <v>8981</v>
      </c>
      <c r="DA884" s="13" t="s">
        <v>10348</v>
      </c>
      <c r="DB884" s="13" t="s">
        <v>10348</v>
      </c>
    </row>
    <row r="885" spans="1:106" s="13" customFormat="1" ht="12.75" customHeight="1" x14ac:dyDescent="0.2">
      <c r="A885" s="13" t="s">
        <v>102</v>
      </c>
      <c r="B885" s="13" t="s">
        <v>103</v>
      </c>
      <c r="D885" s="13" t="s">
        <v>8957</v>
      </c>
      <c r="E885" s="13" t="s">
        <v>8958</v>
      </c>
      <c r="F885" s="13" t="s">
        <v>8957</v>
      </c>
      <c r="G885" s="13" t="s">
        <v>105</v>
      </c>
      <c r="H885" s="13" t="s">
        <v>820</v>
      </c>
      <c r="J885" s="13" t="s">
        <v>106</v>
      </c>
      <c r="W885" s="13">
        <v>896</v>
      </c>
      <c r="X885" s="13">
        <v>896</v>
      </c>
      <c r="Y885" s="13" t="s">
        <v>8959</v>
      </c>
      <c r="Z885" s="13" t="s">
        <v>8960</v>
      </c>
      <c r="AA885" s="13" t="s">
        <v>8961</v>
      </c>
      <c r="AB885" s="13" t="s">
        <v>9647</v>
      </c>
      <c r="AC885" s="13" t="s">
        <v>9647</v>
      </c>
      <c r="AD885" s="13" t="s">
        <v>9647</v>
      </c>
      <c r="AE885" s="13" t="s">
        <v>8964</v>
      </c>
      <c r="AF885" s="13" t="s">
        <v>9647</v>
      </c>
      <c r="AG885" s="13" t="s">
        <v>9647</v>
      </c>
      <c r="AH885" s="13" t="s">
        <v>9648</v>
      </c>
      <c r="AL885" s="13" t="s">
        <v>9649</v>
      </c>
      <c r="AN885" s="13">
        <v>3406</v>
      </c>
      <c r="AO885" s="13" t="s">
        <v>9650</v>
      </c>
      <c r="AQ885" s="13" t="s">
        <v>9647</v>
      </c>
      <c r="AR885" s="13" t="s">
        <v>9647</v>
      </c>
      <c r="AS885" s="13" t="s">
        <v>8968</v>
      </c>
      <c r="AT885" s="13" t="s">
        <v>9651</v>
      </c>
      <c r="AU885" s="13" t="s">
        <v>9638</v>
      </c>
      <c r="AV885" s="13" t="s">
        <v>5759</v>
      </c>
      <c r="AY885" s="13" t="s">
        <v>9652</v>
      </c>
      <c r="AZ885" s="13" t="s">
        <v>9653</v>
      </c>
      <c r="BA885" s="13" t="s">
        <v>9653</v>
      </c>
      <c r="BB885" s="17" t="s">
        <v>9654</v>
      </c>
      <c r="BC885" s="17" t="s">
        <v>9655</v>
      </c>
      <c r="BD885" s="13">
        <f t="shared" ref="BD885:BD916" si="32">LEN(SUBSTITUTE(BC885,", "," "))</f>
        <v>56</v>
      </c>
      <c r="BE885" s="17" t="s">
        <v>9643</v>
      </c>
      <c r="BF885" s="17"/>
      <c r="BG885" s="17"/>
      <c r="BH885" s="17"/>
      <c r="BI885" s="17"/>
      <c r="BJ885" s="17" t="s">
        <v>9580</v>
      </c>
      <c r="BK885" s="17"/>
      <c r="BL885" s="17"/>
      <c r="BM885" s="17"/>
      <c r="BN885" s="17"/>
      <c r="BO885" s="17" t="s">
        <v>9645</v>
      </c>
      <c r="BP885" s="17"/>
      <c r="BQ885" s="17"/>
      <c r="BR885" s="17" t="s">
        <v>1177</v>
      </c>
      <c r="BS885" s="17" t="s">
        <v>127</v>
      </c>
      <c r="BT885" s="17" t="s">
        <v>9638</v>
      </c>
      <c r="BU885" s="17" t="s">
        <v>129</v>
      </c>
      <c r="BV885" s="17" t="s">
        <v>130</v>
      </c>
      <c r="BW885" s="17"/>
      <c r="BX885" s="13" t="s">
        <v>9656</v>
      </c>
      <c r="BY885" s="13" t="s">
        <v>8981</v>
      </c>
      <c r="DA885" s="13" t="s">
        <v>10348</v>
      </c>
      <c r="DB885" s="13" t="s">
        <v>10348</v>
      </c>
    </row>
    <row r="886" spans="1:106" s="13" customFormat="1" ht="12.75" customHeight="1" x14ac:dyDescent="0.2">
      <c r="A886" s="13" t="s">
        <v>102</v>
      </c>
      <c r="B886" s="13" t="s">
        <v>103</v>
      </c>
      <c r="D886" s="13" t="s">
        <v>8957</v>
      </c>
      <c r="E886" s="13" t="s">
        <v>8958</v>
      </c>
      <c r="F886" s="13" t="s">
        <v>8957</v>
      </c>
      <c r="G886" s="13" t="s">
        <v>105</v>
      </c>
      <c r="H886" s="13" t="s">
        <v>820</v>
      </c>
      <c r="J886" s="13" t="s">
        <v>106</v>
      </c>
      <c r="W886" s="13">
        <v>897</v>
      </c>
      <c r="X886" s="13">
        <v>897</v>
      </c>
      <c r="Y886" s="13" t="s">
        <v>8959</v>
      </c>
      <c r="Z886" s="13" t="s">
        <v>8960</v>
      </c>
      <c r="AA886" s="13" t="s">
        <v>8961</v>
      </c>
      <c r="AB886" s="13" t="s">
        <v>9657</v>
      </c>
      <c r="AC886" s="13" t="s">
        <v>9657</v>
      </c>
      <c r="AD886" s="13" t="s">
        <v>9657</v>
      </c>
      <c r="AE886" s="13" t="s">
        <v>8964</v>
      </c>
      <c r="AF886" s="13" t="s">
        <v>9657</v>
      </c>
      <c r="AG886" s="13" t="s">
        <v>9657</v>
      </c>
      <c r="AH886" s="13" t="s">
        <v>9658</v>
      </c>
      <c r="AL886" s="13" t="s">
        <v>9659</v>
      </c>
      <c r="AN886" s="13">
        <v>3406</v>
      </c>
      <c r="AO886" s="13" t="s">
        <v>9660</v>
      </c>
      <c r="AQ886" s="13" t="s">
        <v>9657</v>
      </c>
      <c r="AR886" s="13" t="s">
        <v>9657</v>
      </c>
      <c r="AS886" s="13" t="s">
        <v>8968</v>
      </c>
      <c r="AT886" s="13" t="s">
        <v>9661</v>
      </c>
      <c r="AU886" s="13" t="s">
        <v>9638</v>
      </c>
      <c r="AV886" s="13" t="s">
        <v>5759</v>
      </c>
      <c r="AY886" s="13" t="s">
        <v>9662</v>
      </c>
      <c r="AZ886" s="13" t="s">
        <v>9663</v>
      </c>
      <c r="BA886" s="13" t="s">
        <v>9663</v>
      </c>
      <c r="BB886" s="17" t="s">
        <v>9664</v>
      </c>
      <c r="BC886" s="17" t="s">
        <v>9665</v>
      </c>
      <c r="BD886" s="13">
        <f t="shared" si="32"/>
        <v>56</v>
      </c>
      <c r="BE886" s="17" t="s">
        <v>9643</v>
      </c>
      <c r="BF886" s="17"/>
      <c r="BG886" s="17"/>
      <c r="BH886" s="17"/>
      <c r="BI886" s="17"/>
      <c r="BJ886" s="17" t="s">
        <v>9666</v>
      </c>
      <c r="BK886" s="17"/>
      <c r="BL886" s="17"/>
      <c r="BM886" s="17"/>
      <c r="BN886" s="17"/>
      <c r="BO886" s="17" t="s">
        <v>9645</v>
      </c>
      <c r="BP886" s="17"/>
      <c r="BQ886" s="17"/>
      <c r="BR886" s="17" t="s">
        <v>126</v>
      </c>
      <c r="BS886" s="17" t="s">
        <v>127</v>
      </c>
      <c r="BT886" s="17" t="s">
        <v>9638</v>
      </c>
      <c r="BU886" s="17" t="s">
        <v>129</v>
      </c>
      <c r="BV886" s="17" t="s">
        <v>130</v>
      </c>
      <c r="BW886" s="17"/>
      <c r="BX886" s="13" t="s">
        <v>9667</v>
      </c>
      <c r="BY886" s="13" t="s">
        <v>8981</v>
      </c>
      <c r="DA886" s="13" t="s">
        <v>10348</v>
      </c>
      <c r="DB886" s="13" t="s">
        <v>10348</v>
      </c>
    </row>
    <row r="887" spans="1:106" s="13" customFormat="1" ht="12.75" customHeight="1" x14ac:dyDescent="0.2">
      <c r="A887" s="13" t="s">
        <v>102</v>
      </c>
      <c r="B887" s="13" t="s">
        <v>103</v>
      </c>
      <c r="D887" s="13" t="s">
        <v>8957</v>
      </c>
      <c r="E887" s="13" t="s">
        <v>8958</v>
      </c>
      <c r="F887" s="13" t="s">
        <v>8957</v>
      </c>
      <c r="G887" s="13" t="s">
        <v>105</v>
      </c>
      <c r="H887" s="13" t="s">
        <v>820</v>
      </c>
      <c r="J887" s="13" t="s">
        <v>106</v>
      </c>
      <c r="W887" s="13">
        <v>898</v>
      </c>
      <c r="X887" s="13">
        <v>898</v>
      </c>
      <c r="Y887" s="13" t="s">
        <v>8959</v>
      </c>
      <c r="Z887" s="13" t="s">
        <v>8960</v>
      </c>
      <c r="AA887" s="13" t="s">
        <v>8961</v>
      </c>
      <c r="AB887" s="13" t="s">
        <v>9668</v>
      </c>
      <c r="AC887" s="13" t="s">
        <v>9668</v>
      </c>
      <c r="AD887" s="13" t="s">
        <v>9668</v>
      </c>
      <c r="AE887" s="13" t="s">
        <v>8964</v>
      </c>
      <c r="AF887" s="13" t="s">
        <v>9668</v>
      </c>
      <c r="AG887" s="13" t="s">
        <v>9668</v>
      </c>
      <c r="AH887" s="13" t="s">
        <v>9669</v>
      </c>
      <c r="AL887" s="13" t="s">
        <v>9670</v>
      </c>
      <c r="AN887" s="13">
        <v>3406</v>
      </c>
      <c r="AO887" s="13" t="s">
        <v>9671</v>
      </c>
      <c r="AQ887" s="13" t="s">
        <v>9668</v>
      </c>
      <c r="AR887" s="13" t="s">
        <v>9668</v>
      </c>
      <c r="AS887" s="13" t="s">
        <v>8968</v>
      </c>
      <c r="AT887" s="13" t="s">
        <v>9670</v>
      </c>
      <c r="AU887" s="13" t="s">
        <v>8970</v>
      </c>
      <c r="AV887" s="13" t="s">
        <v>9589</v>
      </c>
      <c r="AY887" s="13" t="s">
        <v>9670</v>
      </c>
      <c r="AZ887" s="13" t="s">
        <v>9672</v>
      </c>
      <c r="BA887" s="13" t="s">
        <v>9672</v>
      </c>
      <c r="BB887" s="17" t="s">
        <v>9673</v>
      </c>
      <c r="BC887" s="17" t="s">
        <v>9673</v>
      </c>
      <c r="BD887" s="13">
        <f t="shared" si="32"/>
        <v>41</v>
      </c>
      <c r="BE887" s="17" t="s">
        <v>9593</v>
      </c>
      <c r="BF887" s="17"/>
      <c r="BG887" s="17"/>
      <c r="BH887" s="17"/>
      <c r="BI887" s="17"/>
      <c r="BJ887" s="17"/>
      <c r="BK887" s="17"/>
      <c r="BL887" s="17"/>
      <c r="BM887" s="17"/>
      <c r="BN887" s="17"/>
      <c r="BO887" s="17" t="s">
        <v>9674</v>
      </c>
      <c r="BP887" s="17"/>
      <c r="BQ887" s="17"/>
      <c r="BR887" s="17"/>
      <c r="BS887" s="17" t="s">
        <v>127</v>
      </c>
      <c r="BT887" s="17"/>
      <c r="BU887" s="17" t="s">
        <v>129</v>
      </c>
      <c r="BV887" s="17"/>
      <c r="BW887" s="17"/>
      <c r="BX887" s="13" t="s">
        <v>9675</v>
      </c>
      <c r="BY887" s="13" t="s">
        <v>8981</v>
      </c>
      <c r="DA887" s="13" t="s">
        <v>10348</v>
      </c>
      <c r="DB887" s="13" t="s">
        <v>10348</v>
      </c>
    </row>
    <row r="888" spans="1:106" s="13" customFormat="1" ht="12.75" customHeight="1" x14ac:dyDescent="0.2">
      <c r="A888" s="13" t="s">
        <v>102</v>
      </c>
      <c r="B888" s="13" t="s">
        <v>103</v>
      </c>
      <c r="D888" s="13" t="s">
        <v>8957</v>
      </c>
      <c r="E888" s="13" t="s">
        <v>8958</v>
      </c>
      <c r="F888" s="13" t="s">
        <v>8957</v>
      </c>
      <c r="G888" s="13" t="s">
        <v>105</v>
      </c>
      <c r="H888" s="13" t="s">
        <v>820</v>
      </c>
      <c r="J888" s="13" t="s">
        <v>106</v>
      </c>
      <c r="W888" s="13">
        <v>899</v>
      </c>
      <c r="X888" s="13">
        <v>899</v>
      </c>
      <c r="Y888" s="13" t="s">
        <v>8959</v>
      </c>
      <c r="Z888" s="13" t="s">
        <v>8960</v>
      </c>
      <c r="AA888" s="13" t="s">
        <v>8961</v>
      </c>
      <c r="AB888" s="13" t="s">
        <v>9676</v>
      </c>
      <c r="AC888" s="13" t="s">
        <v>9676</v>
      </c>
      <c r="AD888" s="13" t="s">
        <v>9676</v>
      </c>
      <c r="AE888" s="13" t="s">
        <v>8964</v>
      </c>
      <c r="AF888" s="13" t="s">
        <v>9676</v>
      </c>
      <c r="AG888" s="13" t="s">
        <v>9676</v>
      </c>
      <c r="AH888" s="13" t="s">
        <v>9677</v>
      </c>
      <c r="AL888" s="13" t="s">
        <v>9678</v>
      </c>
      <c r="AN888" s="13">
        <v>3406</v>
      </c>
      <c r="AO888" s="13" t="s">
        <v>9679</v>
      </c>
      <c r="AQ888" s="13" t="s">
        <v>9676</v>
      </c>
      <c r="AR888" s="13" t="s">
        <v>9676</v>
      </c>
      <c r="AS888" s="13" t="s">
        <v>8968</v>
      </c>
      <c r="AT888" s="13" t="s">
        <v>9678</v>
      </c>
      <c r="AU888" s="13" t="s">
        <v>8970</v>
      </c>
      <c r="AV888" s="13" t="s">
        <v>9680</v>
      </c>
      <c r="AY888" s="13" t="s">
        <v>9681</v>
      </c>
      <c r="AZ888" s="13" t="s">
        <v>9682</v>
      </c>
      <c r="BA888" s="13" t="s">
        <v>9682</v>
      </c>
      <c r="BB888" s="13" t="s">
        <v>9683</v>
      </c>
      <c r="BC888" s="13" t="s">
        <v>9683</v>
      </c>
      <c r="BD888" s="13">
        <f t="shared" si="32"/>
        <v>24</v>
      </c>
      <c r="BE888" s="17" t="s">
        <v>5706</v>
      </c>
      <c r="BF888" s="17" t="s">
        <v>950</v>
      </c>
      <c r="BG888" s="17" t="s">
        <v>9684</v>
      </c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 t="s">
        <v>6939</v>
      </c>
      <c r="BT888" s="17"/>
      <c r="BU888" s="17" t="s">
        <v>129</v>
      </c>
      <c r="BV888" s="17"/>
      <c r="BW888" s="17"/>
      <c r="BX888" s="13" t="s">
        <v>9685</v>
      </c>
      <c r="BY888" s="13" t="s">
        <v>8981</v>
      </c>
      <c r="DA888" s="13" t="s">
        <v>10348</v>
      </c>
      <c r="DB888" s="13" t="s">
        <v>10348</v>
      </c>
    </row>
    <row r="889" spans="1:106" s="13" customFormat="1" ht="12.75" customHeight="1" x14ac:dyDescent="0.2">
      <c r="A889" s="13" t="s">
        <v>102</v>
      </c>
      <c r="B889" s="13" t="s">
        <v>103</v>
      </c>
      <c r="D889" s="13" t="s">
        <v>8957</v>
      </c>
      <c r="E889" s="13" t="s">
        <v>8958</v>
      </c>
      <c r="F889" s="13" t="s">
        <v>8957</v>
      </c>
      <c r="G889" s="13" t="s">
        <v>105</v>
      </c>
      <c r="H889" s="13" t="s">
        <v>820</v>
      </c>
      <c r="J889" s="13" t="s">
        <v>106</v>
      </c>
      <c r="W889" s="13">
        <v>900</v>
      </c>
      <c r="X889" s="13">
        <v>900</v>
      </c>
      <c r="Y889" s="13" t="s">
        <v>8959</v>
      </c>
      <c r="Z889" s="13" t="s">
        <v>8960</v>
      </c>
      <c r="AA889" s="13" t="s">
        <v>8961</v>
      </c>
      <c r="AB889" s="13" t="s">
        <v>9686</v>
      </c>
      <c r="AC889" s="13" t="s">
        <v>9686</v>
      </c>
      <c r="AD889" s="13" t="s">
        <v>9686</v>
      </c>
      <c r="AE889" s="13" t="s">
        <v>8964</v>
      </c>
      <c r="AF889" s="13" t="s">
        <v>9686</v>
      </c>
      <c r="AG889" s="13" t="s">
        <v>9686</v>
      </c>
      <c r="AH889" s="13" t="s">
        <v>9687</v>
      </c>
      <c r="AL889" s="13" t="s">
        <v>9688</v>
      </c>
      <c r="AN889" s="13">
        <v>3406</v>
      </c>
      <c r="AO889" s="13" t="s">
        <v>9689</v>
      </c>
      <c r="AQ889" s="13" t="s">
        <v>9686</v>
      </c>
      <c r="AR889" s="13" t="s">
        <v>9686</v>
      </c>
      <c r="AS889" s="13" t="s">
        <v>8968</v>
      </c>
      <c r="AT889" s="13" t="s">
        <v>9690</v>
      </c>
      <c r="AU889" s="13" t="s">
        <v>8970</v>
      </c>
      <c r="AV889" s="13" t="s">
        <v>9016</v>
      </c>
      <c r="AY889" s="13" t="s">
        <v>9691</v>
      </c>
      <c r="AZ889" s="13" t="s">
        <v>9692</v>
      </c>
      <c r="BA889" s="13" t="s">
        <v>9692</v>
      </c>
      <c r="BB889" s="17" t="s">
        <v>9693</v>
      </c>
      <c r="BC889" s="17" t="s">
        <v>9694</v>
      </c>
      <c r="BD889" s="13">
        <f t="shared" si="32"/>
        <v>57</v>
      </c>
      <c r="BE889" s="17" t="s">
        <v>9022</v>
      </c>
      <c r="BF889" s="17" t="s">
        <v>9023</v>
      </c>
      <c r="BG889" s="17" t="s">
        <v>9066</v>
      </c>
      <c r="BH889" s="17"/>
      <c r="BI889" s="17"/>
      <c r="BJ889" s="17" t="s">
        <v>9695</v>
      </c>
      <c r="BK889" s="17" t="s">
        <v>9366</v>
      </c>
      <c r="BL889" s="17"/>
      <c r="BM889" s="17"/>
      <c r="BN889" s="17"/>
      <c r="BO889" s="17" t="s">
        <v>9480</v>
      </c>
      <c r="BP889" s="17" t="s">
        <v>9368</v>
      </c>
      <c r="BQ889" s="17"/>
      <c r="BR889" s="17"/>
      <c r="BS889" s="17" t="s">
        <v>127</v>
      </c>
      <c r="BT889" s="17" t="s">
        <v>9481</v>
      </c>
      <c r="BU889" s="17" t="s">
        <v>129</v>
      </c>
      <c r="BV889" s="17"/>
      <c r="BW889" s="17"/>
      <c r="BX889" s="13" t="s">
        <v>9696</v>
      </c>
      <c r="BY889" s="13" t="s">
        <v>8981</v>
      </c>
      <c r="DA889" s="13" t="s">
        <v>10348</v>
      </c>
      <c r="DB889" s="13" t="s">
        <v>10348</v>
      </c>
    </row>
    <row r="890" spans="1:106" s="13" customFormat="1" ht="12.75" customHeight="1" x14ac:dyDescent="0.2">
      <c r="A890" s="13" t="s">
        <v>102</v>
      </c>
      <c r="B890" s="13" t="s">
        <v>103</v>
      </c>
      <c r="D890" s="13" t="s">
        <v>8957</v>
      </c>
      <c r="E890" s="13" t="s">
        <v>8958</v>
      </c>
      <c r="F890" s="13" t="s">
        <v>8957</v>
      </c>
      <c r="G890" s="13" t="s">
        <v>105</v>
      </c>
      <c r="H890" s="13" t="s">
        <v>820</v>
      </c>
      <c r="J890" s="13" t="s">
        <v>106</v>
      </c>
      <c r="W890" s="13">
        <v>901</v>
      </c>
      <c r="X890" s="13">
        <v>901</v>
      </c>
      <c r="Y890" s="13" t="s">
        <v>8959</v>
      </c>
      <c r="Z890" s="13" t="s">
        <v>8960</v>
      </c>
      <c r="AA890" s="13" t="s">
        <v>8961</v>
      </c>
      <c r="AB890" s="13" t="s">
        <v>9697</v>
      </c>
      <c r="AC890" s="13" t="s">
        <v>9697</v>
      </c>
      <c r="AD890" s="13" t="s">
        <v>9697</v>
      </c>
      <c r="AE890" s="13" t="s">
        <v>8964</v>
      </c>
      <c r="AF890" s="13" t="s">
        <v>9697</v>
      </c>
      <c r="AG890" s="13" t="s">
        <v>9697</v>
      </c>
      <c r="AH890" s="13" t="s">
        <v>9698</v>
      </c>
      <c r="AL890" s="13" t="s">
        <v>9699</v>
      </c>
      <c r="AN890" s="13">
        <v>3406</v>
      </c>
      <c r="AO890" s="13" t="s">
        <v>9700</v>
      </c>
      <c r="AQ890" s="13" t="s">
        <v>9697</v>
      </c>
      <c r="AR890" s="13" t="s">
        <v>9697</v>
      </c>
      <c r="AS890" s="13" t="s">
        <v>8968</v>
      </c>
      <c r="AT890" s="13" t="s">
        <v>9701</v>
      </c>
      <c r="AU890" s="13" t="s">
        <v>8970</v>
      </c>
      <c r="AV890" s="13" t="s">
        <v>9016</v>
      </c>
      <c r="AY890" s="13" t="s">
        <v>9702</v>
      </c>
      <c r="AZ890" s="13" t="s">
        <v>9703</v>
      </c>
      <c r="BA890" s="13" t="s">
        <v>9703</v>
      </c>
      <c r="BB890" s="17" t="s">
        <v>9704</v>
      </c>
      <c r="BC890" s="17" t="s">
        <v>9705</v>
      </c>
      <c r="BD890" s="13">
        <f t="shared" si="32"/>
        <v>55</v>
      </c>
      <c r="BE890" s="17" t="s">
        <v>9022</v>
      </c>
      <c r="BF890" s="17" t="s">
        <v>9023</v>
      </c>
      <c r="BG890" s="17" t="s">
        <v>9066</v>
      </c>
      <c r="BH890" s="17"/>
      <c r="BI890" s="17"/>
      <c r="BJ890" s="17" t="s">
        <v>9411</v>
      </c>
      <c r="BK890" s="17" t="s">
        <v>9366</v>
      </c>
      <c r="BL890" s="17"/>
      <c r="BM890" s="17"/>
      <c r="BN890" s="17"/>
      <c r="BO890" s="17" t="s">
        <v>9492</v>
      </c>
      <c r="BP890" s="17" t="s">
        <v>9368</v>
      </c>
      <c r="BQ890" s="17"/>
      <c r="BR890" s="17"/>
      <c r="BS890" s="17" t="s">
        <v>127</v>
      </c>
      <c r="BT890" s="17" t="s">
        <v>9481</v>
      </c>
      <c r="BU890" s="17" t="s">
        <v>129</v>
      </c>
      <c r="BV890" s="17"/>
      <c r="BW890" s="17"/>
      <c r="BX890" s="13" t="s">
        <v>9706</v>
      </c>
      <c r="BY890" s="13" t="s">
        <v>8981</v>
      </c>
      <c r="DA890" s="13" t="s">
        <v>10348</v>
      </c>
      <c r="DB890" s="13" t="s">
        <v>10348</v>
      </c>
    </row>
    <row r="891" spans="1:106" s="13" customFormat="1" ht="12.75" customHeight="1" x14ac:dyDescent="0.2">
      <c r="A891" s="13" t="s">
        <v>102</v>
      </c>
      <c r="B891" s="13" t="s">
        <v>103</v>
      </c>
      <c r="D891" s="13" t="s">
        <v>8957</v>
      </c>
      <c r="E891" s="13" t="s">
        <v>8958</v>
      </c>
      <c r="F891" s="13" t="s">
        <v>8957</v>
      </c>
      <c r="G891" s="13" t="s">
        <v>105</v>
      </c>
      <c r="H891" s="13" t="s">
        <v>820</v>
      </c>
      <c r="J891" s="13" t="s">
        <v>106</v>
      </c>
      <c r="W891" s="13">
        <v>902</v>
      </c>
      <c r="X891" s="13">
        <v>902</v>
      </c>
      <c r="Y891" s="13" t="s">
        <v>8959</v>
      </c>
      <c r="Z891" s="13" t="s">
        <v>8960</v>
      </c>
      <c r="AA891" s="13" t="s">
        <v>8961</v>
      </c>
      <c r="AB891" s="13" t="s">
        <v>9707</v>
      </c>
      <c r="AC891" s="13" t="s">
        <v>9707</v>
      </c>
      <c r="AD891" s="13" t="s">
        <v>9707</v>
      </c>
      <c r="AE891" s="13" t="s">
        <v>8964</v>
      </c>
      <c r="AF891" s="13" t="s">
        <v>9707</v>
      </c>
      <c r="AG891" s="13" t="s">
        <v>9707</v>
      </c>
      <c r="AH891" s="13" t="s">
        <v>9708</v>
      </c>
      <c r="AL891" s="13" t="s">
        <v>9709</v>
      </c>
      <c r="AN891" s="13">
        <v>3406</v>
      </c>
      <c r="AO891" s="13" t="s">
        <v>9710</v>
      </c>
      <c r="AQ891" s="13" t="s">
        <v>9707</v>
      </c>
      <c r="AR891" s="13" t="s">
        <v>9707</v>
      </c>
      <c r="AS891" s="13" t="s">
        <v>8968</v>
      </c>
      <c r="AT891" s="13" t="s">
        <v>9711</v>
      </c>
      <c r="AU891" s="13" t="s">
        <v>8970</v>
      </c>
      <c r="AV891" s="13" t="s">
        <v>9016</v>
      </c>
      <c r="AY891" s="13" t="s">
        <v>9712</v>
      </c>
      <c r="AZ891" s="13" t="s">
        <v>9713</v>
      </c>
      <c r="BA891" s="13" t="s">
        <v>9713</v>
      </c>
      <c r="BB891" s="17" t="s">
        <v>9714</v>
      </c>
      <c r="BC891" s="17" t="s">
        <v>9715</v>
      </c>
      <c r="BD891" s="13">
        <f t="shared" si="32"/>
        <v>58</v>
      </c>
      <c r="BE891" s="17" t="s">
        <v>9022</v>
      </c>
      <c r="BF891" s="17" t="s">
        <v>9023</v>
      </c>
      <c r="BG891" s="17" t="s">
        <v>9066</v>
      </c>
      <c r="BH891" s="17"/>
      <c r="BI891" s="17"/>
      <c r="BJ891" s="17" t="s">
        <v>9716</v>
      </c>
      <c r="BK891" s="17" t="s">
        <v>9366</v>
      </c>
      <c r="BL891" s="17"/>
      <c r="BM891" s="17"/>
      <c r="BN891" s="17"/>
      <c r="BO891" s="17" t="s">
        <v>9503</v>
      </c>
      <c r="BP891" s="17" t="s">
        <v>9368</v>
      </c>
      <c r="BQ891" s="17"/>
      <c r="BR891" s="17"/>
      <c r="BS891" s="17" t="s">
        <v>127</v>
      </c>
      <c r="BT891" s="17" t="s">
        <v>9481</v>
      </c>
      <c r="BU891" s="17" t="s">
        <v>129</v>
      </c>
      <c r="BV891" s="17"/>
      <c r="BW891" s="17"/>
      <c r="BX891" s="13" t="s">
        <v>9717</v>
      </c>
      <c r="BY891" s="13" t="s">
        <v>8981</v>
      </c>
      <c r="DA891" s="13" t="s">
        <v>10348</v>
      </c>
      <c r="DB891" s="13" t="s">
        <v>10348</v>
      </c>
    </row>
    <row r="892" spans="1:106" s="13" customFormat="1" ht="12.75" customHeight="1" x14ac:dyDescent="0.2">
      <c r="A892" s="13" t="s">
        <v>102</v>
      </c>
      <c r="B892" s="13" t="s">
        <v>103</v>
      </c>
      <c r="D892" s="13" t="s">
        <v>8957</v>
      </c>
      <c r="E892" s="13" t="s">
        <v>8958</v>
      </c>
      <c r="F892" s="13" t="s">
        <v>8957</v>
      </c>
      <c r="G892" s="13" t="s">
        <v>105</v>
      </c>
      <c r="H892" s="13" t="s">
        <v>820</v>
      </c>
      <c r="J892" s="13" t="s">
        <v>106</v>
      </c>
      <c r="W892" s="13">
        <v>903</v>
      </c>
      <c r="X892" s="13">
        <v>903</v>
      </c>
      <c r="Y892" s="13" t="s">
        <v>8959</v>
      </c>
      <c r="Z892" s="13" t="s">
        <v>8960</v>
      </c>
      <c r="AA892" s="13" t="s">
        <v>8961</v>
      </c>
      <c r="AB892" s="13" t="s">
        <v>9718</v>
      </c>
      <c r="AC892" s="13" t="s">
        <v>9718</v>
      </c>
      <c r="AD892" s="13" t="s">
        <v>9718</v>
      </c>
      <c r="AE892" s="13" t="s">
        <v>8964</v>
      </c>
      <c r="AF892" s="13" t="s">
        <v>9718</v>
      </c>
      <c r="AG892" s="13" t="s">
        <v>9718</v>
      </c>
      <c r="AH892" s="13" t="s">
        <v>9719</v>
      </c>
      <c r="AL892" s="13" t="s">
        <v>9720</v>
      </c>
      <c r="AN892" s="13">
        <v>3406</v>
      </c>
      <c r="AO892" s="13" t="s">
        <v>9721</v>
      </c>
      <c r="AQ892" s="13" t="s">
        <v>9718</v>
      </c>
      <c r="AR892" s="13" t="s">
        <v>9718</v>
      </c>
      <c r="AS892" s="13" t="s">
        <v>8968</v>
      </c>
      <c r="AT892" s="13" t="s">
        <v>9722</v>
      </c>
      <c r="AU892" s="13" t="s">
        <v>8970</v>
      </c>
      <c r="AV892" s="13" t="s">
        <v>9016</v>
      </c>
      <c r="AY892" s="13" t="s">
        <v>9723</v>
      </c>
      <c r="AZ892" s="13" t="s">
        <v>9724</v>
      </c>
      <c r="BA892" s="13" t="s">
        <v>9724</v>
      </c>
      <c r="BB892" s="17" t="s">
        <v>9725</v>
      </c>
      <c r="BC892" s="17" t="s">
        <v>9726</v>
      </c>
      <c r="BD892" s="13">
        <f t="shared" si="32"/>
        <v>58</v>
      </c>
      <c r="BE892" s="17" t="s">
        <v>9022</v>
      </c>
      <c r="BF892" s="17" t="s">
        <v>9023</v>
      </c>
      <c r="BG892" s="17" t="s">
        <v>9066</v>
      </c>
      <c r="BH892" s="17"/>
      <c r="BI892" s="17"/>
      <c r="BJ892" s="17" t="s">
        <v>9727</v>
      </c>
      <c r="BK892" s="17" t="s">
        <v>9366</v>
      </c>
      <c r="BL892" s="17"/>
      <c r="BM892" s="17"/>
      <c r="BN892" s="17"/>
      <c r="BO892" s="17" t="s">
        <v>9503</v>
      </c>
      <c r="BP892" s="17" t="s">
        <v>9368</v>
      </c>
      <c r="BQ892" s="17"/>
      <c r="BR892" s="17"/>
      <c r="BS892" s="17" t="s">
        <v>127</v>
      </c>
      <c r="BT892" s="17" t="s">
        <v>9481</v>
      </c>
      <c r="BU892" s="17" t="s">
        <v>129</v>
      </c>
      <c r="BV892" s="17"/>
      <c r="BW892" s="17"/>
      <c r="BX892" s="13" t="s">
        <v>9728</v>
      </c>
      <c r="BY892" s="13" t="s">
        <v>8981</v>
      </c>
      <c r="DA892" s="13" t="s">
        <v>10348</v>
      </c>
      <c r="DB892" s="13" t="s">
        <v>10348</v>
      </c>
    </row>
    <row r="893" spans="1:106" s="13" customFormat="1" ht="12.75" customHeight="1" x14ac:dyDescent="0.2">
      <c r="A893" s="13" t="s">
        <v>102</v>
      </c>
      <c r="B893" s="13" t="s">
        <v>103</v>
      </c>
      <c r="D893" s="13" t="s">
        <v>8957</v>
      </c>
      <c r="E893" s="13" t="s">
        <v>8958</v>
      </c>
      <c r="F893" s="13" t="s">
        <v>8957</v>
      </c>
      <c r="G893" s="13" t="s">
        <v>105</v>
      </c>
      <c r="H893" s="13" t="s">
        <v>820</v>
      </c>
      <c r="J893" s="13" t="s">
        <v>106</v>
      </c>
      <c r="W893" s="13">
        <v>904</v>
      </c>
      <c r="X893" s="13">
        <v>904</v>
      </c>
      <c r="Y893" s="13" t="s">
        <v>8959</v>
      </c>
      <c r="Z893" s="13" t="s">
        <v>8960</v>
      </c>
      <c r="AA893" s="13" t="s">
        <v>8961</v>
      </c>
      <c r="AB893" s="13" t="s">
        <v>9729</v>
      </c>
      <c r="AC893" s="13" t="s">
        <v>9729</v>
      </c>
      <c r="AD893" s="13" t="s">
        <v>9729</v>
      </c>
      <c r="AE893" s="13" t="s">
        <v>8964</v>
      </c>
      <c r="AF893" s="13" t="s">
        <v>9729</v>
      </c>
      <c r="AG893" s="13" t="s">
        <v>9729</v>
      </c>
      <c r="AH893" s="13" t="s">
        <v>9730</v>
      </c>
      <c r="AL893" s="13" t="s">
        <v>9731</v>
      </c>
      <c r="AN893" s="13">
        <v>3406</v>
      </c>
      <c r="AO893" s="13" t="s">
        <v>9732</v>
      </c>
      <c r="AQ893" s="13" t="s">
        <v>9729</v>
      </c>
      <c r="AR893" s="13" t="s">
        <v>9729</v>
      </c>
      <c r="AS893" s="13" t="s">
        <v>8968</v>
      </c>
      <c r="AT893" s="13" t="s">
        <v>9733</v>
      </c>
      <c r="AU893" s="13" t="s">
        <v>8970</v>
      </c>
      <c r="AV893" s="13" t="s">
        <v>9016</v>
      </c>
      <c r="AY893" s="13" t="s">
        <v>9734</v>
      </c>
      <c r="AZ893" s="13" t="s">
        <v>9735</v>
      </c>
      <c r="BA893" s="13" t="s">
        <v>9735</v>
      </c>
      <c r="BB893" s="17" t="s">
        <v>9736</v>
      </c>
      <c r="BC893" s="17" t="s">
        <v>9737</v>
      </c>
      <c r="BD893" s="13">
        <f t="shared" si="32"/>
        <v>59</v>
      </c>
      <c r="BE893" s="17" t="s">
        <v>9022</v>
      </c>
      <c r="BF893" s="17" t="s">
        <v>9023</v>
      </c>
      <c r="BG893" s="17" t="s">
        <v>9066</v>
      </c>
      <c r="BH893" s="17"/>
      <c r="BI893" s="17"/>
      <c r="BJ893" s="17" t="s">
        <v>9738</v>
      </c>
      <c r="BK893" s="17" t="s">
        <v>9366</v>
      </c>
      <c r="BL893" s="17"/>
      <c r="BM893" s="17"/>
      <c r="BN893" s="17"/>
      <c r="BO893" s="17" t="s">
        <v>9503</v>
      </c>
      <c r="BP893" s="17" t="s">
        <v>9368</v>
      </c>
      <c r="BQ893" s="17"/>
      <c r="BR893" s="17"/>
      <c r="BS893" s="17" t="s">
        <v>127</v>
      </c>
      <c r="BT893" s="17" t="s">
        <v>9481</v>
      </c>
      <c r="BU893" s="17" t="s">
        <v>129</v>
      </c>
      <c r="BV893" s="17"/>
      <c r="BW893" s="17"/>
      <c r="BX893" s="13" t="s">
        <v>9739</v>
      </c>
      <c r="BY893" s="13" t="s">
        <v>8981</v>
      </c>
      <c r="DA893" s="13" t="s">
        <v>10348</v>
      </c>
      <c r="DB893" s="13" t="s">
        <v>10348</v>
      </c>
    </row>
    <row r="894" spans="1:106" s="13" customFormat="1" ht="12.75" customHeight="1" x14ac:dyDescent="0.2">
      <c r="A894" s="13" t="s">
        <v>102</v>
      </c>
      <c r="B894" s="13" t="s">
        <v>103</v>
      </c>
      <c r="D894" s="13" t="s">
        <v>8957</v>
      </c>
      <c r="E894" s="13" t="s">
        <v>8958</v>
      </c>
      <c r="F894" s="13" t="s">
        <v>8957</v>
      </c>
      <c r="G894" s="13" t="s">
        <v>105</v>
      </c>
      <c r="H894" s="13" t="s">
        <v>820</v>
      </c>
      <c r="J894" s="13" t="s">
        <v>106</v>
      </c>
      <c r="W894" s="13">
        <v>905</v>
      </c>
      <c r="X894" s="13">
        <v>905</v>
      </c>
      <c r="Y894" s="13" t="s">
        <v>8959</v>
      </c>
      <c r="Z894" s="13" t="s">
        <v>8960</v>
      </c>
      <c r="AA894" s="13" t="s">
        <v>8961</v>
      </c>
      <c r="AB894" s="13" t="s">
        <v>9740</v>
      </c>
      <c r="AC894" s="13" t="s">
        <v>9740</v>
      </c>
      <c r="AD894" s="13" t="s">
        <v>9740</v>
      </c>
      <c r="AE894" s="13" t="s">
        <v>8964</v>
      </c>
      <c r="AF894" s="13" t="s">
        <v>9740</v>
      </c>
      <c r="AG894" s="13" t="s">
        <v>9740</v>
      </c>
      <c r="AH894" s="13" t="s">
        <v>9741</v>
      </c>
      <c r="AL894" s="13" t="s">
        <v>9742</v>
      </c>
      <c r="AN894" s="13">
        <v>3406</v>
      </c>
      <c r="AO894" s="13" t="s">
        <v>9743</v>
      </c>
      <c r="AQ894" s="13" t="s">
        <v>9740</v>
      </c>
      <c r="AR894" s="13" t="s">
        <v>9740</v>
      </c>
      <c r="AS894" s="13" t="s">
        <v>8968</v>
      </c>
      <c r="AT894" s="13" t="s">
        <v>9744</v>
      </c>
      <c r="AU894" s="13" t="s">
        <v>8970</v>
      </c>
      <c r="AV894" s="13" t="s">
        <v>9016</v>
      </c>
      <c r="AY894" s="13" t="s">
        <v>9745</v>
      </c>
      <c r="AZ894" s="13" t="s">
        <v>9746</v>
      </c>
      <c r="BA894" s="13" t="s">
        <v>9746</v>
      </c>
      <c r="BB894" s="17" t="s">
        <v>9747</v>
      </c>
      <c r="BC894" s="17" t="s">
        <v>9748</v>
      </c>
      <c r="BD894" s="13">
        <f t="shared" si="32"/>
        <v>59</v>
      </c>
      <c r="BE894" s="17" t="s">
        <v>9022</v>
      </c>
      <c r="BF894" s="17" t="s">
        <v>9023</v>
      </c>
      <c r="BG894" s="17" t="s">
        <v>9066</v>
      </c>
      <c r="BH894" s="17"/>
      <c r="BI894" s="17"/>
      <c r="BJ894" s="17" t="s">
        <v>9749</v>
      </c>
      <c r="BK894" s="17" t="s">
        <v>9366</v>
      </c>
      <c r="BL894" s="17"/>
      <c r="BM894" s="17"/>
      <c r="BN894" s="17"/>
      <c r="BO894" s="17" t="s">
        <v>9503</v>
      </c>
      <c r="BP894" s="17" t="s">
        <v>9368</v>
      </c>
      <c r="BQ894" s="17"/>
      <c r="BR894" s="17"/>
      <c r="BS894" s="17" t="s">
        <v>127</v>
      </c>
      <c r="BT894" s="17" t="s">
        <v>9481</v>
      </c>
      <c r="BU894" s="17" t="s">
        <v>129</v>
      </c>
      <c r="BV894" s="17"/>
      <c r="BW894" s="17"/>
      <c r="BX894" s="13" t="s">
        <v>9750</v>
      </c>
      <c r="BY894" s="13" t="s">
        <v>8981</v>
      </c>
      <c r="DA894" s="13" t="s">
        <v>10348</v>
      </c>
      <c r="DB894" s="13" t="s">
        <v>10348</v>
      </c>
    </row>
    <row r="895" spans="1:106" s="13" customFormat="1" ht="12.75" customHeight="1" x14ac:dyDescent="0.2">
      <c r="A895" s="13" t="s">
        <v>102</v>
      </c>
      <c r="B895" s="13" t="s">
        <v>103</v>
      </c>
      <c r="D895" s="13" t="s">
        <v>8957</v>
      </c>
      <c r="E895" s="13" t="s">
        <v>8958</v>
      </c>
      <c r="F895" s="13" t="s">
        <v>8957</v>
      </c>
      <c r="G895" s="13" t="s">
        <v>105</v>
      </c>
      <c r="H895" s="13" t="s">
        <v>820</v>
      </c>
      <c r="J895" s="13" t="s">
        <v>106</v>
      </c>
      <c r="W895" s="13">
        <v>906</v>
      </c>
      <c r="X895" s="13">
        <v>906</v>
      </c>
      <c r="Y895" s="13" t="s">
        <v>8959</v>
      </c>
      <c r="Z895" s="13" t="s">
        <v>8960</v>
      </c>
      <c r="AA895" s="13" t="s">
        <v>8961</v>
      </c>
      <c r="AB895" s="13" t="s">
        <v>9751</v>
      </c>
      <c r="AC895" s="13" t="s">
        <v>9751</v>
      </c>
      <c r="AD895" s="13" t="s">
        <v>9751</v>
      </c>
      <c r="AE895" s="13" t="s">
        <v>8964</v>
      </c>
      <c r="AF895" s="13" t="s">
        <v>9751</v>
      </c>
      <c r="AG895" s="13" t="s">
        <v>9751</v>
      </c>
      <c r="AH895" s="13" t="s">
        <v>9752</v>
      </c>
      <c r="AL895" s="13" t="s">
        <v>9753</v>
      </c>
      <c r="AN895" s="13">
        <v>3406</v>
      </c>
      <c r="AO895" s="13" t="s">
        <v>9754</v>
      </c>
      <c r="AQ895" s="13" t="s">
        <v>9751</v>
      </c>
      <c r="AR895" s="13" t="s">
        <v>9751</v>
      </c>
      <c r="AS895" s="13" t="s">
        <v>8968</v>
      </c>
      <c r="AT895" s="13" t="s">
        <v>9755</v>
      </c>
      <c r="AU895" s="13" t="s">
        <v>8970</v>
      </c>
      <c r="AV895" s="13" t="s">
        <v>9016</v>
      </c>
      <c r="AY895" s="13" t="s">
        <v>9756</v>
      </c>
      <c r="AZ895" s="13" t="s">
        <v>9757</v>
      </c>
      <c r="BA895" s="13" t="s">
        <v>9757</v>
      </c>
      <c r="BB895" s="17" t="s">
        <v>9758</v>
      </c>
      <c r="BC895" s="17" t="s">
        <v>9759</v>
      </c>
      <c r="BD895" s="13">
        <f t="shared" si="32"/>
        <v>59</v>
      </c>
      <c r="BE895" s="17" t="s">
        <v>9022</v>
      </c>
      <c r="BF895" s="17" t="s">
        <v>9023</v>
      </c>
      <c r="BG895" s="17" t="s">
        <v>9066</v>
      </c>
      <c r="BH895" s="17"/>
      <c r="BI895" s="17"/>
      <c r="BJ895" s="17" t="s">
        <v>9760</v>
      </c>
      <c r="BK895" s="17" t="s">
        <v>9366</v>
      </c>
      <c r="BL895" s="17"/>
      <c r="BM895" s="17"/>
      <c r="BN895" s="17"/>
      <c r="BO895" s="17" t="s">
        <v>9503</v>
      </c>
      <c r="BP895" s="17" t="s">
        <v>9368</v>
      </c>
      <c r="BQ895" s="17"/>
      <c r="BR895" s="17"/>
      <c r="BS895" s="17" t="s">
        <v>127</v>
      </c>
      <c r="BT895" s="17" t="s">
        <v>9481</v>
      </c>
      <c r="BU895" s="17" t="s">
        <v>129</v>
      </c>
      <c r="BV895" s="17"/>
      <c r="BW895" s="17"/>
      <c r="BX895" s="13" t="s">
        <v>9761</v>
      </c>
      <c r="BY895" s="13" t="s">
        <v>8981</v>
      </c>
      <c r="DA895" s="13" t="s">
        <v>10348</v>
      </c>
      <c r="DB895" s="13" t="s">
        <v>10348</v>
      </c>
    </row>
    <row r="896" spans="1:106" s="13" customFormat="1" ht="12.75" customHeight="1" x14ac:dyDescent="0.2">
      <c r="A896" s="13" t="s">
        <v>102</v>
      </c>
      <c r="B896" s="13" t="s">
        <v>103</v>
      </c>
      <c r="D896" s="13" t="s">
        <v>8957</v>
      </c>
      <c r="E896" s="13" t="s">
        <v>8958</v>
      </c>
      <c r="F896" s="13" t="s">
        <v>8957</v>
      </c>
      <c r="G896" s="13" t="s">
        <v>105</v>
      </c>
      <c r="H896" s="13" t="s">
        <v>820</v>
      </c>
      <c r="J896" s="13" t="s">
        <v>106</v>
      </c>
      <c r="W896" s="13">
        <v>907</v>
      </c>
      <c r="X896" s="13">
        <v>907</v>
      </c>
      <c r="Y896" s="13" t="s">
        <v>8959</v>
      </c>
      <c r="Z896" s="13" t="s">
        <v>8960</v>
      </c>
      <c r="AA896" s="13" t="s">
        <v>8961</v>
      </c>
      <c r="AB896" s="13" t="s">
        <v>9762</v>
      </c>
      <c r="AC896" s="13" t="s">
        <v>9762</v>
      </c>
      <c r="AD896" s="13" t="s">
        <v>9762</v>
      </c>
      <c r="AE896" s="13" t="s">
        <v>8964</v>
      </c>
      <c r="AF896" s="13" t="s">
        <v>9762</v>
      </c>
      <c r="AG896" s="13" t="s">
        <v>9762</v>
      </c>
      <c r="AH896" s="13" t="s">
        <v>9763</v>
      </c>
      <c r="AL896" s="13" t="s">
        <v>9764</v>
      </c>
      <c r="AN896" s="13">
        <v>3406</v>
      </c>
      <c r="AO896" s="13" t="s">
        <v>9765</v>
      </c>
      <c r="AQ896" s="13" t="s">
        <v>9762</v>
      </c>
      <c r="AR896" s="13" t="s">
        <v>9762</v>
      </c>
      <c r="AS896" s="13" t="s">
        <v>8968</v>
      </c>
      <c r="AT896" s="13" t="s">
        <v>9766</v>
      </c>
      <c r="AU896" s="13" t="s">
        <v>9105</v>
      </c>
      <c r="AV896" s="13" t="s">
        <v>9016</v>
      </c>
      <c r="AY896" s="13" t="s">
        <v>9767</v>
      </c>
      <c r="AZ896" s="13" t="s">
        <v>9768</v>
      </c>
      <c r="BA896" s="13" t="s">
        <v>9768</v>
      </c>
      <c r="BB896" s="17" t="s">
        <v>9769</v>
      </c>
      <c r="BC896" s="17" t="s">
        <v>9770</v>
      </c>
      <c r="BD896" s="13">
        <f t="shared" si="32"/>
        <v>57</v>
      </c>
      <c r="BE896" s="17" t="s">
        <v>9022</v>
      </c>
      <c r="BF896" s="17" t="s">
        <v>9023</v>
      </c>
      <c r="BG896" s="17" t="s">
        <v>9066</v>
      </c>
      <c r="BH896" s="17"/>
      <c r="BI896" s="17"/>
      <c r="BJ896" s="17" t="s">
        <v>9771</v>
      </c>
      <c r="BK896" s="17" t="s">
        <v>1082</v>
      </c>
      <c r="BL896" s="17"/>
      <c r="BM896" s="17"/>
      <c r="BN896" s="17"/>
      <c r="BO896" s="17" t="s">
        <v>9772</v>
      </c>
      <c r="BP896" s="17" t="s">
        <v>9368</v>
      </c>
      <c r="BQ896" s="17"/>
      <c r="BR896" s="17"/>
      <c r="BS896" s="17" t="s">
        <v>127</v>
      </c>
      <c r="BT896" s="17" t="s">
        <v>9105</v>
      </c>
      <c r="BU896" s="17" t="s">
        <v>129</v>
      </c>
      <c r="BV896" s="17"/>
      <c r="BW896" s="17"/>
      <c r="BX896" s="13" t="s">
        <v>9773</v>
      </c>
      <c r="BY896" s="13" t="s">
        <v>8981</v>
      </c>
      <c r="DA896" s="13" t="s">
        <v>10348</v>
      </c>
      <c r="DB896" s="13" t="s">
        <v>10348</v>
      </c>
    </row>
    <row r="897" spans="1:106" s="13" customFormat="1" ht="12.75" customHeight="1" x14ac:dyDescent="0.2">
      <c r="A897" s="13" t="s">
        <v>102</v>
      </c>
      <c r="B897" s="13" t="s">
        <v>103</v>
      </c>
      <c r="D897" s="13" t="s">
        <v>8957</v>
      </c>
      <c r="E897" s="13" t="s">
        <v>8958</v>
      </c>
      <c r="F897" s="13" t="s">
        <v>8957</v>
      </c>
      <c r="G897" s="13" t="s">
        <v>105</v>
      </c>
      <c r="H897" s="13" t="s">
        <v>820</v>
      </c>
      <c r="J897" s="13" t="s">
        <v>106</v>
      </c>
      <c r="W897" s="13">
        <v>908</v>
      </c>
      <c r="X897" s="13">
        <v>908</v>
      </c>
      <c r="Y897" s="13" t="s">
        <v>8959</v>
      </c>
      <c r="Z897" s="13" t="s">
        <v>8960</v>
      </c>
      <c r="AA897" s="13" t="s">
        <v>8961</v>
      </c>
      <c r="AB897" s="13" t="s">
        <v>9774</v>
      </c>
      <c r="AC897" s="13" t="s">
        <v>9774</v>
      </c>
      <c r="AD897" s="13" t="s">
        <v>9774</v>
      </c>
      <c r="AE897" s="13" t="s">
        <v>8964</v>
      </c>
      <c r="AF897" s="13" t="s">
        <v>9774</v>
      </c>
      <c r="AG897" s="13" t="s">
        <v>9774</v>
      </c>
      <c r="AH897" s="13" t="s">
        <v>9775</v>
      </c>
      <c r="AL897" s="13" t="s">
        <v>9776</v>
      </c>
      <c r="AN897" s="13">
        <v>3406</v>
      </c>
      <c r="AO897" s="13" t="s">
        <v>9777</v>
      </c>
      <c r="AQ897" s="13" t="s">
        <v>9774</v>
      </c>
      <c r="AR897" s="13" t="s">
        <v>9774</v>
      </c>
      <c r="AS897" s="13" t="s">
        <v>8968</v>
      </c>
      <c r="AT897" s="13" t="s">
        <v>9778</v>
      </c>
      <c r="AU897" s="13" t="s">
        <v>9779</v>
      </c>
      <c r="AV897" s="13" t="s">
        <v>9780</v>
      </c>
      <c r="AY897" s="13" t="s">
        <v>9781</v>
      </c>
      <c r="AZ897" s="13" t="s">
        <v>9782</v>
      </c>
      <c r="BA897" s="13" t="s">
        <v>9782</v>
      </c>
      <c r="BB897" s="17" t="s">
        <v>9783</v>
      </c>
      <c r="BC897" s="17" t="s">
        <v>9784</v>
      </c>
      <c r="BD897" s="13">
        <f t="shared" si="32"/>
        <v>51</v>
      </c>
      <c r="BE897" s="17" t="s">
        <v>9351</v>
      </c>
      <c r="BF897" s="17" t="s">
        <v>9785</v>
      </c>
      <c r="BG897" s="17"/>
      <c r="BH897" s="31" t="s">
        <v>9353</v>
      </c>
      <c r="BI897" s="17"/>
      <c r="BJ897" s="17" t="s">
        <v>9786</v>
      </c>
      <c r="BK897" s="17"/>
      <c r="BL897" s="17"/>
      <c r="BM897" s="17"/>
      <c r="BN897" s="17"/>
      <c r="BO897" s="17" t="s">
        <v>9787</v>
      </c>
      <c r="BP897" s="17" t="s">
        <v>246</v>
      </c>
      <c r="BQ897" s="17"/>
      <c r="BR897" s="17" t="s">
        <v>9788</v>
      </c>
      <c r="BS897" s="17" t="s">
        <v>127</v>
      </c>
      <c r="BT897" s="17" t="s">
        <v>9779</v>
      </c>
      <c r="BU897" s="17" t="s">
        <v>129</v>
      </c>
      <c r="BV897" s="17"/>
      <c r="BW897" s="17"/>
      <c r="BX897" s="13" t="s">
        <v>9789</v>
      </c>
      <c r="BY897" s="13" t="s">
        <v>8981</v>
      </c>
      <c r="DA897" s="13" t="s">
        <v>10348</v>
      </c>
      <c r="DB897" s="13" t="s">
        <v>10348</v>
      </c>
    </row>
    <row r="898" spans="1:106" s="13" customFormat="1" ht="12.75" customHeight="1" x14ac:dyDescent="0.2">
      <c r="A898" s="13" t="s">
        <v>102</v>
      </c>
      <c r="B898" s="13" t="s">
        <v>103</v>
      </c>
      <c r="D898" s="13" t="s">
        <v>8957</v>
      </c>
      <c r="E898" s="13" t="s">
        <v>8958</v>
      </c>
      <c r="F898" s="13" t="s">
        <v>8957</v>
      </c>
      <c r="G898" s="13" t="s">
        <v>105</v>
      </c>
      <c r="H898" s="13" t="s">
        <v>820</v>
      </c>
      <c r="J898" s="13" t="s">
        <v>106</v>
      </c>
      <c r="W898" s="13">
        <v>857</v>
      </c>
      <c r="X898" s="13">
        <v>857</v>
      </c>
      <c r="Y898" s="13" t="s">
        <v>8959</v>
      </c>
      <c r="Z898" s="13" t="s">
        <v>8960</v>
      </c>
      <c r="AA898" s="13" t="s">
        <v>8961</v>
      </c>
      <c r="AB898" s="13" t="s">
        <v>9182</v>
      </c>
      <c r="AC898" s="13" t="s">
        <v>9182</v>
      </c>
      <c r="AD898" s="13" t="s">
        <v>9182</v>
      </c>
      <c r="AE898" s="13" t="s">
        <v>8964</v>
      </c>
      <c r="AF898" s="13" t="s">
        <v>9182</v>
      </c>
      <c r="AG898" s="13" t="s">
        <v>9182</v>
      </c>
      <c r="AH898" s="13" t="s">
        <v>9183</v>
      </c>
      <c r="AL898" s="13" t="s">
        <v>9184</v>
      </c>
      <c r="AN898" s="13">
        <v>3406</v>
      </c>
      <c r="AO898" s="13" t="s">
        <v>9185</v>
      </c>
      <c r="AQ898" s="13" t="s">
        <v>9182</v>
      </c>
      <c r="AR898" s="13" t="s">
        <v>9182</v>
      </c>
      <c r="AS898" s="13" t="s">
        <v>8968</v>
      </c>
      <c r="AT898" s="13" t="s">
        <v>9186</v>
      </c>
      <c r="AU898" s="13" t="s">
        <v>9187</v>
      </c>
      <c r="AV898" s="13" t="s">
        <v>9188</v>
      </c>
      <c r="AY898" s="13" t="s">
        <v>9189</v>
      </c>
      <c r="AZ898" s="13" t="s">
        <v>9190</v>
      </c>
      <c r="BA898" s="13" t="s">
        <v>9190</v>
      </c>
      <c r="BB898" s="17" t="s">
        <v>9191</v>
      </c>
      <c r="BC898" s="17" t="s">
        <v>9192</v>
      </c>
      <c r="BD898" s="13">
        <f t="shared" si="32"/>
        <v>56</v>
      </c>
      <c r="BE898" s="17" t="s">
        <v>1637</v>
      </c>
      <c r="BF898" s="17" t="s">
        <v>9193</v>
      </c>
      <c r="BG898" s="17" t="s">
        <v>9194</v>
      </c>
      <c r="BH898" s="17"/>
      <c r="BI898" s="17"/>
      <c r="BJ898" s="17"/>
      <c r="BK898" s="17"/>
      <c r="BL898" s="17"/>
      <c r="BM898" s="17"/>
      <c r="BN898" s="17"/>
      <c r="BO898" s="17" t="s">
        <v>9195</v>
      </c>
      <c r="BP898" s="17"/>
      <c r="BQ898" s="17"/>
      <c r="BR898" s="17"/>
      <c r="BS898" s="17" t="s">
        <v>127</v>
      </c>
      <c r="BT898" s="17" t="s">
        <v>9196</v>
      </c>
      <c r="BU898" s="17" t="s">
        <v>129</v>
      </c>
      <c r="BV898" s="17"/>
      <c r="BW898" s="17"/>
      <c r="BX898" s="13" t="s">
        <v>9197</v>
      </c>
      <c r="BY898" s="13" t="s">
        <v>9198</v>
      </c>
      <c r="DA898" s="13" t="s">
        <v>10348</v>
      </c>
      <c r="DB898" s="13" t="s">
        <v>10348</v>
      </c>
    </row>
    <row r="899" spans="1:106" s="13" customFormat="1" ht="12.75" customHeight="1" x14ac:dyDescent="0.2">
      <c r="A899" s="13" t="s">
        <v>102</v>
      </c>
      <c r="B899" s="13" t="s">
        <v>103</v>
      </c>
      <c r="D899" s="13" t="s">
        <v>8957</v>
      </c>
      <c r="E899" s="13" t="s">
        <v>8958</v>
      </c>
      <c r="F899" s="13" t="s">
        <v>8957</v>
      </c>
      <c r="G899" s="13" t="s">
        <v>105</v>
      </c>
      <c r="H899" s="13" t="s">
        <v>820</v>
      </c>
      <c r="J899" s="13" t="s">
        <v>106</v>
      </c>
      <c r="W899" s="13">
        <v>858</v>
      </c>
      <c r="X899" s="13">
        <v>858</v>
      </c>
      <c r="Y899" s="13" t="s">
        <v>8959</v>
      </c>
      <c r="Z899" s="13" t="s">
        <v>8960</v>
      </c>
      <c r="AA899" s="13" t="s">
        <v>8961</v>
      </c>
      <c r="AB899" s="13" t="s">
        <v>9199</v>
      </c>
      <c r="AC899" s="13" t="s">
        <v>9199</v>
      </c>
      <c r="AD899" s="13" t="s">
        <v>9199</v>
      </c>
      <c r="AE899" s="13" t="s">
        <v>8964</v>
      </c>
      <c r="AF899" s="13" t="s">
        <v>9199</v>
      </c>
      <c r="AG899" s="13" t="s">
        <v>9199</v>
      </c>
      <c r="AH899" s="13" t="s">
        <v>9200</v>
      </c>
      <c r="AL899" s="13" t="s">
        <v>9201</v>
      </c>
      <c r="AN899" s="13">
        <v>3406</v>
      </c>
      <c r="AO899" s="13" t="s">
        <v>9202</v>
      </c>
      <c r="AQ899" s="13" t="s">
        <v>9199</v>
      </c>
      <c r="AR899" s="13" t="s">
        <v>9199</v>
      </c>
      <c r="AS899" s="13" t="s">
        <v>8968</v>
      </c>
      <c r="AT899" s="13" t="s">
        <v>9203</v>
      </c>
      <c r="AU899" s="13" t="s">
        <v>9187</v>
      </c>
      <c r="AV899" s="13" t="s">
        <v>9188</v>
      </c>
      <c r="AY899" s="13" t="s">
        <v>9204</v>
      </c>
      <c r="AZ899" s="13" t="s">
        <v>9205</v>
      </c>
      <c r="BA899" s="13" t="s">
        <v>9205</v>
      </c>
      <c r="BB899" s="17" t="s">
        <v>9206</v>
      </c>
      <c r="BC899" s="17" t="s">
        <v>9206</v>
      </c>
      <c r="BD899" s="13">
        <f t="shared" si="32"/>
        <v>44</v>
      </c>
      <c r="BE899" s="17" t="s">
        <v>1637</v>
      </c>
      <c r="BF899" s="17" t="s">
        <v>9193</v>
      </c>
      <c r="BG899" s="17" t="s">
        <v>9194</v>
      </c>
      <c r="BH899" s="17"/>
      <c r="BI899" s="17"/>
      <c r="BJ899" s="17"/>
      <c r="BK899" s="17"/>
      <c r="BL899" s="17"/>
      <c r="BM899" s="17"/>
      <c r="BN899" s="17"/>
      <c r="BO899" s="17" t="s">
        <v>9207</v>
      </c>
      <c r="BP899" s="17" t="s">
        <v>956</v>
      </c>
      <c r="BQ899" s="17"/>
      <c r="BR899" s="17"/>
      <c r="BS899" s="17" t="s">
        <v>127</v>
      </c>
      <c r="BT899" s="17" t="s">
        <v>9196</v>
      </c>
      <c r="BU899" s="17" t="s">
        <v>129</v>
      </c>
      <c r="BV899" s="17"/>
      <c r="BW899" s="17"/>
      <c r="BX899" s="13" t="s">
        <v>9208</v>
      </c>
      <c r="BY899" s="13" t="s">
        <v>9198</v>
      </c>
      <c r="DA899" s="13" t="s">
        <v>10348</v>
      </c>
      <c r="DB899" s="13" t="s">
        <v>10348</v>
      </c>
    </row>
    <row r="900" spans="1:106" s="13" customFormat="1" ht="12.75" customHeight="1" x14ac:dyDescent="0.2">
      <c r="A900" s="13" t="s">
        <v>102</v>
      </c>
      <c r="B900" s="13" t="s">
        <v>103</v>
      </c>
      <c r="D900" s="13" t="s">
        <v>8957</v>
      </c>
      <c r="E900" s="13" t="s">
        <v>8958</v>
      </c>
      <c r="F900" s="13" t="s">
        <v>8957</v>
      </c>
      <c r="G900" s="13" t="s">
        <v>105</v>
      </c>
      <c r="H900" s="13" t="s">
        <v>820</v>
      </c>
      <c r="J900" s="13" t="s">
        <v>106</v>
      </c>
      <c r="W900" s="13">
        <v>859</v>
      </c>
      <c r="X900" s="13">
        <v>859</v>
      </c>
      <c r="Y900" s="13" t="s">
        <v>8959</v>
      </c>
      <c r="Z900" s="13" t="s">
        <v>8960</v>
      </c>
      <c r="AA900" s="13" t="s">
        <v>8961</v>
      </c>
      <c r="AB900" s="13" t="s">
        <v>9209</v>
      </c>
      <c r="AC900" s="13" t="s">
        <v>9209</v>
      </c>
      <c r="AD900" s="13" t="s">
        <v>9209</v>
      </c>
      <c r="AE900" s="13" t="s">
        <v>8964</v>
      </c>
      <c r="AF900" s="13" t="s">
        <v>9209</v>
      </c>
      <c r="AG900" s="13" t="s">
        <v>9209</v>
      </c>
      <c r="AH900" s="13" t="s">
        <v>9210</v>
      </c>
      <c r="AL900" s="13" t="s">
        <v>9211</v>
      </c>
      <c r="AN900" s="13">
        <v>3406</v>
      </c>
      <c r="AO900" s="13" t="s">
        <v>9212</v>
      </c>
      <c r="AQ900" s="13" t="s">
        <v>9209</v>
      </c>
      <c r="AR900" s="13" t="s">
        <v>9209</v>
      </c>
      <c r="AS900" s="13" t="s">
        <v>8968</v>
      </c>
      <c r="AT900" s="13" t="s">
        <v>9213</v>
      </c>
      <c r="AU900" s="13" t="s">
        <v>9187</v>
      </c>
      <c r="AV900" s="13" t="s">
        <v>9188</v>
      </c>
      <c r="AY900" s="13" t="s">
        <v>9214</v>
      </c>
      <c r="AZ900" s="13" t="s">
        <v>9215</v>
      </c>
      <c r="BA900" s="13" t="s">
        <v>9215</v>
      </c>
      <c r="BB900" s="17" t="s">
        <v>9216</v>
      </c>
      <c r="BC900" s="17" t="s">
        <v>9217</v>
      </c>
      <c r="BD900" s="13">
        <f t="shared" si="32"/>
        <v>60</v>
      </c>
      <c r="BE900" s="17" t="s">
        <v>1637</v>
      </c>
      <c r="BF900" s="17" t="s">
        <v>9193</v>
      </c>
      <c r="BG900" s="17" t="s">
        <v>9194</v>
      </c>
      <c r="BH900" s="17"/>
      <c r="BI900" s="17"/>
      <c r="BJ900" s="17"/>
      <c r="BK900" s="17"/>
      <c r="BL900" s="17"/>
      <c r="BM900" s="17"/>
      <c r="BN900" s="17"/>
      <c r="BO900" s="17" t="s">
        <v>9218</v>
      </c>
      <c r="BP900" s="17"/>
      <c r="BQ900" s="17"/>
      <c r="BR900" s="17"/>
      <c r="BS900" s="17" t="s">
        <v>127</v>
      </c>
      <c r="BT900" s="17" t="s">
        <v>9196</v>
      </c>
      <c r="BU900" s="17" t="s">
        <v>129</v>
      </c>
      <c r="BV900" s="17"/>
      <c r="BW900" s="17"/>
      <c r="BX900" s="13" t="s">
        <v>9219</v>
      </c>
      <c r="BY900" s="13" t="s">
        <v>9198</v>
      </c>
      <c r="DA900" s="13" t="s">
        <v>10348</v>
      </c>
      <c r="DB900" s="13" t="s">
        <v>10348</v>
      </c>
    </row>
    <row r="901" spans="1:106" s="13" customFormat="1" ht="12.75" customHeight="1" x14ac:dyDescent="0.2">
      <c r="A901" s="13" t="s">
        <v>102</v>
      </c>
      <c r="B901" s="13" t="s">
        <v>103</v>
      </c>
      <c r="D901" s="13" t="s">
        <v>8957</v>
      </c>
      <c r="E901" s="13" t="s">
        <v>9080</v>
      </c>
      <c r="F901" s="13" t="s">
        <v>8957</v>
      </c>
      <c r="H901" s="13" t="s">
        <v>820</v>
      </c>
      <c r="J901" s="13" t="s">
        <v>106</v>
      </c>
      <c r="W901" s="13">
        <v>860</v>
      </c>
      <c r="X901" s="13">
        <v>860</v>
      </c>
      <c r="Y901" s="13" t="s">
        <v>8959</v>
      </c>
      <c r="Z901" s="13" t="s">
        <v>8960</v>
      </c>
      <c r="AA901" s="13" t="s">
        <v>8961</v>
      </c>
      <c r="AB901" s="13" t="s">
        <v>9220</v>
      </c>
      <c r="AC901" s="13" t="s">
        <v>9220</v>
      </c>
      <c r="AD901" s="13" t="s">
        <v>9220</v>
      </c>
      <c r="AE901" s="13" t="s">
        <v>8964</v>
      </c>
      <c r="AF901" s="13" t="s">
        <v>9220</v>
      </c>
      <c r="AG901" s="13" t="s">
        <v>9220</v>
      </c>
      <c r="AH901" s="13" t="s">
        <v>9221</v>
      </c>
      <c r="AL901" s="13" t="s">
        <v>9222</v>
      </c>
      <c r="AN901" s="13">
        <v>3406</v>
      </c>
      <c r="AO901" s="13" t="s">
        <v>9223</v>
      </c>
      <c r="AQ901" s="13" t="s">
        <v>9220</v>
      </c>
      <c r="AR901" s="13" t="s">
        <v>9220</v>
      </c>
      <c r="AS901" s="13" t="s">
        <v>8968</v>
      </c>
      <c r="AT901" s="13" t="s">
        <v>9222</v>
      </c>
      <c r="AU901" s="13" t="s">
        <v>9224</v>
      </c>
      <c r="AV901" s="13" t="s">
        <v>9225</v>
      </c>
      <c r="AY901" s="13" t="s">
        <v>9226</v>
      </c>
      <c r="AZ901" s="13" t="s">
        <v>9227</v>
      </c>
      <c r="BA901" s="13" t="s">
        <v>9227</v>
      </c>
      <c r="BB901" s="17" t="s">
        <v>9228</v>
      </c>
      <c r="BC901" s="17" t="s">
        <v>9228</v>
      </c>
      <c r="BD901" s="13">
        <f t="shared" si="32"/>
        <v>37</v>
      </c>
      <c r="BE901" s="17" t="s">
        <v>834</v>
      </c>
      <c r="BF901" s="17" t="s">
        <v>123</v>
      </c>
      <c r="BG901" s="17" t="s">
        <v>9229</v>
      </c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 t="s">
        <v>127</v>
      </c>
      <c r="BT901" s="17"/>
      <c r="BU901" s="17" t="s">
        <v>129</v>
      </c>
      <c r="BV901" s="17" t="s">
        <v>130</v>
      </c>
      <c r="BW901" s="17"/>
      <c r="BX901" s="13" t="s">
        <v>9230</v>
      </c>
      <c r="DA901" s="13" t="s">
        <v>10348</v>
      </c>
      <c r="DB901" s="13" t="s">
        <v>10348</v>
      </c>
    </row>
    <row r="902" spans="1:106" s="13" customFormat="1" ht="12.75" customHeight="1" x14ac:dyDescent="0.2">
      <c r="A902" s="13" t="s">
        <v>102</v>
      </c>
      <c r="B902" s="13" t="s">
        <v>103</v>
      </c>
      <c r="D902" s="13" t="s">
        <v>8957</v>
      </c>
      <c r="E902" s="13" t="s">
        <v>9080</v>
      </c>
      <c r="F902" s="13" t="s">
        <v>8957</v>
      </c>
      <c r="H902" s="13" t="s">
        <v>820</v>
      </c>
      <c r="J902" s="13" t="s">
        <v>106</v>
      </c>
      <c r="W902" s="13">
        <v>861</v>
      </c>
      <c r="X902" s="13">
        <v>861</v>
      </c>
      <c r="Y902" s="13" t="s">
        <v>8959</v>
      </c>
      <c r="Z902" s="13" t="s">
        <v>8960</v>
      </c>
      <c r="AA902" s="13" t="s">
        <v>8961</v>
      </c>
      <c r="AB902" s="13" t="s">
        <v>9231</v>
      </c>
      <c r="AC902" s="13" t="s">
        <v>9231</v>
      </c>
      <c r="AD902" s="13" t="s">
        <v>9231</v>
      </c>
      <c r="AE902" s="13" t="s">
        <v>8964</v>
      </c>
      <c r="AF902" s="13" t="s">
        <v>9231</v>
      </c>
      <c r="AG902" s="13" t="s">
        <v>9231</v>
      </c>
      <c r="AH902" s="13" t="s">
        <v>9232</v>
      </c>
      <c r="AL902" s="13" t="s">
        <v>9233</v>
      </c>
      <c r="AN902" s="13">
        <v>3406</v>
      </c>
      <c r="AO902" s="13" t="s">
        <v>9234</v>
      </c>
      <c r="AQ902" s="13" t="s">
        <v>9231</v>
      </c>
      <c r="AR902" s="13" t="s">
        <v>9231</v>
      </c>
      <c r="AS902" s="13" t="s">
        <v>8968</v>
      </c>
      <c r="AT902" s="13" t="s">
        <v>9235</v>
      </c>
      <c r="AU902" s="13" t="s">
        <v>9187</v>
      </c>
      <c r="AV902" s="13" t="s">
        <v>9188</v>
      </c>
      <c r="AY902" s="13" t="s">
        <v>9236</v>
      </c>
      <c r="AZ902" s="13" t="s">
        <v>9237</v>
      </c>
      <c r="BA902" s="13" t="s">
        <v>9237</v>
      </c>
      <c r="BB902" s="17" t="s">
        <v>9238</v>
      </c>
      <c r="BC902" s="17" t="s">
        <v>9238</v>
      </c>
      <c r="BD902" s="13">
        <f t="shared" si="32"/>
        <v>57</v>
      </c>
      <c r="BE902" s="17" t="s">
        <v>1637</v>
      </c>
      <c r="BF902" s="17" t="s">
        <v>9193</v>
      </c>
      <c r="BG902" s="17" t="s">
        <v>9194</v>
      </c>
      <c r="BH902" s="17"/>
      <c r="BI902" s="17"/>
      <c r="BJ902" s="17"/>
      <c r="BK902" s="17"/>
      <c r="BL902" s="17"/>
      <c r="BM902" s="17"/>
      <c r="BN902" s="17"/>
      <c r="BO902" s="17" t="s">
        <v>9239</v>
      </c>
      <c r="BP902" s="17"/>
      <c r="BQ902" s="17"/>
      <c r="BR902" s="17"/>
      <c r="BS902" s="17" t="s">
        <v>127</v>
      </c>
      <c r="BT902" s="17" t="s">
        <v>9196</v>
      </c>
      <c r="BU902" s="17" t="s">
        <v>129</v>
      </c>
      <c r="BV902" s="17"/>
      <c r="BW902" s="17"/>
      <c r="BX902" s="13" t="s">
        <v>9240</v>
      </c>
      <c r="DA902" s="13" t="s">
        <v>10348</v>
      </c>
      <c r="DB902" s="13" t="s">
        <v>10348</v>
      </c>
    </row>
    <row r="903" spans="1:106" s="13" customFormat="1" ht="12.75" customHeight="1" x14ac:dyDescent="0.2">
      <c r="A903" s="13" t="s">
        <v>102</v>
      </c>
      <c r="B903" s="13" t="s">
        <v>103</v>
      </c>
      <c r="D903" s="13" t="s">
        <v>8957</v>
      </c>
      <c r="E903" s="13" t="s">
        <v>8958</v>
      </c>
      <c r="F903" s="13" t="s">
        <v>8957</v>
      </c>
      <c r="G903" s="13" t="s">
        <v>105</v>
      </c>
      <c r="H903" s="13" t="s">
        <v>820</v>
      </c>
      <c r="J903" s="13" t="s">
        <v>106</v>
      </c>
      <c r="W903" s="13">
        <v>862</v>
      </c>
      <c r="X903" s="13">
        <v>862</v>
      </c>
      <c r="Y903" s="13" t="s">
        <v>8959</v>
      </c>
      <c r="Z903" s="13" t="s">
        <v>8960</v>
      </c>
      <c r="AA903" s="13" t="s">
        <v>8961</v>
      </c>
      <c r="AB903" s="13" t="s">
        <v>9241</v>
      </c>
      <c r="AC903" s="13" t="s">
        <v>9241</v>
      </c>
      <c r="AD903" s="13" t="s">
        <v>9241</v>
      </c>
      <c r="AE903" s="13" t="s">
        <v>8964</v>
      </c>
      <c r="AF903" s="13" t="s">
        <v>9241</v>
      </c>
      <c r="AG903" s="13" t="s">
        <v>9241</v>
      </c>
      <c r="AH903" s="13" t="s">
        <v>9242</v>
      </c>
      <c r="AL903" s="13" t="s">
        <v>9243</v>
      </c>
      <c r="AN903" s="13">
        <v>3406</v>
      </c>
      <c r="AO903" s="13" t="s">
        <v>9244</v>
      </c>
      <c r="AQ903" s="13" t="s">
        <v>9241</v>
      </c>
      <c r="AR903" s="13" t="s">
        <v>9241</v>
      </c>
      <c r="AS903" s="13" t="s">
        <v>8968</v>
      </c>
      <c r="AT903" s="13" t="s">
        <v>9245</v>
      </c>
      <c r="AU903" s="13" t="s">
        <v>9224</v>
      </c>
      <c r="AV903" s="13" t="s">
        <v>9246</v>
      </c>
      <c r="AY903" s="13" t="s">
        <v>9245</v>
      </c>
      <c r="AZ903" s="13" t="s">
        <v>9247</v>
      </c>
      <c r="BA903" s="13" t="s">
        <v>9247</v>
      </c>
      <c r="BB903" s="17" t="s">
        <v>9248</v>
      </c>
      <c r="BC903" s="17" t="s">
        <v>9248</v>
      </c>
      <c r="BD903" s="13">
        <f t="shared" si="32"/>
        <v>46</v>
      </c>
      <c r="BE903" s="17" t="s">
        <v>9249</v>
      </c>
      <c r="BF903" s="17" t="s">
        <v>9250</v>
      </c>
      <c r="BG903" s="17" t="s">
        <v>9251</v>
      </c>
      <c r="BH903" s="17"/>
      <c r="BI903" s="17"/>
      <c r="BJ903" s="17"/>
      <c r="BK903" s="17"/>
      <c r="BL903" s="17"/>
      <c r="BM903" s="17"/>
      <c r="BN903" s="17"/>
      <c r="BO903" s="17" t="s">
        <v>9252</v>
      </c>
      <c r="BP903" s="17"/>
      <c r="BQ903" s="17"/>
      <c r="BR903" s="17"/>
      <c r="BS903" s="17" t="s">
        <v>127</v>
      </c>
      <c r="BT903" s="17"/>
      <c r="BU903" s="17" t="s">
        <v>129</v>
      </c>
      <c r="BV903" s="17"/>
      <c r="BW903" s="17"/>
      <c r="BX903" s="13" t="s">
        <v>9253</v>
      </c>
      <c r="BY903" s="13" t="s">
        <v>9254</v>
      </c>
      <c r="DA903" s="13" t="s">
        <v>10348</v>
      </c>
      <c r="DB903" s="13" t="s">
        <v>10348</v>
      </c>
    </row>
    <row r="904" spans="1:106" s="13" customFormat="1" ht="12.75" customHeight="1" x14ac:dyDescent="0.2">
      <c r="A904" s="13" t="s">
        <v>102</v>
      </c>
      <c r="B904" s="13" t="s">
        <v>103</v>
      </c>
      <c r="D904" s="13" t="s">
        <v>8957</v>
      </c>
      <c r="E904" s="13" t="s">
        <v>8958</v>
      </c>
      <c r="F904" s="13" t="s">
        <v>8957</v>
      </c>
      <c r="G904" s="13" t="s">
        <v>105</v>
      </c>
      <c r="H904" s="13" t="s">
        <v>820</v>
      </c>
      <c r="J904" s="13" t="s">
        <v>106</v>
      </c>
      <c r="W904" s="13">
        <v>863</v>
      </c>
      <c r="X904" s="13">
        <v>863</v>
      </c>
      <c r="Y904" s="13" t="s">
        <v>8959</v>
      </c>
      <c r="Z904" s="13" t="s">
        <v>8960</v>
      </c>
      <c r="AA904" s="13" t="s">
        <v>8961</v>
      </c>
      <c r="AB904" s="13" t="s">
        <v>9255</v>
      </c>
      <c r="AC904" s="13" t="s">
        <v>9255</v>
      </c>
      <c r="AD904" s="13" t="s">
        <v>9255</v>
      </c>
      <c r="AE904" s="13" t="s">
        <v>8964</v>
      </c>
      <c r="AF904" s="13" t="s">
        <v>9255</v>
      </c>
      <c r="AG904" s="13" t="s">
        <v>9255</v>
      </c>
      <c r="AH904" s="13" t="s">
        <v>9256</v>
      </c>
      <c r="AL904" s="13" t="s">
        <v>9257</v>
      </c>
      <c r="AN904" s="13">
        <v>3406</v>
      </c>
      <c r="AO904" s="13" t="s">
        <v>9258</v>
      </c>
      <c r="AQ904" s="13" t="s">
        <v>9255</v>
      </c>
      <c r="AR904" s="13" t="s">
        <v>9255</v>
      </c>
      <c r="AS904" s="13" t="s">
        <v>8968</v>
      </c>
      <c r="AT904" s="13" t="s">
        <v>9259</v>
      </c>
      <c r="AU904" s="13" t="s">
        <v>9224</v>
      </c>
      <c r="AV904" s="13" t="s">
        <v>9260</v>
      </c>
      <c r="AY904" s="13" t="s">
        <v>9261</v>
      </c>
      <c r="AZ904" s="13" t="s">
        <v>9262</v>
      </c>
      <c r="BA904" s="13" t="s">
        <v>9262</v>
      </c>
      <c r="BB904" s="17" t="s">
        <v>9263</v>
      </c>
      <c r="BC904" s="17" t="s">
        <v>9263</v>
      </c>
      <c r="BD904" s="13">
        <f t="shared" si="32"/>
        <v>48</v>
      </c>
      <c r="BE904" s="17" t="s">
        <v>9264</v>
      </c>
      <c r="BF904" s="17" t="s">
        <v>123</v>
      </c>
      <c r="BG904" s="17" t="s">
        <v>9265</v>
      </c>
      <c r="BH904" s="17"/>
      <c r="BI904" s="17"/>
      <c r="BJ904" s="17"/>
      <c r="BK904" s="17"/>
      <c r="BL904" s="17"/>
      <c r="BM904" s="17"/>
      <c r="BN904" s="17"/>
      <c r="BO904" s="17" t="s">
        <v>9252</v>
      </c>
      <c r="BP904" s="17"/>
      <c r="BQ904" s="17"/>
      <c r="BR904" s="17"/>
      <c r="BS904" s="17" t="s">
        <v>127</v>
      </c>
      <c r="BT904" s="17"/>
      <c r="BU904" s="17" t="s">
        <v>129</v>
      </c>
      <c r="BV904" s="17"/>
      <c r="BW904" s="17"/>
      <c r="BX904" s="13" t="s">
        <v>9266</v>
      </c>
      <c r="BY904" s="13" t="s">
        <v>9254</v>
      </c>
      <c r="DA904" s="13" t="s">
        <v>10348</v>
      </c>
      <c r="DB904" s="13" t="s">
        <v>10348</v>
      </c>
    </row>
    <row r="905" spans="1:106" s="13" customFormat="1" ht="12.75" customHeight="1" x14ac:dyDescent="0.2">
      <c r="A905" s="13" t="s">
        <v>102</v>
      </c>
      <c r="B905" s="13" t="s">
        <v>103</v>
      </c>
      <c r="D905" s="13" t="s">
        <v>8957</v>
      </c>
      <c r="E905" s="13" t="s">
        <v>9080</v>
      </c>
      <c r="F905" s="13" t="s">
        <v>8957</v>
      </c>
      <c r="H905" s="13" t="s">
        <v>820</v>
      </c>
      <c r="J905" s="13" t="s">
        <v>106</v>
      </c>
      <c r="W905" s="13">
        <v>864</v>
      </c>
      <c r="X905" s="13">
        <v>864</v>
      </c>
      <c r="Y905" s="13" t="s">
        <v>8959</v>
      </c>
      <c r="Z905" s="13" t="s">
        <v>8960</v>
      </c>
      <c r="AA905" s="13" t="s">
        <v>8961</v>
      </c>
      <c r="AB905" s="13" t="s">
        <v>9267</v>
      </c>
      <c r="AC905" s="13" t="s">
        <v>9267</v>
      </c>
      <c r="AD905" s="13" t="s">
        <v>9267</v>
      </c>
      <c r="AE905" s="13" t="s">
        <v>8964</v>
      </c>
      <c r="AF905" s="13" t="s">
        <v>9267</v>
      </c>
      <c r="AG905" s="13" t="s">
        <v>9267</v>
      </c>
      <c r="AH905" s="13" t="s">
        <v>9268</v>
      </c>
      <c r="AL905" s="13" t="s">
        <v>9269</v>
      </c>
      <c r="AN905" s="13">
        <v>3406</v>
      </c>
      <c r="AO905" s="13" t="s">
        <v>9270</v>
      </c>
      <c r="AQ905" s="13" t="s">
        <v>9267</v>
      </c>
      <c r="AR905" s="13" t="s">
        <v>9267</v>
      </c>
      <c r="AS905" s="13" t="s">
        <v>8968</v>
      </c>
      <c r="AT905" s="13" t="s">
        <v>9269</v>
      </c>
      <c r="AU905" s="13" t="s">
        <v>9271</v>
      </c>
      <c r="AV905" s="13" t="s">
        <v>9272</v>
      </c>
      <c r="AY905" s="13" t="s">
        <v>9273</v>
      </c>
      <c r="AZ905" s="13" t="s">
        <v>9274</v>
      </c>
      <c r="BA905" s="13" t="s">
        <v>9274</v>
      </c>
      <c r="BB905" s="17" t="s">
        <v>9275</v>
      </c>
      <c r="BC905" s="17" t="s">
        <v>9275</v>
      </c>
      <c r="BD905" s="13">
        <f t="shared" si="32"/>
        <v>47</v>
      </c>
      <c r="BE905" s="17" t="s">
        <v>7688</v>
      </c>
      <c r="BF905" s="17" t="s">
        <v>9276</v>
      </c>
      <c r="BG905" s="17"/>
      <c r="BH905" s="17" t="s">
        <v>9277</v>
      </c>
      <c r="BI905" s="17"/>
      <c r="BJ905" s="17" t="s">
        <v>9067</v>
      </c>
      <c r="BK905" s="17"/>
      <c r="BL905" s="17"/>
      <c r="BM905" s="17"/>
      <c r="BN905" s="17"/>
      <c r="BO905" s="17" t="s">
        <v>9278</v>
      </c>
      <c r="BP905" s="17"/>
      <c r="BQ905" s="17"/>
      <c r="BR905" s="17"/>
      <c r="BS905" s="17" t="s">
        <v>6939</v>
      </c>
      <c r="BT905" s="17"/>
      <c r="BU905" s="17" t="s">
        <v>129</v>
      </c>
      <c r="BV905" s="17"/>
      <c r="BW905" s="17"/>
      <c r="BX905" s="13" t="s">
        <v>9279</v>
      </c>
      <c r="DA905" s="13" t="s">
        <v>10348</v>
      </c>
      <c r="DB905" s="13" t="s">
        <v>10348</v>
      </c>
    </row>
    <row r="906" spans="1:106" s="13" customFormat="1" ht="12.75" customHeight="1" x14ac:dyDescent="0.2">
      <c r="A906" s="13" t="s">
        <v>102</v>
      </c>
      <c r="B906" s="13" t="s">
        <v>103</v>
      </c>
      <c r="D906" s="13" t="s">
        <v>8957</v>
      </c>
      <c r="E906" s="13" t="s">
        <v>9080</v>
      </c>
      <c r="F906" s="13" t="s">
        <v>8957</v>
      </c>
      <c r="H906" s="13" t="s">
        <v>820</v>
      </c>
      <c r="J906" s="13" t="s">
        <v>106</v>
      </c>
      <c r="W906" s="13">
        <v>865</v>
      </c>
      <c r="X906" s="13">
        <v>865</v>
      </c>
      <c r="Y906" s="13" t="s">
        <v>8959</v>
      </c>
      <c r="Z906" s="13" t="s">
        <v>8960</v>
      </c>
      <c r="AA906" s="13" t="s">
        <v>8961</v>
      </c>
      <c r="AB906" s="13" t="s">
        <v>9280</v>
      </c>
      <c r="AC906" s="13" t="s">
        <v>9280</v>
      </c>
      <c r="AD906" s="13" t="s">
        <v>9280</v>
      </c>
      <c r="AE906" s="13" t="s">
        <v>8964</v>
      </c>
      <c r="AF906" s="13" t="s">
        <v>9280</v>
      </c>
      <c r="AG906" s="13" t="s">
        <v>9280</v>
      </c>
      <c r="AH906" s="13" t="s">
        <v>9281</v>
      </c>
      <c r="AL906" s="13" t="s">
        <v>9282</v>
      </c>
      <c r="AN906" s="13">
        <v>3406</v>
      </c>
      <c r="AO906" s="13" t="s">
        <v>9283</v>
      </c>
      <c r="AQ906" s="13" t="s">
        <v>9280</v>
      </c>
      <c r="AR906" s="13" t="s">
        <v>9280</v>
      </c>
      <c r="AS906" s="13" t="s">
        <v>8968</v>
      </c>
      <c r="AT906" s="13" t="s">
        <v>9284</v>
      </c>
      <c r="AU906" s="13" t="s">
        <v>9285</v>
      </c>
      <c r="AV906" s="13" t="s">
        <v>9188</v>
      </c>
      <c r="AY906" s="13" t="s">
        <v>9286</v>
      </c>
      <c r="AZ906" s="13" t="s">
        <v>9287</v>
      </c>
      <c r="BA906" s="13" t="s">
        <v>9287</v>
      </c>
      <c r="BB906" s="17" t="s">
        <v>9288</v>
      </c>
      <c r="BC906" s="17" t="s">
        <v>9288</v>
      </c>
      <c r="BD906" s="13">
        <f t="shared" si="32"/>
        <v>55</v>
      </c>
      <c r="BE906" s="17" t="s">
        <v>9289</v>
      </c>
      <c r="BF906" s="17" t="s">
        <v>9193</v>
      </c>
      <c r="BG906" s="17" t="s">
        <v>9194</v>
      </c>
      <c r="BH906" s="17" t="s">
        <v>764</v>
      </c>
      <c r="BI906" s="17"/>
      <c r="BJ906" s="17" t="s">
        <v>9290</v>
      </c>
      <c r="BK906" s="17" t="s">
        <v>9291</v>
      </c>
      <c r="BL906" s="17"/>
      <c r="BM906" s="17"/>
      <c r="BN906" s="17"/>
      <c r="BO906" s="17" t="s">
        <v>9292</v>
      </c>
      <c r="BP906" s="17"/>
      <c r="BQ906" s="17"/>
      <c r="BR906" s="17"/>
      <c r="BS906" s="17" t="s">
        <v>127</v>
      </c>
      <c r="BT906" s="17" t="s">
        <v>9285</v>
      </c>
      <c r="BU906" s="17" t="s">
        <v>129</v>
      </c>
      <c r="BV906" s="17"/>
      <c r="BW906" s="17"/>
      <c r="BX906" s="13" t="s">
        <v>9293</v>
      </c>
      <c r="DA906" s="13" t="s">
        <v>10348</v>
      </c>
      <c r="DB906" s="13" t="s">
        <v>10348</v>
      </c>
    </row>
    <row r="907" spans="1:106" s="13" customFormat="1" ht="12.75" customHeight="1" x14ac:dyDescent="0.2">
      <c r="A907" s="13" t="s">
        <v>102</v>
      </c>
      <c r="B907" s="13" t="s">
        <v>103</v>
      </c>
      <c r="D907" s="13" t="s">
        <v>8957</v>
      </c>
      <c r="E907" s="13" t="s">
        <v>9080</v>
      </c>
      <c r="F907" s="13" t="s">
        <v>8957</v>
      </c>
      <c r="H907" s="13" t="s">
        <v>820</v>
      </c>
      <c r="J907" s="13" t="s">
        <v>106</v>
      </c>
      <c r="W907" s="13">
        <v>866</v>
      </c>
      <c r="X907" s="13">
        <v>866</v>
      </c>
      <c r="Y907" s="13" t="s">
        <v>8959</v>
      </c>
      <c r="Z907" s="13" t="s">
        <v>8960</v>
      </c>
      <c r="AA907" s="13" t="s">
        <v>8961</v>
      </c>
      <c r="AB907" s="13" t="s">
        <v>9294</v>
      </c>
      <c r="AC907" s="13" t="s">
        <v>9294</v>
      </c>
      <c r="AD907" s="13" t="s">
        <v>9294</v>
      </c>
      <c r="AE907" s="13" t="s">
        <v>8964</v>
      </c>
      <c r="AF907" s="13" t="s">
        <v>9294</v>
      </c>
      <c r="AG907" s="13" t="s">
        <v>9294</v>
      </c>
      <c r="AH907" s="13" t="s">
        <v>9295</v>
      </c>
      <c r="AL907" s="13" t="s">
        <v>9296</v>
      </c>
      <c r="AN907" s="13">
        <v>3406</v>
      </c>
      <c r="AO907" s="13" t="s">
        <v>9297</v>
      </c>
      <c r="AQ907" s="13" t="s">
        <v>9294</v>
      </c>
      <c r="AR907" s="13" t="s">
        <v>9294</v>
      </c>
      <c r="AS907" s="13" t="s">
        <v>8968</v>
      </c>
      <c r="AT907" s="13" t="s">
        <v>9298</v>
      </c>
      <c r="AU907" s="13" t="s">
        <v>9285</v>
      </c>
      <c r="AV907" s="13" t="s">
        <v>9188</v>
      </c>
      <c r="AY907" s="13" t="s">
        <v>9299</v>
      </c>
      <c r="AZ907" s="13" t="s">
        <v>9300</v>
      </c>
      <c r="BA907" s="13" t="s">
        <v>9300</v>
      </c>
      <c r="BB907" s="17" t="s">
        <v>9301</v>
      </c>
      <c r="BC907" s="17" t="s">
        <v>9301</v>
      </c>
      <c r="BD907" s="13">
        <f t="shared" si="32"/>
        <v>60</v>
      </c>
      <c r="BE907" s="17" t="s">
        <v>9289</v>
      </c>
      <c r="BF907" s="17" t="s">
        <v>9193</v>
      </c>
      <c r="BG907" s="17" t="s">
        <v>9302</v>
      </c>
      <c r="BH907" s="17" t="s">
        <v>750</v>
      </c>
      <c r="BI907" s="17"/>
      <c r="BJ907" s="17" t="s">
        <v>9303</v>
      </c>
      <c r="BK907" s="17" t="s">
        <v>3763</v>
      </c>
      <c r="BL907" s="17"/>
      <c r="BM907" s="17"/>
      <c r="BN907" s="17"/>
      <c r="BO907" s="17" t="s">
        <v>9292</v>
      </c>
      <c r="BP907" s="17"/>
      <c r="BQ907" s="17"/>
      <c r="BR907" s="17"/>
      <c r="BS907" s="17" t="s">
        <v>127</v>
      </c>
      <c r="BT907" s="17" t="s">
        <v>9285</v>
      </c>
      <c r="BU907" s="17" t="s">
        <v>129</v>
      </c>
      <c r="BV907" s="17"/>
      <c r="BW907" s="17"/>
      <c r="BX907" s="13" t="s">
        <v>9304</v>
      </c>
      <c r="DA907" s="13" t="s">
        <v>10348</v>
      </c>
      <c r="DB907" s="13" t="s">
        <v>10348</v>
      </c>
    </row>
    <row r="908" spans="1:106" s="13" customFormat="1" ht="12.75" customHeight="1" x14ac:dyDescent="0.2">
      <c r="A908" s="13" t="s">
        <v>102</v>
      </c>
      <c r="B908" s="13" t="s">
        <v>103</v>
      </c>
      <c r="D908" s="13" t="s">
        <v>8957</v>
      </c>
      <c r="E908" s="13" t="s">
        <v>9080</v>
      </c>
      <c r="F908" s="13" t="s">
        <v>8957</v>
      </c>
      <c r="H908" s="13" t="s">
        <v>820</v>
      </c>
      <c r="J908" s="13" t="s">
        <v>106</v>
      </c>
      <c r="W908" s="13">
        <v>867</v>
      </c>
      <c r="X908" s="13">
        <v>867</v>
      </c>
      <c r="Y908" s="13" t="s">
        <v>8959</v>
      </c>
      <c r="Z908" s="13" t="s">
        <v>8960</v>
      </c>
      <c r="AA908" s="13" t="s">
        <v>8961</v>
      </c>
      <c r="AB908" s="13" t="s">
        <v>9305</v>
      </c>
      <c r="AC908" s="13" t="s">
        <v>9305</v>
      </c>
      <c r="AD908" s="13" t="s">
        <v>9305</v>
      </c>
      <c r="AE908" s="13" t="s">
        <v>8964</v>
      </c>
      <c r="AF908" s="13" t="s">
        <v>9305</v>
      </c>
      <c r="AG908" s="13" t="s">
        <v>9305</v>
      </c>
      <c r="AH908" s="13" t="s">
        <v>9306</v>
      </c>
      <c r="AL908" s="13" t="s">
        <v>9307</v>
      </c>
      <c r="AN908" s="13">
        <v>3406</v>
      </c>
      <c r="AO908" s="13" t="s">
        <v>9308</v>
      </c>
      <c r="AQ908" s="13" t="s">
        <v>9305</v>
      </c>
      <c r="AR908" s="13" t="s">
        <v>9305</v>
      </c>
      <c r="AS908" s="13" t="s">
        <v>8968</v>
      </c>
      <c r="AT908" s="13" t="s">
        <v>9309</v>
      </c>
      <c r="AU908" s="13" t="s">
        <v>9285</v>
      </c>
      <c r="AV908" s="13" t="s">
        <v>9188</v>
      </c>
      <c r="AY908" s="13" t="s">
        <v>9310</v>
      </c>
      <c r="AZ908" s="13" t="s">
        <v>9311</v>
      </c>
      <c r="BA908" s="13" t="s">
        <v>9311</v>
      </c>
      <c r="BB908" s="17" t="s">
        <v>9312</v>
      </c>
      <c r="BC908" s="17" t="s">
        <v>9312</v>
      </c>
      <c r="BD908" s="13">
        <f t="shared" si="32"/>
        <v>58</v>
      </c>
      <c r="BE908" s="17" t="s">
        <v>9289</v>
      </c>
      <c r="BF908" s="17" t="s">
        <v>9193</v>
      </c>
      <c r="BG908" s="17" t="s">
        <v>9302</v>
      </c>
      <c r="BH908" s="17" t="s">
        <v>764</v>
      </c>
      <c r="BI908" s="17"/>
      <c r="BJ908" s="17" t="s">
        <v>9313</v>
      </c>
      <c r="BK908" s="17" t="s">
        <v>9291</v>
      </c>
      <c r="BL908" s="17"/>
      <c r="BM908" s="17"/>
      <c r="BN908" s="17"/>
      <c r="BO908" s="17" t="s">
        <v>9292</v>
      </c>
      <c r="BP908" s="17"/>
      <c r="BQ908" s="17"/>
      <c r="BR908" s="17"/>
      <c r="BS908" s="17" t="s">
        <v>127</v>
      </c>
      <c r="BT908" s="17" t="s">
        <v>9285</v>
      </c>
      <c r="BU908" s="17" t="s">
        <v>129</v>
      </c>
      <c r="BV908" s="17"/>
      <c r="BW908" s="17"/>
      <c r="BX908" s="13" t="s">
        <v>9314</v>
      </c>
      <c r="DA908" s="13" t="s">
        <v>10348</v>
      </c>
      <c r="DB908" s="13" t="s">
        <v>10348</v>
      </c>
    </row>
    <row r="909" spans="1:106" s="13" customFormat="1" ht="12.75" customHeight="1" x14ac:dyDescent="0.2">
      <c r="A909" s="13" t="s">
        <v>102</v>
      </c>
      <c r="B909" s="13" t="s">
        <v>103</v>
      </c>
      <c r="D909" s="13" t="s">
        <v>8957</v>
      </c>
      <c r="E909" s="13" t="s">
        <v>8958</v>
      </c>
      <c r="F909" s="13" t="s">
        <v>8957</v>
      </c>
      <c r="G909" s="13" t="s">
        <v>105</v>
      </c>
      <c r="H909" s="13" t="s">
        <v>820</v>
      </c>
      <c r="J909" s="13" t="s">
        <v>106</v>
      </c>
      <c r="W909" s="13">
        <v>909</v>
      </c>
      <c r="X909" s="13">
        <v>909</v>
      </c>
      <c r="Y909" s="13" t="s">
        <v>8959</v>
      </c>
      <c r="Z909" s="13" t="s">
        <v>8960</v>
      </c>
      <c r="AA909" s="13" t="s">
        <v>8961</v>
      </c>
      <c r="AB909" s="13" t="s">
        <v>9790</v>
      </c>
      <c r="AC909" s="13" t="s">
        <v>9790</v>
      </c>
      <c r="AD909" s="13" t="s">
        <v>9790</v>
      </c>
      <c r="AE909" s="13" t="s">
        <v>8964</v>
      </c>
      <c r="AF909" s="13" t="s">
        <v>9790</v>
      </c>
      <c r="AG909" s="13" t="s">
        <v>9790</v>
      </c>
      <c r="AH909" s="13" t="s">
        <v>9791</v>
      </c>
      <c r="AL909" s="13" t="s">
        <v>9792</v>
      </c>
      <c r="AN909" s="13">
        <v>3406</v>
      </c>
      <c r="AO909" s="13" t="s">
        <v>9793</v>
      </c>
      <c r="AQ909" s="13" t="s">
        <v>9790</v>
      </c>
      <c r="AR909" s="13" t="s">
        <v>9790</v>
      </c>
      <c r="AS909" s="13" t="s">
        <v>8968</v>
      </c>
      <c r="AT909" s="13" t="s">
        <v>9794</v>
      </c>
      <c r="AU909" s="13" t="s">
        <v>9795</v>
      </c>
      <c r="AV909" s="13" t="s">
        <v>2715</v>
      </c>
      <c r="AY909" s="13" t="s">
        <v>9796</v>
      </c>
      <c r="AZ909" s="13" t="s">
        <v>9797</v>
      </c>
      <c r="BA909" s="13" t="s">
        <v>9797</v>
      </c>
      <c r="BB909" s="17" t="s">
        <v>9798</v>
      </c>
      <c r="BC909" s="17" t="s">
        <v>9799</v>
      </c>
      <c r="BD909" s="13">
        <f t="shared" si="32"/>
        <v>48</v>
      </c>
      <c r="BE909" s="17" t="s">
        <v>2719</v>
      </c>
      <c r="BF909" s="17" t="s">
        <v>950</v>
      </c>
      <c r="BG909" s="17"/>
      <c r="BH909" s="17"/>
      <c r="BI909" s="17"/>
      <c r="BJ909" s="17" t="s">
        <v>9800</v>
      </c>
      <c r="BK909" s="17"/>
      <c r="BL909" s="17"/>
      <c r="BM909" s="17"/>
      <c r="BN909" s="17"/>
      <c r="BO909" s="17" t="s">
        <v>9801</v>
      </c>
      <c r="BP909" s="17"/>
      <c r="BQ909" s="17"/>
      <c r="BR909" s="17"/>
      <c r="BS909" s="17" t="s">
        <v>6939</v>
      </c>
      <c r="BT909" s="17" t="s">
        <v>9802</v>
      </c>
      <c r="BU909" s="17" t="s">
        <v>7335</v>
      </c>
      <c r="BV909" s="17" t="s">
        <v>6940</v>
      </c>
      <c r="BW909" s="17"/>
      <c r="BX909" s="13" t="s">
        <v>9803</v>
      </c>
      <c r="BY909" s="13" t="s">
        <v>8981</v>
      </c>
      <c r="DA909" s="13" t="s">
        <v>10348</v>
      </c>
      <c r="DB909" s="13" t="s">
        <v>10348</v>
      </c>
    </row>
    <row r="910" spans="1:106" s="13" customFormat="1" ht="12.75" customHeight="1" x14ac:dyDescent="0.2">
      <c r="A910" s="13" t="s">
        <v>102</v>
      </c>
      <c r="B910" s="13" t="s">
        <v>103</v>
      </c>
      <c r="D910" s="13" t="s">
        <v>8957</v>
      </c>
      <c r="E910" s="13" t="s">
        <v>8958</v>
      </c>
      <c r="F910" s="13" t="s">
        <v>8957</v>
      </c>
      <c r="G910" s="13" t="s">
        <v>105</v>
      </c>
      <c r="H910" s="13" t="s">
        <v>820</v>
      </c>
      <c r="J910" s="13" t="s">
        <v>106</v>
      </c>
      <c r="W910" s="13">
        <v>910</v>
      </c>
      <c r="X910" s="13">
        <v>910</v>
      </c>
      <c r="Y910" s="13" t="s">
        <v>8959</v>
      </c>
      <c r="Z910" s="13" t="s">
        <v>8960</v>
      </c>
      <c r="AA910" s="13" t="s">
        <v>8961</v>
      </c>
      <c r="AB910" s="13" t="s">
        <v>9804</v>
      </c>
      <c r="AC910" s="13" t="s">
        <v>9804</v>
      </c>
      <c r="AD910" s="13" t="s">
        <v>9804</v>
      </c>
      <c r="AE910" s="13" t="s">
        <v>8964</v>
      </c>
      <c r="AF910" s="13" t="s">
        <v>9804</v>
      </c>
      <c r="AG910" s="13" t="s">
        <v>9804</v>
      </c>
      <c r="AH910" s="13" t="s">
        <v>9805</v>
      </c>
      <c r="AI910" s="13">
        <v>42294978</v>
      </c>
      <c r="AK910" s="13" t="s">
        <v>9806</v>
      </c>
      <c r="AL910" s="13" t="s">
        <v>9807</v>
      </c>
      <c r="AN910" s="13">
        <v>3406</v>
      </c>
      <c r="AO910" s="13" t="s">
        <v>9808</v>
      </c>
      <c r="AQ910" s="13" t="s">
        <v>9804</v>
      </c>
      <c r="AR910" s="13" t="s">
        <v>9804</v>
      </c>
      <c r="AS910" s="13" t="s">
        <v>8968</v>
      </c>
      <c r="AT910" s="13" t="s">
        <v>9809</v>
      </c>
      <c r="AU910" s="13" t="s">
        <v>9795</v>
      </c>
      <c r="AV910" s="13" t="s">
        <v>2715</v>
      </c>
      <c r="AY910" s="13" t="s">
        <v>9810</v>
      </c>
      <c r="AZ910" s="13" t="s">
        <v>9811</v>
      </c>
      <c r="BA910" s="13" t="s">
        <v>9811</v>
      </c>
      <c r="BB910" s="17" t="s">
        <v>9812</v>
      </c>
      <c r="BC910" s="17" t="s">
        <v>9813</v>
      </c>
      <c r="BD910" s="13">
        <f t="shared" si="32"/>
        <v>59</v>
      </c>
      <c r="BE910" s="17" t="s">
        <v>2719</v>
      </c>
      <c r="BF910" s="17" t="s">
        <v>950</v>
      </c>
      <c r="BG910" s="17"/>
      <c r="BH910" s="17"/>
      <c r="BI910" s="17"/>
      <c r="BJ910" s="17" t="s">
        <v>9814</v>
      </c>
      <c r="BK910" s="17"/>
      <c r="BL910" s="17"/>
      <c r="BM910" s="17"/>
      <c r="BN910" s="17"/>
      <c r="BO910" s="17" t="s">
        <v>9801</v>
      </c>
      <c r="BP910" s="17"/>
      <c r="BQ910" s="17"/>
      <c r="BR910" s="17"/>
      <c r="BS910" s="17" t="s">
        <v>6939</v>
      </c>
      <c r="BT910" s="17" t="s">
        <v>9802</v>
      </c>
      <c r="BU910" s="17" t="s">
        <v>7335</v>
      </c>
      <c r="BV910" s="17" t="s">
        <v>6940</v>
      </c>
      <c r="BW910" s="17"/>
      <c r="BX910" s="13" t="s">
        <v>9815</v>
      </c>
      <c r="BY910" s="13" t="s">
        <v>8981</v>
      </c>
      <c r="DA910" s="13" t="s">
        <v>10348</v>
      </c>
      <c r="DB910" s="13" t="s">
        <v>10348</v>
      </c>
    </row>
    <row r="911" spans="1:106" s="13" customFormat="1" ht="12.75" customHeight="1" x14ac:dyDescent="0.2">
      <c r="A911" s="13" t="s">
        <v>102</v>
      </c>
      <c r="B911" s="13" t="s">
        <v>103</v>
      </c>
      <c r="D911" s="13" t="s">
        <v>8957</v>
      </c>
      <c r="E911" s="13" t="s">
        <v>8958</v>
      </c>
      <c r="F911" s="13" t="s">
        <v>8957</v>
      </c>
      <c r="G911" s="13" t="s">
        <v>105</v>
      </c>
      <c r="H911" s="13" t="s">
        <v>820</v>
      </c>
      <c r="J911" s="13" t="s">
        <v>106</v>
      </c>
      <c r="W911" s="13">
        <v>911</v>
      </c>
      <c r="X911" s="13">
        <v>911</v>
      </c>
      <c r="Y911" s="13" t="s">
        <v>8959</v>
      </c>
      <c r="Z911" s="13" t="s">
        <v>8960</v>
      </c>
      <c r="AA911" s="13" t="s">
        <v>8961</v>
      </c>
      <c r="AB911" s="13" t="s">
        <v>9816</v>
      </c>
      <c r="AC911" s="13" t="s">
        <v>9816</v>
      </c>
      <c r="AD911" s="13" t="s">
        <v>9816</v>
      </c>
      <c r="AE911" s="13" t="s">
        <v>8964</v>
      </c>
      <c r="AF911" s="13" t="s">
        <v>9816</v>
      </c>
      <c r="AG911" s="13" t="s">
        <v>9816</v>
      </c>
      <c r="AH911" s="13" t="s">
        <v>9817</v>
      </c>
      <c r="AL911" s="13" t="s">
        <v>9818</v>
      </c>
      <c r="AN911" s="13">
        <v>3406</v>
      </c>
      <c r="AO911" s="13" t="s">
        <v>9819</v>
      </c>
      <c r="AQ911" s="13" t="s">
        <v>9816</v>
      </c>
      <c r="AR911" s="13" t="s">
        <v>9816</v>
      </c>
      <c r="AS911" s="13" t="s">
        <v>8968</v>
      </c>
      <c r="AT911" s="13" t="s">
        <v>9820</v>
      </c>
      <c r="AU911" s="13" t="s">
        <v>9795</v>
      </c>
      <c r="AV911" s="13" t="s">
        <v>2715</v>
      </c>
      <c r="AY911" s="13" t="s">
        <v>9821</v>
      </c>
      <c r="AZ911" s="13" t="s">
        <v>9822</v>
      </c>
      <c r="BA911" s="13" t="s">
        <v>9822</v>
      </c>
      <c r="BB911" s="17" t="s">
        <v>9823</v>
      </c>
      <c r="BC911" s="17" t="s">
        <v>9824</v>
      </c>
      <c r="BD911" s="13">
        <f t="shared" si="32"/>
        <v>58</v>
      </c>
      <c r="BE911" s="17" t="s">
        <v>2719</v>
      </c>
      <c r="BF911" s="17" t="s">
        <v>950</v>
      </c>
      <c r="BG911" s="17"/>
      <c r="BH911" s="17"/>
      <c r="BI911" s="17"/>
      <c r="BJ911" s="17" t="s">
        <v>9825</v>
      </c>
      <c r="BK911" s="17"/>
      <c r="BL911" s="17"/>
      <c r="BM911" s="17"/>
      <c r="BN911" s="17"/>
      <c r="BO911" s="17" t="s">
        <v>9801</v>
      </c>
      <c r="BP911" s="17"/>
      <c r="BQ911" s="17"/>
      <c r="BR911" s="17"/>
      <c r="BS911" s="17" t="s">
        <v>6939</v>
      </c>
      <c r="BT911" s="17" t="s">
        <v>9802</v>
      </c>
      <c r="BU911" s="17" t="s">
        <v>7335</v>
      </c>
      <c r="BV911" s="17" t="s">
        <v>6940</v>
      </c>
      <c r="BW911" s="17"/>
      <c r="BX911" s="13" t="s">
        <v>9826</v>
      </c>
      <c r="BY911" s="13" t="s">
        <v>8981</v>
      </c>
      <c r="DA911" s="13" t="s">
        <v>10348</v>
      </c>
      <c r="DB911" s="13" t="s">
        <v>10348</v>
      </c>
    </row>
    <row r="912" spans="1:106" s="13" customFormat="1" ht="12.75" customHeight="1" x14ac:dyDescent="0.2">
      <c r="A912" s="13" t="s">
        <v>102</v>
      </c>
      <c r="B912" s="13" t="s">
        <v>103</v>
      </c>
      <c r="D912" s="13" t="s">
        <v>8957</v>
      </c>
      <c r="E912" s="13" t="s">
        <v>8958</v>
      </c>
      <c r="F912" s="13" t="s">
        <v>8957</v>
      </c>
      <c r="G912" s="13" t="s">
        <v>105</v>
      </c>
      <c r="H912" s="13" t="s">
        <v>820</v>
      </c>
      <c r="J912" s="13" t="s">
        <v>106</v>
      </c>
      <c r="W912" s="13">
        <v>912</v>
      </c>
      <c r="X912" s="13">
        <v>912</v>
      </c>
      <c r="Y912" s="13" t="s">
        <v>8959</v>
      </c>
      <c r="Z912" s="13" t="s">
        <v>8960</v>
      </c>
      <c r="AA912" s="13" t="s">
        <v>8961</v>
      </c>
      <c r="AB912" s="13" t="s">
        <v>9827</v>
      </c>
      <c r="AC912" s="13" t="s">
        <v>9827</v>
      </c>
      <c r="AD912" s="13" t="s">
        <v>9827</v>
      </c>
      <c r="AE912" s="13" t="s">
        <v>8964</v>
      </c>
      <c r="AF912" s="13" t="s">
        <v>9827</v>
      </c>
      <c r="AG912" s="13" t="s">
        <v>9827</v>
      </c>
      <c r="AH912" s="13" t="s">
        <v>9828</v>
      </c>
      <c r="AL912" s="13" t="s">
        <v>9829</v>
      </c>
      <c r="AN912" s="13">
        <v>3406</v>
      </c>
      <c r="AO912" s="13" t="s">
        <v>9830</v>
      </c>
      <c r="AQ912" s="13" t="s">
        <v>9827</v>
      </c>
      <c r="AR912" s="13" t="s">
        <v>9827</v>
      </c>
      <c r="AS912" s="13" t="s">
        <v>8968</v>
      </c>
      <c r="AT912" s="13" t="s">
        <v>9831</v>
      </c>
      <c r="AU912" s="13" t="s">
        <v>9795</v>
      </c>
      <c r="AV912" s="13" t="s">
        <v>2715</v>
      </c>
      <c r="AY912" s="13" t="s">
        <v>9832</v>
      </c>
      <c r="AZ912" s="13" t="s">
        <v>9833</v>
      </c>
      <c r="BA912" s="13" t="s">
        <v>9833</v>
      </c>
      <c r="BB912" s="17" t="s">
        <v>9834</v>
      </c>
      <c r="BC912" s="17" t="s">
        <v>9835</v>
      </c>
      <c r="BD912" s="13">
        <f t="shared" si="32"/>
        <v>60</v>
      </c>
      <c r="BE912" s="17" t="s">
        <v>2719</v>
      </c>
      <c r="BF912" s="17" t="s">
        <v>950</v>
      </c>
      <c r="BG912" s="17"/>
      <c r="BH912" s="17"/>
      <c r="BI912" s="17"/>
      <c r="BJ912" s="17" t="s">
        <v>9836</v>
      </c>
      <c r="BK912" s="17"/>
      <c r="BL912" s="17"/>
      <c r="BM912" s="17"/>
      <c r="BN912" s="17"/>
      <c r="BO912" s="17" t="s">
        <v>9801</v>
      </c>
      <c r="BP912" s="17"/>
      <c r="BQ912" s="17"/>
      <c r="BR912" s="17"/>
      <c r="BS912" s="17" t="s">
        <v>6939</v>
      </c>
      <c r="BT912" s="17" t="s">
        <v>9802</v>
      </c>
      <c r="BU912" s="17" t="s">
        <v>129</v>
      </c>
      <c r="BV912" s="17" t="s">
        <v>6940</v>
      </c>
      <c r="BW912" s="17"/>
      <c r="BX912" s="13" t="s">
        <v>9837</v>
      </c>
      <c r="BY912" s="13" t="s">
        <v>8981</v>
      </c>
      <c r="DA912" s="13" t="s">
        <v>10348</v>
      </c>
      <c r="DB912" s="13" t="s">
        <v>10348</v>
      </c>
    </row>
    <row r="913" spans="1:106" s="13" customFormat="1" ht="12.75" customHeight="1" x14ac:dyDescent="0.2">
      <c r="A913" s="13" t="s">
        <v>102</v>
      </c>
      <c r="B913" s="13" t="s">
        <v>103</v>
      </c>
      <c r="D913" s="13" t="s">
        <v>8957</v>
      </c>
      <c r="E913" s="13" t="s">
        <v>8958</v>
      </c>
      <c r="F913" s="13" t="s">
        <v>8957</v>
      </c>
      <c r="G913" s="13" t="s">
        <v>105</v>
      </c>
      <c r="H913" s="13" t="s">
        <v>820</v>
      </c>
      <c r="J913" s="13" t="s">
        <v>106</v>
      </c>
      <c r="W913" s="13">
        <v>913</v>
      </c>
      <c r="X913" s="13">
        <v>913</v>
      </c>
      <c r="Y913" s="13" t="s">
        <v>8959</v>
      </c>
      <c r="Z913" s="13" t="s">
        <v>8960</v>
      </c>
      <c r="AA913" s="13" t="s">
        <v>8961</v>
      </c>
      <c r="AB913" s="13" t="s">
        <v>9838</v>
      </c>
      <c r="AC913" s="13" t="s">
        <v>9838</v>
      </c>
      <c r="AD913" s="13" t="s">
        <v>9838</v>
      </c>
      <c r="AE913" s="13" t="s">
        <v>8964</v>
      </c>
      <c r="AF913" s="13" t="s">
        <v>9838</v>
      </c>
      <c r="AG913" s="13" t="s">
        <v>9838</v>
      </c>
      <c r="AH913" s="13" t="s">
        <v>9839</v>
      </c>
      <c r="AL913" s="13" t="s">
        <v>9840</v>
      </c>
      <c r="AN913" s="13">
        <v>3406</v>
      </c>
      <c r="AO913" s="13" t="s">
        <v>9841</v>
      </c>
      <c r="AQ913" s="13" t="s">
        <v>9838</v>
      </c>
      <c r="AR913" s="13" t="s">
        <v>9838</v>
      </c>
      <c r="AS913" s="13" t="s">
        <v>8968</v>
      </c>
      <c r="AT913" s="13" t="s">
        <v>9842</v>
      </c>
      <c r="AU913" s="13" t="s">
        <v>9601</v>
      </c>
      <c r="AV913" s="13" t="s">
        <v>1632</v>
      </c>
      <c r="AY913" s="13" t="s">
        <v>9843</v>
      </c>
      <c r="AZ913" s="13" t="s">
        <v>9844</v>
      </c>
      <c r="BA913" s="13" t="s">
        <v>9844</v>
      </c>
      <c r="BB913" s="17" t="s">
        <v>9845</v>
      </c>
      <c r="BC913" s="17" t="s">
        <v>9845</v>
      </c>
      <c r="BD913" s="13">
        <f t="shared" si="32"/>
        <v>58</v>
      </c>
      <c r="BE913" s="17" t="s">
        <v>2595</v>
      </c>
      <c r="BF913" s="17" t="s">
        <v>950</v>
      </c>
      <c r="BG913" s="17" t="s">
        <v>9846</v>
      </c>
      <c r="BH913" s="17"/>
      <c r="BI913" s="17"/>
      <c r="BJ913" s="17" t="s">
        <v>9067</v>
      </c>
      <c r="BK913" s="17"/>
      <c r="BL913" s="17"/>
      <c r="BM913" s="17"/>
      <c r="BN913" s="17"/>
      <c r="BO913" s="17" t="s">
        <v>9847</v>
      </c>
      <c r="BP913" s="17"/>
      <c r="BQ913" s="17"/>
      <c r="BR913" s="17"/>
      <c r="BS913" s="17" t="s">
        <v>127</v>
      </c>
      <c r="BT913" s="17" t="s">
        <v>9848</v>
      </c>
      <c r="BU913" s="17" t="s">
        <v>129</v>
      </c>
      <c r="BV913" s="17"/>
      <c r="BW913" s="17"/>
      <c r="BX913" s="13" t="s">
        <v>9849</v>
      </c>
      <c r="BY913" s="13" t="s">
        <v>8981</v>
      </c>
      <c r="DA913" s="13" t="s">
        <v>10348</v>
      </c>
      <c r="DB913" s="13" t="s">
        <v>10348</v>
      </c>
    </row>
    <row r="914" spans="1:106" s="13" customFormat="1" ht="12.75" customHeight="1" x14ac:dyDescent="0.2">
      <c r="A914" s="13" t="s">
        <v>102</v>
      </c>
      <c r="B914" s="13" t="s">
        <v>103</v>
      </c>
      <c r="D914" s="13" t="s">
        <v>8957</v>
      </c>
      <c r="E914" s="13" t="s">
        <v>8958</v>
      </c>
      <c r="F914" s="13" t="s">
        <v>8957</v>
      </c>
      <c r="G914" s="13" t="s">
        <v>105</v>
      </c>
      <c r="H914" s="13" t="s">
        <v>820</v>
      </c>
      <c r="J914" s="13" t="s">
        <v>106</v>
      </c>
      <c r="W914" s="13">
        <v>914</v>
      </c>
      <c r="X914" s="13">
        <v>914</v>
      </c>
      <c r="Y914" s="13" t="s">
        <v>8959</v>
      </c>
      <c r="Z914" s="13" t="s">
        <v>8960</v>
      </c>
      <c r="AA914" s="13" t="s">
        <v>8961</v>
      </c>
      <c r="AB914" s="13" t="s">
        <v>9850</v>
      </c>
      <c r="AC914" s="13" t="s">
        <v>9850</v>
      </c>
      <c r="AD914" s="13" t="s">
        <v>9850</v>
      </c>
      <c r="AE914" s="13" t="s">
        <v>8964</v>
      </c>
      <c r="AF914" s="13" t="s">
        <v>9850</v>
      </c>
      <c r="AG914" s="13" t="s">
        <v>9850</v>
      </c>
      <c r="AH914" s="13" t="s">
        <v>9851</v>
      </c>
      <c r="AL914" s="13" t="s">
        <v>9852</v>
      </c>
      <c r="AN914" s="13">
        <v>3406</v>
      </c>
      <c r="AO914" s="13" t="s">
        <v>9853</v>
      </c>
      <c r="AQ914" s="13" t="s">
        <v>9850</v>
      </c>
      <c r="AR914" s="13" t="s">
        <v>9850</v>
      </c>
      <c r="AS914" s="13" t="s">
        <v>8968</v>
      </c>
      <c r="AT914" s="13" t="s">
        <v>9854</v>
      </c>
      <c r="AU914" s="13" t="s">
        <v>9601</v>
      </c>
      <c r="AV914" s="13" t="s">
        <v>1632</v>
      </c>
      <c r="AY914" s="13" t="s">
        <v>9855</v>
      </c>
      <c r="AZ914" s="13" t="s">
        <v>9856</v>
      </c>
      <c r="BA914" s="13" t="s">
        <v>9856</v>
      </c>
      <c r="BB914" s="17" t="s">
        <v>9857</v>
      </c>
      <c r="BC914" s="17" t="s">
        <v>9857</v>
      </c>
      <c r="BD914" s="13">
        <f t="shared" si="32"/>
        <v>60</v>
      </c>
      <c r="BE914" s="17" t="s">
        <v>2595</v>
      </c>
      <c r="BF914" s="17" t="s">
        <v>950</v>
      </c>
      <c r="BG914" s="17" t="s">
        <v>9846</v>
      </c>
      <c r="BH914" s="17"/>
      <c r="BI914" s="17"/>
      <c r="BJ914" s="17" t="s">
        <v>9858</v>
      </c>
      <c r="BK914" s="17"/>
      <c r="BL914" s="17"/>
      <c r="BM914" s="17"/>
      <c r="BN914" s="17"/>
      <c r="BO914" s="17" t="s">
        <v>9847</v>
      </c>
      <c r="BP914" s="17"/>
      <c r="BQ914" s="17"/>
      <c r="BR914" s="17"/>
      <c r="BS914" s="17" t="s">
        <v>127</v>
      </c>
      <c r="BT914" s="17" t="s">
        <v>9848</v>
      </c>
      <c r="BU914" s="17" t="s">
        <v>129</v>
      </c>
      <c r="BV914" s="17"/>
      <c r="BW914" s="17"/>
      <c r="BX914" s="13" t="s">
        <v>9859</v>
      </c>
      <c r="BY914" s="13" t="s">
        <v>8981</v>
      </c>
      <c r="DA914" s="13" t="s">
        <v>10348</v>
      </c>
      <c r="DB914" s="13" t="s">
        <v>10348</v>
      </c>
    </row>
    <row r="915" spans="1:106" s="13" customFormat="1" ht="12.75" customHeight="1" x14ac:dyDescent="0.2">
      <c r="A915" s="13" t="s">
        <v>102</v>
      </c>
      <c r="B915" s="13" t="s">
        <v>103</v>
      </c>
      <c r="D915" s="13" t="s">
        <v>8957</v>
      </c>
      <c r="E915" s="13" t="s">
        <v>8958</v>
      </c>
      <c r="F915" s="13" t="s">
        <v>8957</v>
      </c>
      <c r="G915" s="13" t="s">
        <v>105</v>
      </c>
      <c r="H915" s="13" t="s">
        <v>820</v>
      </c>
      <c r="J915" s="13" t="s">
        <v>106</v>
      </c>
      <c r="W915" s="13">
        <v>915</v>
      </c>
      <c r="X915" s="13">
        <v>915</v>
      </c>
      <c r="Y915" s="13" t="s">
        <v>8959</v>
      </c>
      <c r="Z915" s="13" t="s">
        <v>8960</v>
      </c>
      <c r="AA915" s="13" t="s">
        <v>8961</v>
      </c>
      <c r="AB915" s="13" t="s">
        <v>9860</v>
      </c>
      <c r="AC915" s="13" t="s">
        <v>9860</v>
      </c>
      <c r="AD915" s="13" t="s">
        <v>9860</v>
      </c>
      <c r="AE915" s="13" t="s">
        <v>8964</v>
      </c>
      <c r="AF915" s="13" t="s">
        <v>9860</v>
      </c>
      <c r="AG915" s="13" t="s">
        <v>9860</v>
      </c>
      <c r="AH915" s="13" t="s">
        <v>9861</v>
      </c>
      <c r="AL915" s="13" t="s">
        <v>9862</v>
      </c>
      <c r="AN915" s="13">
        <v>3406</v>
      </c>
      <c r="AO915" s="13" t="s">
        <v>9863</v>
      </c>
      <c r="AQ915" s="13" t="s">
        <v>9860</v>
      </c>
      <c r="AR915" s="13" t="s">
        <v>9860</v>
      </c>
      <c r="AS915" s="13" t="s">
        <v>8968</v>
      </c>
      <c r="AT915" s="13" t="s">
        <v>9864</v>
      </c>
      <c r="AU915" s="13" t="s">
        <v>8970</v>
      </c>
      <c r="AV915" s="13" t="s">
        <v>2715</v>
      </c>
      <c r="AY915" s="13" t="s">
        <v>9865</v>
      </c>
      <c r="AZ915" s="13" t="s">
        <v>9866</v>
      </c>
      <c r="BA915" s="13" t="s">
        <v>9866</v>
      </c>
      <c r="BB915" s="17" t="s">
        <v>9867</v>
      </c>
      <c r="BC915" s="17" t="s">
        <v>9868</v>
      </c>
      <c r="BD915" s="13">
        <f t="shared" si="32"/>
        <v>58</v>
      </c>
      <c r="BE915" s="17" t="s">
        <v>2719</v>
      </c>
      <c r="BF915" s="17" t="s">
        <v>950</v>
      </c>
      <c r="BG915" s="17" t="s">
        <v>9148</v>
      </c>
      <c r="BH915" s="17"/>
      <c r="BI915" s="17"/>
      <c r="BJ915" s="17" t="s">
        <v>9869</v>
      </c>
      <c r="BK915" s="17"/>
      <c r="BL915" s="17"/>
      <c r="BM915" s="17"/>
      <c r="BN915" s="17"/>
      <c r="BO915" s="17" t="s">
        <v>9870</v>
      </c>
      <c r="BP915" s="17"/>
      <c r="BQ915" s="17"/>
      <c r="BR915" s="17" t="s">
        <v>126</v>
      </c>
      <c r="BS915" s="17" t="s">
        <v>6939</v>
      </c>
      <c r="BT915" s="17"/>
      <c r="BU915" s="17" t="s">
        <v>129</v>
      </c>
      <c r="BV915" s="17"/>
      <c r="BW915" s="17"/>
      <c r="BX915" s="13" t="s">
        <v>9871</v>
      </c>
      <c r="BY915" s="13" t="s">
        <v>8981</v>
      </c>
      <c r="DA915" s="13" t="s">
        <v>10348</v>
      </c>
      <c r="DB915" s="13" t="s">
        <v>10348</v>
      </c>
    </row>
    <row r="916" spans="1:106" s="13" customFormat="1" ht="12.75" customHeight="1" x14ac:dyDescent="0.2">
      <c r="A916" s="13" t="s">
        <v>102</v>
      </c>
      <c r="B916" s="13" t="s">
        <v>103</v>
      </c>
      <c r="D916" s="13" t="s">
        <v>8957</v>
      </c>
      <c r="E916" s="13" t="s">
        <v>8958</v>
      </c>
      <c r="F916" s="13" t="s">
        <v>8957</v>
      </c>
      <c r="G916" s="13" t="s">
        <v>105</v>
      </c>
      <c r="H916" s="13" t="s">
        <v>820</v>
      </c>
      <c r="J916" s="13" t="s">
        <v>106</v>
      </c>
      <c r="W916" s="13">
        <v>916</v>
      </c>
      <c r="X916" s="13">
        <v>916</v>
      </c>
      <c r="Y916" s="13" t="s">
        <v>8959</v>
      </c>
      <c r="Z916" s="13" t="s">
        <v>8960</v>
      </c>
      <c r="AA916" s="13" t="s">
        <v>8961</v>
      </c>
      <c r="AB916" s="13" t="s">
        <v>9872</v>
      </c>
      <c r="AC916" s="13" t="s">
        <v>9872</v>
      </c>
      <c r="AD916" s="13" t="s">
        <v>9872</v>
      </c>
      <c r="AE916" s="13" t="s">
        <v>8964</v>
      </c>
      <c r="AF916" s="13" t="s">
        <v>9872</v>
      </c>
      <c r="AG916" s="13" t="s">
        <v>9872</v>
      </c>
      <c r="AH916" s="13" t="s">
        <v>9873</v>
      </c>
      <c r="AL916" s="13" t="s">
        <v>9874</v>
      </c>
      <c r="AN916" s="13">
        <v>3406</v>
      </c>
      <c r="AO916" s="13" t="s">
        <v>9875</v>
      </c>
      <c r="AQ916" s="13" t="s">
        <v>9872</v>
      </c>
      <c r="AR916" s="13" t="s">
        <v>9872</v>
      </c>
      <c r="AS916" s="13" t="s">
        <v>8968</v>
      </c>
      <c r="AT916" s="13" t="s">
        <v>9876</v>
      </c>
      <c r="AU916" s="13" t="s">
        <v>8970</v>
      </c>
      <c r="AV916" s="13" t="s">
        <v>2715</v>
      </c>
      <c r="AY916" s="13" t="s">
        <v>9877</v>
      </c>
      <c r="AZ916" s="13" t="s">
        <v>9878</v>
      </c>
      <c r="BA916" s="13" t="s">
        <v>9878</v>
      </c>
      <c r="BB916" s="17" t="s">
        <v>9879</v>
      </c>
      <c r="BC916" s="17" t="s">
        <v>9880</v>
      </c>
      <c r="BD916" s="13">
        <f t="shared" si="32"/>
        <v>56</v>
      </c>
      <c r="BE916" s="17" t="s">
        <v>2719</v>
      </c>
      <c r="BF916" s="17" t="s">
        <v>950</v>
      </c>
      <c r="BG916" s="17" t="s">
        <v>9148</v>
      </c>
      <c r="BH916" s="17"/>
      <c r="BI916" s="17"/>
      <c r="BJ916" s="17" t="s">
        <v>9067</v>
      </c>
      <c r="BK916" s="17"/>
      <c r="BL916" s="17"/>
      <c r="BM916" s="17"/>
      <c r="BN916" s="17"/>
      <c r="BO916" s="17" t="s">
        <v>9870</v>
      </c>
      <c r="BP916" s="17"/>
      <c r="BQ916" s="17"/>
      <c r="BR916" s="17" t="s">
        <v>144</v>
      </c>
      <c r="BS916" s="17" t="s">
        <v>6939</v>
      </c>
      <c r="BT916" s="17"/>
      <c r="BU916" s="17" t="s">
        <v>129</v>
      </c>
      <c r="BV916" s="17"/>
      <c r="BW916" s="17"/>
      <c r="BX916" s="13" t="s">
        <v>9881</v>
      </c>
      <c r="BY916" s="13" t="s">
        <v>8981</v>
      </c>
      <c r="DA916" s="13" t="s">
        <v>10348</v>
      </c>
      <c r="DB916" s="13" t="s">
        <v>10348</v>
      </c>
    </row>
    <row r="917" spans="1:106" s="13" customFormat="1" ht="12.75" customHeight="1" x14ac:dyDescent="0.2">
      <c r="A917" s="13" t="s">
        <v>102</v>
      </c>
      <c r="B917" s="13" t="s">
        <v>103</v>
      </c>
      <c r="D917" s="13" t="s">
        <v>8957</v>
      </c>
      <c r="E917" s="13" t="s">
        <v>8958</v>
      </c>
      <c r="F917" s="13" t="s">
        <v>8957</v>
      </c>
      <c r="G917" s="13" t="s">
        <v>105</v>
      </c>
      <c r="H917" s="13" t="s">
        <v>820</v>
      </c>
      <c r="J917" s="13" t="s">
        <v>106</v>
      </c>
      <c r="W917" s="13">
        <v>917</v>
      </c>
      <c r="X917" s="13">
        <v>917</v>
      </c>
      <c r="Y917" s="13" t="s">
        <v>8959</v>
      </c>
      <c r="Z917" s="13" t="s">
        <v>8960</v>
      </c>
      <c r="AA917" s="13" t="s">
        <v>8961</v>
      </c>
      <c r="AB917" s="13" t="s">
        <v>9882</v>
      </c>
      <c r="AC917" s="13" t="s">
        <v>9882</v>
      </c>
      <c r="AD917" s="13" t="s">
        <v>9882</v>
      </c>
      <c r="AE917" s="13" t="s">
        <v>8964</v>
      </c>
      <c r="AF917" s="13" t="s">
        <v>9882</v>
      </c>
      <c r="AG917" s="13" t="s">
        <v>9882</v>
      </c>
      <c r="AH917" s="13" t="s">
        <v>9883</v>
      </c>
      <c r="AL917" s="13" t="s">
        <v>9884</v>
      </c>
      <c r="AN917" s="13">
        <v>3406</v>
      </c>
      <c r="AO917" s="13" t="s">
        <v>9885</v>
      </c>
      <c r="AQ917" s="13" t="s">
        <v>9882</v>
      </c>
      <c r="AR917" s="13" t="s">
        <v>9882</v>
      </c>
      <c r="AS917" s="13" t="s">
        <v>8968</v>
      </c>
      <c r="AT917" s="13" t="s">
        <v>9886</v>
      </c>
      <c r="AU917" s="13" t="s">
        <v>8970</v>
      </c>
      <c r="AV917" s="13" t="s">
        <v>2715</v>
      </c>
      <c r="AY917" s="13" t="s">
        <v>9887</v>
      </c>
      <c r="AZ917" s="13" t="s">
        <v>9888</v>
      </c>
      <c r="BA917" s="13" t="s">
        <v>9888</v>
      </c>
      <c r="BB917" s="17" t="s">
        <v>9889</v>
      </c>
      <c r="BC917" s="17" t="s">
        <v>9890</v>
      </c>
      <c r="BD917" s="13">
        <f t="shared" ref="BD917:BD948" si="33">LEN(SUBSTITUTE(BC917,", "," "))</f>
        <v>58</v>
      </c>
      <c r="BE917" s="17" t="s">
        <v>2719</v>
      </c>
      <c r="BF917" s="17" t="s">
        <v>950</v>
      </c>
      <c r="BG917" s="17" t="s">
        <v>9148</v>
      </c>
      <c r="BH917" s="17"/>
      <c r="BI917" s="17"/>
      <c r="BJ917" s="17" t="s">
        <v>9580</v>
      </c>
      <c r="BK917" s="17"/>
      <c r="BL917" s="17"/>
      <c r="BM917" s="17"/>
      <c r="BN917" s="17"/>
      <c r="BO917" s="17" t="s">
        <v>9870</v>
      </c>
      <c r="BP917" s="17"/>
      <c r="BQ917" s="17"/>
      <c r="BR917" s="17" t="s">
        <v>1177</v>
      </c>
      <c r="BS917" s="17" t="s">
        <v>6939</v>
      </c>
      <c r="BT917" s="17"/>
      <c r="BU917" s="17" t="s">
        <v>129</v>
      </c>
      <c r="BV917" s="17"/>
      <c r="BW917" s="17"/>
      <c r="BX917" s="13" t="s">
        <v>9891</v>
      </c>
      <c r="BY917" s="13" t="s">
        <v>8981</v>
      </c>
      <c r="DA917" s="13" t="s">
        <v>10348</v>
      </c>
      <c r="DB917" s="13" t="s">
        <v>10348</v>
      </c>
    </row>
    <row r="918" spans="1:106" s="13" customFormat="1" ht="12.75" customHeight="1" x14ac:dyDescent="0.2">
      <c r="A918" s="13" t="s">
        <v>102</v>
      </c>
      <c r="B918" s="13" t="s">
        <v>103</v>
      </c>
      <c r="D918" s="13" t="s">
        <v>8957</v>
      </c>
      <c r="E918" s="13" t="s">
        <v>8958</v>
      </c>
      <c r="F918" s="13" t="s">
        <v>8957</v>
      </c>
      <c r="G918" s="13" t="s">
        <v>105</v>
      </c>
      <c r="H918" s="13" t="s">
        <v>820</v>
      </c>
      <c r="J918" s="13" t="s">
        <v>106</v>
      </c>
      <c r="W918" s="13">
        <v>918</v>
      </c>
      <c r="X918" s="13">
        <v>918</v>
      </c>
      <c r="Y918" s="13" t="s">
        <v>8959</v>
      </c>
      <c r="Z918" s="13" t="s">
        <v>8960</v>
      </c>
      <c r="AA918" s="13" t="s">
        <v>8961</v>
      </c>
      <c r="AB918" s="13" t="s">
        <v>9892</v>
      </c>
      <c r="AC918" s="13" t="s">
        <v>9892</v>
      </c>
      <c r="AD918" s="13" t="s">
        <v>9892</v>
      </c>
      <c r="AE918" s="13" t="s">
        <v>8964</v>
      </c>
      <c r="AF918" s="13" t="s">
        <v>9892</v>
      </c>
      <c r="AG918" s="13" t="s">
        <v>9892</v>
      </c>
      <c r="AH918" s="13" t="s">
        <v>9893</v>
      </c>
      <c r="AL918" s="13" t="s">
        <v>9894</v>
      </c>
      <c r="AN918" s="13">
        <v>3406</v>
      </c>
      <c r="AO918" s="13" t="s">
        <v>9895</v>
      </c>
      <c r="AQ918" s="13" t="s">
        <v>9892</v>
      </c>
      <c r="AR918" s="13" t="s">
        <v>9892</v>
      </c>
      <c r="AS918" s="13" t="s">
        <v>8968</v>
      </c>
      <c r="AT918" s="13" t="s">
        <v>9896</v>
      </c>
      <c r="AU918" s="13" t="s">
        <v>8970</v>
      </c>
      <c r="AV918" s="13" t="s">
        <v>2715</v>
      </c>
      <c r="AY918" s="13" t="s">
        <v>9897</v>
      </c>
      <c r="AZ918" s="13" t="s">
        <v>9898</v>
      </c>
      <c r="BA918" s="13" t="s">
        <v>9898</v>
      </c>
      <c r="BB918" s="17" t="s">
        <v>9899</v>
      </c>
      <c r="BC918" s="17" t="s">
        <v>9900</v>
      </c>
      <c r="BD918" s="13">
        <f t="shared" si="33"/>
        <v>56</v>
      </c>
      <c r="BE918" s="17" t="s">
        <v>2719</v>
      </c>
      <c r="BF918" s="17" t="s">
        <v>950</v>
      </c>
      <c r="BG918" s="17"/>
      <c r="BH918" s="17"/>
      <c r="BI918" s="17"/>
      <c r="BJ918" s="17"/>
      <c r="BK918" s="17" t="s">
        <v>9869</v>
      </c>
      <c r="BL918" s="17"/>
      <c r="BM918" s="17"/>
      <c r="BN918" s="17"/>
      <c r="BO918" s="17" t="s">
        <v>9901</v>
      </c>
      <c r="BP918" s="17"/>
      <c r="BQ918" s="17"/>
      <c r="BR918" s="17"/>
      <c r="BS918" s="17" t="s">
        <v>6939</v>
      </c>
      <c r="BT918" s="17"/>
      <c r="BU918" s="17" t="s">
        <v>129</v>
      </c>
      <c r="BV918" s="17" t="s">
        <v>6940</v>
      </c>
      <c r="BW918" s="17"/>
      <c r="BX918" s="13" t="s">
        <v>9902</v>
      </c>
      <c r="BY918" s="13" t="s">
        <v>8981</v>
      </c>
      <c r="DA918" s="13" t="s">
        <v>10348</v>
      </c>
      <c r="DB918" s="13" t="s">
        <v>10348</v>
      </c>
    </row>
    <row r="919" spans="1:106" s="13" customFormat="1" ht="12.75" customHeight="1" x14ac:dyDescent="0.2">
      <c r="A919" s="13" t="s">
        <v>102</v>
      </c>
      <c r="B919" s="13" t="s">
        <v>103</v>
      </c>
      <c r="D919" s="13" t="s">
        <v>8957</v>
      </c>
      <c r="E919" s="13" t="s">
        <v>8958</v>
      </c>
      <c r="F919" s="13" t="s">
        <v>8957</v>
      </c>
      <c r="G919" s="13" t="s">
        <v>105</v>
      </c>
      <c r="H919" s="13" t="s">
        <v>820</v>
      </c>
      <c r="J919" s="13" t="s">
        <v>106</v>
      </c>
      <c r="W919" s="13">
        <v>919</v>
      </c>
      <c r="X919" s="13">
        <v>919</v>
      </c>
      <c r="Y919" s="13" t="s">
        <v>8959</v>
      </c>
      <c r="Z919" s="13" t="s">
        <v>8960</v>
      </c>
      <c r="AA919" s="13" t="s">
        <v>8961</v>
      </c>
      <c r="AB919" s="13" t="s">
        <v>9903</v>
      </c>
      <c r="AC919" s="13" t="s">
        <v>9903</v>
      </c>
      <c r="AD919" s="13" t="s">
        <v>9903</v>
      </c>
      <c r="AE919" s="13" t="s">
        <v>8964</v>
      </c>
      <c r="AF919" s="13" t="s">
        <v>9903</v>
      </c>
      <c r="AG919" s="13" t="s">
        <v>9903</v>
      </c>
      <c r="AH919" s="13" t="s">
        <v>9904</v>
      </c>
      <c r="AL919" s="13" t="s">
        <v>9905</v>
      </c>
      <c r="AN919" s="13">
        <v>3406</v>
      </c>
      <c r="AO919" s="13" t="s">
        <v>9906</v>
      </c>
      <c r="AQ919" s="13" t="s">
        <v>9903</v>
      </c>
      <c r="AR919" s="13" t="s">
        <v>9903</v>
      </c>
      <c r="AS919" s="13" t="s">
        <v>8968</v>
      </c>
      <c r="AT919" s="13" t="s">
        <v>9907</v>
      </c>
      <c r="AU919" s="13" t="s">
        <v>9354</v>
      </c>
      <c r="AV919" s="13" t="s">
        <v>8971</v>
      </c>
      <c r="AY919" s="13" t="s">
        <v>9908</v>
      </c>
      <c r="AZ919" s="13" t="s">
        <v>9909</v>
      </c>
      <c r="BA919" s="13" t="s">
        <v>9909</v>
      </c>
      <c r="BB919" s="17" t="s">
        <v>9910</v>
      </c>
      <c r="BC919" s="17" t="s">
        <v>9911</v>
      </c>
      <c r="BD919" s="13">
        <f t="shared" si="33"/>
        <v>59</v>
      </c>
      <c r="BE919" s="17" t="s">
        <v>517</v>
      </c>
      <c r="BF919" s="17" t="s">
        <v>8976</v>
      </c>
      <c r="BG919" s="17" t="s">
        <v>8977</v>
      </c>
      <c r="BH919" s="17" t="s">
        <v>9912</v>
      </c>
      <c r="BI919" s="17"/>
      <c r="BJ919" s="17" t="s">
        <v>9913</v>
      </c>
      <c r="BK919" s="17"/>
      <c r="BL919" s="17"/>
      <c r="BM919" s="17"/>
      <c r="BN919" s="17"/>
      <c r="BO919" s="17" t="s">
        <v>9914</v>
      </c>
      <c r="BP919" s="17" t="s">
        <v>8979</v>
      </c>
      <c r="BQ919" s="17"/>
      <c r="BR919" s="17"/>
      <c r="BS919" s="17" t="s">
        <v>6939</v>
      </c>
      <c r="BT919" s="17" t="s">
        <v>9354</v>
      </c>
      <c r="BU919" s="17" t="s">
        <v>129</v>
      </c>
      <c r="BV919" s="17"/>
      <c r="BW919" s="17"/>
      <c r="BX919" s="13" t="s">
        <v>9915</v>
      </c>
      <c r="BY919" s="13" t="s">
        <v>8981</v>
      </c>
      <c r="DA919" s="13" t="s">
        <v>10348</v>
      </c>
      <c r="DB919" s="13" t="s">
        <v>10348</v>
      </c>
    </row>
    <row r="920" spans="1:106" s="13" customFormat="1" ht="12.75" customHeight="1" x14ac:dyDescent="0.2">
      <c r="A920" s="13" t="s">
        <v>102</v>
      </c>
      <c r="B920" s="13" t="s">
        <v>103</v>
      </c>
      <c r="D920" s="13" t="s">
        <v>8957</v>
      </c>
      <c r="E920" s="13" t="s">
        <v>9080</v>
      </c>
      <c r="F920" s="13" t="s">
        <v>8957</v>
      </c>
      <c r="H920" s="13" t="s">
        <v>820</v>
      </c>
      <c r="J920" s="13" t="s">
        <v>106</v>
      </c>
      <c r="W920" s="13">
        <v>920</v>
      </c>
      <c r="X920" s="13">
        <v>920</v>
      </c>
      <c r="Y920" s="13" t="s">
        <v>8959</v>
      </c>
      <c r="Z920" s="13" t="s">
        <v>8960</v>
      </c>
      <c r="AA920" s="13" t="s">
        <v>8961</v>
      </c>
      <c r="AB920" s="13" t="s">
        <v>9916</v>
      </c>
      <c r="AC920" s="13" t="s">
        <v>9916</v>
      </c>
      <c r="AD920" s="13" t="s">
        <v>9916</v>
      </c>
      <c r="AE920" s="13" t="s">
        <v>8964</v>
      </c>
      <c r="AF920" s="13" t="s">
        <v>9916</v>
      </c>
      <c r="AG920" s="13" t="s">
        <v>9916</v>
      </c>
      <c r="AH920" s="13" t="s">
        <v>9917</v>
      </c>
      <c r="AL920" s="13" t="s">
        <v>9918</v>
      </c>
      <c r="AN920" s="13">
        <v>3406</v>
      </c>
      <c r="AO920" s="13" t="s">
        <v>9919</v>
      </c>
      <c r="AQ920" s="13" t="s">
        <v>9916</v>
      </c>
      <c r="AR920" s="13" t="s">
        <v>9916</v>
      </c>
      <c r="AS920" s="13" t="s">
        <v>8968</v>
      </c>
      <c r="AT920" s="13" t="s">
        <v>9920</v>
      </c>
      <c r="AU920" s="13" t="s">
        <v>8970</v>
      </c>
      <c r="AV920" s="13" t="s">
        <v>2715</v>
      </c>
      <c r="AY920" s="13" t="s">
        <v>9921</v>
      </c>
      <c r="AZ920" s="13" t="s">
        <v>9922</v>
      </c>
      <c r="BA920" s="13" t="s">
        <v>9922</v>
      </c>
      <c r="BB920" s="17" t="s">
        <v>9923</v>
      </c>
      <c r="BC920" s="17" t="s">
        <v>9923</v>
      </c>
      <c r="BD920" s="13">
        <f t="shared" si="33"/>
        <v>52</v>
      </c>
      <c r="BE920" s="17" t="s">
        <v>2719</v>
      </c>
      <c r="BF920" s="17" t="s">
        <v>950</v>
      </c>
      <c r="BG920" s="17"/>
      <c r="BH920" s="17"/>
      <c r="BI920" s="17"/>
      <c r="BJ920" s="17" t="s">
        <v>9924</v>
      </c>
      <c r="BK920" s="17" t="s">
        <v>9925</v>
      </c>
      <c r="BL920" s="17"/>
      <c r="BM920" s="17"/>
      <c r="BN920" s="17"/>
      <c r="BO920" s="17" t="s">
        <v>9926</v>
      </c>
      <c r="BP920" s="17"/>
      <c r="BQ920" s="17"/>
      <c r="BR920" s="17"/>
      <c r="BS920" s="17" t="s">
        <v>6939</v>
      </c>
      <c r="BT920" s="17"/>
      <c r="BU920" s="17" t="s">
        <v>129</v>
      </c>
      <c r="BV920" s="17"/>
      <c r="BW920" s="17"/>
      <c r="BX920" s="13" t="s">
        <v>9927</v>
      </c>
      <c r="DA920" s="13" t="s">
        <v>10348</v>
      </c>
      <c r="DB920" s="13" t="s">
        <v>10348</v>
      </c>
    </row>
    <row r="921" spans="1:106" s="13" customFormat="1" ht="12.75" customHeight="1" x14ac:dyDescent="0.2">
      <c r="A921" s="13" t="s">
        <v>102</v>
      </c>
      <c r="B921" s="13" t="s">
        <v>103</v>
      </c>
      <c r="D921" s="13" t="s">
        <v>8957</v>
      </c>
      <c r="E921" s="13" t="s">
        <v>9080</v>
      </c>
      <c r="F921" s="13" t="s">
        <v>8957</v>
      </c>
      <c r="H921" s="13" t="s">
        <v>820</v>
      </c>
      <c r="J921" s="13" t="s">
        <v>106</v>
      </c>
      <c r="W921" s="13">
        <v>921</v>
      </c>
      <c r="X921" s="13">
        <v>921</v>
      </c>
      <c r="Y921" s="13" t="s">
        <v>8959</v>
      </c>
      <c r="Z921" s="13" t="s">
        <v>8960</v>
      </c>
      <c r="AA921" s="13" t="s">
        <v>8961</v>
      </c>
      <c r="AB921" s="13" t="s">
        <v>9928</v>
      </c>
      <c r="AC921" s="13" t="s">
        <v>9928</v>
      </c>
      <c r="AD921" s="13" t="s">
        <v>9928</v>
      </c>
      <c r="AE921" s="13" t="s">
        <v>8964</v>
      </c>
      <c r="AF921" s="13" t="s">
        <v>9928</v>
      </c>
      <c r="AG921" s="13" t="s">
        <v>9928</v>
      </c>
      <c r="AH921" s="13" t="s">
        <v>9929</v>
      </c>
      <c r="AL921" s="13" t="s">
        <v>9930</v>
      </c>
      <c r="AN921" s="13">
        <v>3406</v>
      </c>
      <c r="AO921" s="13" t="s">
        <v>9931</v>
      </c>
      <c r="AQ921" s="13" t="s">
        <v>9928</v>
      </c>
      <c r="AR921" s="13" t="s">
        <v>9928</v>
      </c>
      <c r="AS921" s="13" t="s">
        <v>8968</v>
      </c>
      <c r="AT921" s="13" t="s">
        <v>9930</v>
      </c>
      <c r="AU921" s="13" t="s">
        <v>9105</v>
      </c>
      <c r="AV921" s="13" t="s">
        <v>9016</v>
      </c>
      <c r="AY921" s="13" t="s">
        <v>9930</v>
      </c>
      <c r="AZ921" s="13" t="s">
        <v>9932</v>
      </c>
      <c r="BA921" s="13" t="s">
        <v>9932</v>
      </c>
      <c r="BB921" s="17" t="s">
        <v>9933</v>
      </c>
      <c r="BC921" s="17" t="s">
        <v>9933</v>
      </c>
      <c r="BD921" s="13">
        <f t="shared" si="33"/>
        <v>49</v>
      </c>
      <c r="BE921" s="17" t="s">
        <v>9022</v>
      </c>
      <c r="BF921" s="17" t="s">
        <v>9023</v>
      </c>
      <c r="BG921" s="17"/>
      <c r="BH921" s="17"/>
      <c r="BI921" s="17"/>
      <c r="BJ921" s="17" t="s">
        <v>9934</v>
      </c>
      <c r="BK921" s="17" t="s">
        <v>1082</v>
      </c>
      <c r="BL921" s="17"/>
      <c r="BM921" s="17"/>
      <c r="BN921" s="17"/>
      <c r="BO921" s="17" t="s">
        <v>9935</v>
      </c>
      <c r="BP921" s="17"/>
      <c r="BQ921" s="17"/>
      <c r="BR921" s="17"/>
      <c r="BS921" s="17" t="s">
        <v>127</v>
      </c>
      <c r="BT921" s="17" t="s">
        <v>9105</v>
      </c>
      <c r="BU921" s="17" t="s">
        <v>129</v>
      </c>
      <c r="BV921" s="17"/>
      <c r="BW921" s="17"/>
      <c r="BX921" s="13" t="s">
        <v>9936</v>
      </c>
      <c r="DA921" s="13" t="s">
        <v>10348</v>
      </c>
      <c r="DB921" s="13" t="s">
        <v>10348</v>
      </c>
    </row>
    <row r="922" spans="1:106" s="13" customFormat="1" ht="12.75" customHeight="1" x14ac:dyDescent="0.2">
      <c r="A922" s="13" t="s">
        <v>102</v>
      </c>
      <c r="B922" s="13" t="s">
        <v>103</v>
      </c>
      <c r="D922" s="13" t="s">
        <v>8957</v>
      </c>
      <c r="E922" s="13" t="s">
        <v>9080</v>
      </c>
      <c r="F922" s="13" t="s">
        <v>8957</v>
      </c>
      <c r="H922" s="13" t="s">
        <v>820</v>
      </c>
      <c r="J922" s="13" t="s">
        <v>106</v>
      </c>
      <c r="W922" s="13">
        <v>922</v>
      </c>
      <c r="X922" s="13">
        <v>922</v>
      </c>
      <c r="Y922" s="13" t="s">
        <v>8959</v>
      </c>
      <c r="Z922" s="13" t="s">
        <v>8960</v>
      </c>
      <c r="AA922" s="13" t="s">
        <v>8961</v>
      </c>
      <c r="AB922" s="13" t="s">
        <v>9937</v>
      </c>
      <c r="AC922" s="13" t="s">
        <v>9937</v>
      </c>
      <c r="AD922" s="13" t="s">
        <v>9937</v>
      </c>
      <c r="AE922" s="13" t="s">
        <v>8964</v>
      </c>
      <c r="AF922" s="13" t="s">
        <v>9937</v>
      </c>
      <c r="AG922" s="13" t="s">
        <v>9937</v>
      </c>
      <c r="AH922" s="13" t="s">
        <v>9938</v>
      </c>
      <c r="AL922" s="13" t="s">
        <v>9939</v>
      </c>
      <c r="AN922" s="13">
        <v>3406</v>
      </c>
      <c r="AO922" s="13" t="s">
        <v>9940</v>
      </c>
      <c r="AQ922" s="13" t="s">
        <v>9937</v>
      </c>
      <c r="AR922" s="13" t="s">
        <v>9937</v>
      </c>
      <c r="AS922" s="13" t="s">
        <v>8968</v>
      </c>
      <c r="AT922" s="13" t="s">
        <v>9941</v>
      </c>
      <c r="AU922" s="13" t="s">
        <v>9462</v>
      </c>
      <c r="AV922" s="13" t="s">
        <v>9225</v>
      </c>
      <c r="AY922" s="13" t="s">
        <v>9941</v>
      </c>
      <c r="AZ922" s="13" t="s">
        <v>9942</v>
      </c>
      <c r="BA922" s="13" t="s">
        <v>9942</v>
      </c>
      <c r="BB922" s="17" t="s">
        <v>9943</v>
      </c>
      <c r="BC922" s="17" t="s">
        <v>9943</v>
      </c>
      <c r="BD922" s="13">
        <f t="shared" si="33"/>
        <v>51</v>
      </c>
      <c r="BE922" s="17" t="s">
        <v>834</v>
      </c>
      <c r="BF922" s="17" t="s">
        <v>9467</v>
      </c>
      <c r="BG922" s="17" t="s">
        <v>9468</v>
      </c>
      <c r="BH922" s="17"/>
      <c r="BI922" s="17"/>
      <c r="BJ922" s="17" t="s">
        <v>9944</v>
      </c>
      <c r="BK922" s="17"/>
      <c r="BL922" s="17"/>
      <c r="BM922" s="17"/>
      <c r="BN922" s="17"/>
      <c r="BO922" s="17"/>
      <c r="BP922" s="17"/>
      <c r="BQ922" s="17"/>
      <c r="BR922" s="17"/>
      <c r="BS922" s="17" t="s">
        <v>127</v>
      </c>
      <c r="BT922" s="17" t="s">
        <v>9462</v>
      </c>
      <c r="BU922" s="17" t="s">
        <v>129</v>
      </c>
      <c r="BV922" s="17"/>
      <c r="BW922" s="17"/>
      <c r="BX922" s="13" t="s">
        <v>9945</v>
      </c>
      <c r="DA922" s="13" t="s">
        <v>10348</v>
      </c>
      <c r="DB922" s="13" t="s">
        <v>10348</v>
      </c>
    </row>
    <row r="923" spans="1:106" s="13" customFormat="1" ht="12.75" customHeight="1" x14ac:dyDescent="0.2">
      <c r="A923" s="13" t="s">
        <v>102</v>
      </c>
      <c r="B923" s="13" t="s">
        <v>103</v>
      </c>
      <c r="D923" s="13" t="s">
        <v>8957</v>
      </c>
      <c r="E923" s="13" t="s">
        <v>9080</v>
      </c>
      <c r="F923" s="13" t="s">
        <v>8957</v>
      </c>
      <c r="H923" s="13" t="s">
        <v>820</v>
      </c>
      <c r="J923" s="13" t="s">
        <v>106</v>
      </c>
      <c r="W923" s="13">
        <v>923</v>
      </c>
      <c r="X923" s="13">
        <v>923</v>
      </c>
      <c r="Y923" s="13" t="s">
        <v>8959</v>
      </c>
      <c r="Z923" s="13" t="s">
        <v>8960</v>
      </c>
      <c r="AA923" s="13" t="s">
        <v>8961</v>
      </c>
      <c r="AB923" s="13" t="s">
        <v>9946</v>
      </c>
      <c r="AC923" s="13" t="s">
        <v>9946</v>
      </c>
      <c r="AD923" s="13" t="s">
        <v>9946</v>
      </c>
      <c r="AE923" s="13" t="s">
        <v>8964</v>
      </c>
      <c r="AF923" s="13" t="s">
        <v>9946</v>
      </c>
      <c r="AG923" s="13" t="s">
        <v>9946</v>
      </c>
      <c r="AH923" s="13" t="s">
        <v>9947</v>
      </c>
      <c r="AL923" s="13" t="s">
        <v>9948</v>
      </c>
      <c r="AN923" s="13">
        <v>3406</v>
      </c>
      <c r="AO923" s="13" t="s">
        <v>9949</v>
      </c>
      <c r="AQ923" s="13" t="s">
        <v>9946</v>
      </c>
      <c r="AR923" s="13" t="s">
        <v>9946</v>
      </c>
      <c r="AS923" s="13" t="s">
        <v>8968</v>
      </c>
      <c r="AT923" s="13" t="s">
        <v>9950</v>
      </c>
      <c r="AU923" s="13" t="s">
        <v>8970</v>
      </c>
      <c r="AV923" s="13" t="s">
        <v>9951</v>
      </c>
      <c r="AY923" s="13" t="s">
        <v>9950</v>
      </c>
      <c r="AZ923" s="13" t="s">
        <v>9952</v>
      </c>
      <c r="BA923" s="13" t="s">
        <v>9952</v>
      </c>
      <c r="BB923" s="17" t="s">
        <v>9953</v>
      </c>
      <c r="BC923" s="17" t="s">
        <v>9953</v>
      </c>
      <c r="BD923" s="13">
        <f t="shared" si="33"/>
        <v>29</v>
      </c>
      <c r="BE923" s="17" t="s">
        <v>9954</v>
      </c>
      <c r="BF923" s="17" t="s">
        <v>9276</v>
      </c>
      <c r="BG923" s="17"/>
      <c r="BH923" s="17"/>
      <c r="BI923" s="17"/>
      <c r="BJ923" s="17" t="s">
        <v>953</v>
      </c>
      <c r="BK923" s="17"/>
      <c r="BL923" s="17"/>
      <c r="BM923" s="17"/>
      <c r="BN923" s="17" t="s">
        <v>9955</v>
      </c>
      <c r="BO923" s="17"/>
      <c r="BP923" s="17"/>
      <c r="BQ923" s="17"/>
      <c r="BR923" s="17"/>
      <c r="BS923" s="17" t="s">
        <v>127</v>
      </c>
      <c r="BT923" s="17"/>
      <c r="BU923" s="17" t="s">
        <v>129</v>
      </c>
      <c r="BV923" s="17"/>
      <c r="BW923" s="17"/>
      <c r="BX923" s="13" t="s">
        <v>9956</v>
      </c>
      <c r="DA923" s="13" t="s">
        <v>10348</v>
      </c>
      <c r="DB923" s="13" t="s">
        <v>10348</v>
      </c>
    </row>
    <row r="924" spans="1:106" s="13" customFormat="1" ht="12.75" customHeight="1" x14ac:dyDescent="0.2">
      <c r="A924" s="13" t="s">
        <v>102</v>
      </c>
      <c r="B924" s="13" t="s">
        <v>103</v>
      </c>
      <c r="D924" s="13" t="s">
        <v>8957</v>
      </c>
      <c r="E924" s="13" t="s">
        <v>9080</v>
      </c>
      <c r="F924" s="13" t="s">
        <v>8957</v>
      </c>
      <c r="H924" s="13" t="s">
        <v>820</v>
      </c>
      <c r="J924" s="13" t="s">
        <v>106</v>
      </c>
      <c r="W924" s="13">
        <v>924</v>
      </c>
      <c r="X924" s="13">
        <v>924</v>
      </c>
      <c r="Y924" s="13" t="s">
        <v>8959</v>
      </c>
      <c r="Z924" s="13" t="s">
        <v>8960</v>
      </c>
      <c r="AA924" s="13" t="s">
        <v>8961</v>
      </c>
      <c r="AB924" s="13" t="s">
        <v>9957</v>
      </c>
      <c r="AC924" s="13" t="s">
        <v>9957</v>
      </c>
      <c r="AD924" s="13" t="s">
        <v>9957</v>
      </c>
      <c r="AE924" s="13" t="s">
        <v>8964</v>
      </c>
      <c r="AF924" s="13" t="s">
        <v>9957</v>
      </c>
      <c r="AG924" s="13" t="s">
        <v>9957</v>
      </c>
      <c r="AH924" s="13" t="s">
        <v>9958</v>
      </c>
      <c r="AL924" s="13" t="s">
        <v>9959</v>
      </c>
      <c r="AN924" s="13">
        <v>3406</v>
      </c>
      <c r="AO924" s="13" t="s">
        <v>9960</v>
      </c>
      <c r="AQ924" s="13" t="s">
        <v>9957</v>
      </c>
      <c r="AR924" s="13" t="s">
        <v>9957</v>
      </c>
      <c r="AS924" s="13" t="s">
        <v>8968</v>
      </c>
      <c r="AT924" s="13" t="s">
        <v>9961</v>
      </c>
      <c r="AU924" s="13" t="s">
        <v>8970</v>
      </c>
      <c r="AV924" s="13" t="s">
        <v>9962</v>
      </c>
      <c r="AY924" s="13" t="s">
        <v>9963</v>
      </c>
      <c r="AZ924" s="13" t="s">
        <v>9964</v>
      </c>
      <c r="BA924" s="13" t="s">
        <v>9964</v>
      </c>
      <c r="BB924" s="17" t="s">
        <v>9965</v>
      </c>
      <c r="BC924" s="17" t="s">
        <v>9965</v>
      </c>
      <c r="BD924" s="13">
        <f t="shared" si="33"/>
        <v>41</v>
      </c>
      <c r="BE924" s="17" t="s">
        <v>9966</v>
      </c>
      <c r="BF924" s="17" t="s">
        <v>9276</v>
      </c>
      <c r="BG924" s="17"/>
      <c r="BH924" s="17"/>
      <c r="BI924" s="17"/>
      <c r="BJ924" s="17"/>
      <c r="BK924" s="17"/>
      <c r="BL924" s="17"/>
      <c r="BM924" s="17"/>
      <c r="BN924" s="17"/>
      <c r="BO924" s="17" t="s">
        <v>9967</v>
      </c>
      <c r="BP924" s="17"/>
      <c r="BQ924" s="17"/>
      <c r="BR924" s="17"/>
      <c r="BS924" s="17" t="s">
        <v>127</v>
      </c>
      <c r="BT924" s="17"/>
      <c r="BU924" s="17" t="s">
        <v>129</v>
      </c>
      <c r="BV924" s="17" t="s">
        <v>130</v>
      </c>
      <c r="BW924" s="17" t="s">
        <v>9968</v>
      </c>
      <c r="BX924" s="13" t="s">
        <v>9969</v>
      </c>
      <c r="DA924" s="13" t="s">
        <v>10348</v>
      </c>
      <c r="DB924" s="13" t="s">
        <v>10348</v>
      </c>
    </row>
    <row r="925" spans="1:106" s="13" customFormat="1" ht="12.75" customHeight="1" x14ac:dyDescent="0.2">
      <c r="A925" s="13" t="s">
        <v>102</v>
      </c>
      <c r="B925" s="13" t="s">
        <v>103</v>
      </c>
      <c r="D925" s="13" t="s">
        <v>8957</v>
      </c>
      <c r="E925" s="13" t="s">
        <v>8958</v>
      </c>
      <c r="F925" s="13" t="s">
        <v>8957</v>
      </c>
      <c r="G925" s="13" t="s">
        <v>105</v>
      </c>
      <c r="H925" s="13" t="s">
        <v>820</v>
      </c>
      <c r="J925" s="13" t="s">
        <v>106</v>
      </c>
      <c r="W925" s="13">
        <v>925</v>
      </c>
      <c r="X925" s="13">
        <v>925</v>
      </c>
      <c r="Y925" s="13" t="s">
        <v>8959</v>
      </c>
      <c r="Z925" s="13" t="s">
        <v>8960</v>
      </c>
      <c r="AA925" s="13" t="s">
        <v>8961</v>
      </c>
      <c r="AB925" s="13" t="s">
        <v>9970</v>
      </c>
      <c r="AC925" s="13" t="s">
        <v>9970</v>
      </c>
      <c r="AD925" s="13" t="s">
        <v>9970</v>
      </c>
      <c r="AE925" s="13" t="s">
        <v>8964</v>
      </c>
      <c r="AF925" s="13" t="s">
        <v>9970</v>
      </c>
      <c r="AG925" s="13" t="s">
        <v>9970</v>
      </c>
      <c r="AH925" s="13" t="s">
        <v>9971</v>
      </c>
      <c r="AL925" s="13" t="s">
        <v>9972</v>
      </c>
      <c r="AN925" s="13">
        <v>3406</v>
      </c>
      <c r="AO925" s="13" t="s">
        <v>9973</v>
      </c>
      <c r="AQ925" s="13" t="s">
        <v>9970</v>
      </c>
      <c r="AR925" s="13" t="s">
        <v>9970</v>
      </c>
      <c r="AS925" s="13" t="s">
        <v>8968</v>
      </c>
      <c r="AT925" s="13" t="s">
        <v>9974</v>
      </c>
      <c r="AU925" s="13" t="s">
        <v>9462</v>
      </c>
      <c r="AV925" s="13" t="s">
        <v>9225</v>
      </c>
      <c r="AY925" s="13" t="s">
        <v>9975</v>
      </c>
      <c r="AZ925" s="13" t="s">
        <v>9976</v>
      </c>
      <c r="BA925" s="13" t="s">
        <v>9976</v>
      </c>
      <c r="BB925" s="17" t="s">
        <v>9977</v>
      </c>
      <c r="BC925" s="17" t="s">
        <v>9978</v>
      </c>
      <c r="BD925" s="13">
        <f t="shared" si="33"/>
        <v>59</v>
      </c>
      <c r="BE925" s="17" t="s">
        <v>834</v>
      </c>
      <c r="BF925" s="17" t="s">
        <v>9467</v>
      </c>
      <c r="BG925" s="17" t="s">
        <v>9022</v>
      </c>
      <c r="BH925" s="17"/>
      <c r="BI925" s="17"/>
      <c r="BJ925" s="17" t="s">
        <v>9469</v>
      </c>
      <c r="BK925" s="17"/>
      <c r="BL925" s="17"/>
      <c r="BM925" s="17"/>
      <c r="BN925" s="17"/>
      <c r="BO925" s="17" t="s">
        <v>9468</v>
      </c>
      <c r="BP925" s="17"/>
      <c r="BQ925" s="17"/>
      <c r="BR925" s="17"/>
      <c r="BS925" s="17" t="s">
        <v>127</v>
      </c>
      <c r="BT925" s="17" t="s">
        <v>9462</v>
      </c>
      <c r="BU925" s="17" t="s">
        <v>129</v>
      </c>
      <c r="BV925" s="17"/>
      <c r="BW925" s="17"/>
      <c r="BX925" s="13" t="s">
        <v>9979</v>
      </c>
      <c r="BY925" s="13" t="s">
        <v>8981</v>
      </c>
      <c r="DA925" s="13" t="s">
        <v>10348</v>
      </c>
      <c r="DB925" s="13" t="s">
        <v>10348</v>
      </c>
    </row>
    <row r="926" spans="1:106" s="13" customFormat="1" ht="12.75" customHeight="1" x14ac:dyDescent="0.2">
      <c r="A926" s="13" t="s">
        <v>102</v>
      </c>
      <c r="B926" s="13" t="s">
        <v>103</v>
      </c>
      <c r="D926" s="13" t="s">
        <v>8957</v>
      </c>
      <c r="E926" s="13" t="s">
        <v>8958</v>
      </c>
      <c r="F926" s="13" t="s">
        <v>8957</v>
      </c>
      <c r="G926" s="13" t="s">
        <v>105</v>
      </c>
      <c r="H926" s="13" t="s">
        <v>820</v>
      </c>
      <c r="J926" s="13" t="s">
        <v>106</v>
      </c>
      <c r="W926" s="13">
        <v>926</v>
      </c>
      <c r="X926" s="13">
        <v>926</v>
      </c>
      <c r="Y926" s="13" t="s">
        <v>8959</v>
      </c>
      <c r="Z926" s="13" t="s">
        <v>8960</v>
      </c>
      <c r="AA926" s="13" t="s">
        <v>8961</v>
      </c>
      <c r="AB926" s="13" t="s">
        <v>9980</v>
      </c>
      <c r="AC926" s="13" t="s">
        <v>9980</v>
      </c>
      <c r="AD926" s="13" t="s">
        <v>9980</v>
      </c>
      <c r="AE926" s="13" t="s">
        <v>8964</v>
      </c>
      <c r="AF926" s="13" t="s">
        <v>9980</v>
      </c>
      <c r="AG926" s="13" t="s">
        <v>9980</v>
      </c>
      <c r="AH926" s="13" t="s">
        <v>9981</v>
      </c>
      <c r="AL926" s="13" t="s">
        <v>9982</v>
      </c>
      <c r="AN926" s="13">
        <v>3406</v>
      </c>
      <c r="AO926" s="13" t="s">
        <v>9983</v>
      </c>
      <c r="AQ926" s="13" t="s">
        <v>9980</v>
      </c>
      <c r="AR926" s="13" t="s">
        <v>9980</v>
      </c>
      <c r="AS926" s="13" t="s">
        <v>8968</v>
      </c>
      <c r="AT926" s="13" t="s">
        <v>9984</v>
      </c>
      <c r="AU926" s="13" t="s">
        <v>8970</v>
      </c>
      <c r="AV926" s="13" t="s">
        <v>9985</v>
      </c>
      <c r="AY926" s="13" t="s">
        <v>9986</v>
      </c>
      <c r="AZ926" s="13" t="s">
        <v>9987</v>
      </c>
      <c r="BA926" s="13" t="s">
        <v>9987</v>
      </c>
      <c r="BB926" s="13" t="s">
        <v>9988</v>
      </c>
      <c r="BC926" s="13" t="s">
        <v>9988</v>
      </c>
      <c r="BD926" s="13">
        <f t="shared" si="33"/>
        <v>36</v>
      </c>
      <c r="BE926" s="17" t="s">
        <v>9989</v>
      </c>
      <c r="BF926" s="17"/>
      <c r="BG926" s="17" t="s">
        <v>9990</v>
      </c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 t="s">
        <v>127</v>
      </c>
      <c r="BT926" s="17"/>
      <c r="BU926" s="17" t="s">
        <v>129</v>
      </c>
      <c r="BV926" s="17" t="s">
        <v>130</v>
      </c>
      <c r="BW926" s="17" t="s">
        <v>9991</v>
      </c>
      <c r="BX926" s="13" t="s">
        <v>9992</v>
      </c>
      <c r="BY926" s="13" t="s">
        <v>9993</v>
      </c>
      <c r="DA926" s="13" t="s">
        <v>10348</v>
      </c>
      <c r="DB926" s="13" t="s">
        <v>10348</v>
      </c>
    </row>
    <row r="927" spans="1:106" s="13" customFormat="1" ht="12.75" customHeight="1" x14ac:dyDescent="0.2">
      <c r="A927" s="13" t="s">
        <v>102</v>
      </c>
      <c r="B927" s="13" t="s">
        <v>103</v>
      </c>
      <c r="D927" s="13" t="s">
        <v>8957</v>
      </c>
      <c r="E927" s="13" t="s">
        <v>8958</v>
      </c>
      <c r="F927" s="13" t="s">
        <v>8957</v>
      </c>
      <c r="G927" s="13" t="s">
        <v>105</v>
      </c>
      <c r="H927" s="13" t="s">
        <v>820</v>
      </c>
      <c r="J927" s="13" t="s">
        <v>106</v>
      </c>
      <c r="W927" s="13">
        <v>927</v>
      </c>
      <c r="X927" s="13">
        <v>927</v>
      </c>
      <c r="Y927" s="13" t="s">
        <v>8959</v>
      </c>
      <c r="Z927" s="13" t="s">
        <v>8960</v>
      </c>
      <c r="AA927" s="13" t="s">
        <v>8961</v>
      </c>
      <c r="AB927" s="13" t="s">
        <v>9994</v>
      </c>
      <c r="AC927" s="13" t="s">
        <v>9994</v>
      </c>
      <c r="AD927" s="13" t="s">
        <v>9994</v>
      </c>
      <c r="AE927" s="13" t="s">
        <v>8964</v>
      </c>
      <c r="AF927" s="13" t="s">
        <v>9994</v>
      </c>
      <c r="AG927" s="13" t="s">
        <v>9994</v>
      </c>
      <c r="AH927" s="13" t="s">
        <v>9995</v>
      </c>
      <c r="AL927" s="13" t="s">
        <v>9996</v>
      </c>
      <c r="AN927" s="13">
        <v>3406</v>
      </c>
      <c r="AO927" s="13" t="s">
        <v>9997</v>
      </c>
      <c r="AQ927" s="13" t="s">
        <v>9994</v>
      </c>
      <c r="AR927" s="13" t="s">
        <v>9994</v>
      </c>
      <c r="AS927" s="13" t="s">
        <v>8968</v>
      </c>
      <c r="AT927" s="13" t="s">
        <v>9998</v>
      </c>
      <c r="AU927" s="13" t="s">
        <v>9999</v>
      </c>
      <c r="AV927" s="13" t="s">
        <v>10000</v>
      </c>
      <c r="AY927" s="13" t="s">
        <v>10001</v>
      </c>
      <c r="AZ927" s="13" t="s">
        <v>10002</v>
      </c>
      <c r="BA927" s="13" t="s">
        <v>10002</v>
      </c>
      <c r="BB927" s="17" t="s">
        <v>10003</v>
      </c>
      <c r="BC927" s="17" t="s">
        <v>10004</v>
      </c>
      <c r="BD927" s="13">
        <f t="shared" si="33"/>
        <v>40</v>
      </c>
      <c r="BE927" s="17" t="s">
        <v>9607</v>
      </c>
      <c r="BF927" s="17" t="s">
        <v>9351</v>
      </c>
      <c r="BG927" s="17"/>
      <c r="BH927" s="17"/>
      <c r="BI927" s="17"/>
      <c r="BJ927" s="17"/>
      <c r="BK927" s="17"/>
      <c r="BL927" s="17"/>
      <c r="BM927" s="17"/>
      <c r="BN927" s="17"/>
      <c r="BO927" s="17" t="s">
        <v>10005</v>
      </c>
      <c r="BP927" s="17"/>
      <c r="BQ927" s="17"/>
      <c r="BR927" s="17" t="s">
        <v>144</v>
      </c>
      <c r="BS927" s="17" t="s">
        <v>127</v>
      </c>
      <c r="BT927" s="17" t="s">
        <v>10006</v>
      </c>
      <c r="BU927" s="17" t="s">
        <v>129</v>
      </c>
      <c r="BV927" s="17"/>
      <c r="BW927" s="17"/>
      <c r="BX927" s="13" t="s">
        <v>10007</v>
      </c>
      <c r="BY927" s="13" t="s">
        <v>10008</v>
      </c>
      <c r="DA927" s="13" t="s">
        <v>10348</v>
      </c>
      <c r="DB927" s="13" t="s">
        <v>10348</v>
      </c>
    </row>
    <row r="928" spans="1:106" s="13" customFormat="1" ht="12.75" customHeight="1" x14ac:dyDescent="0.2">
      <c r="A928" s="13" t="s">
        <v>102</v>
      </c>
      <c r="B928" s="13" t="s">
        <v>103</v>
      </c>
      <c r="D928" s="13" t="s">
        <v>8957</v>
      </c>
      <c r="E928" s="13" t="s">
        <v>8958</v>
      </c>
      <c r="F928" s="13" t="s">
        <v>8957</v>
      </c>
      <c r="G928" s="13" t="s">
        <v>105</v>
      </c>
      <c r="H928" s="13" t="s">
        <v>820</v>
      </c>
      <c r="J928" s="13" t="s">
        <v>106</v>
      </c>
      <c r="W928" s="13">
        <v>928</v>
      </c>
      <c r="X928" s="13">
        <v>928</v>
      </c>
      <c r="Y928" s="13" t="s">
        <v>8959</v>
      </c>
      <c r="Z928" s="13" t="s">
        <v>8960</v>
      </c>
      <c r="AA928" s="13" t="s">
        <v>8961</v>
      </c>
      <c r="AB928" s="13" t="s">
        <v>10009</v>
      </c>
      <c r="AC928" s="13" t="s">
        <v>10009</v>
      </c>
      <c r="AD928" s="13" t="s">
        <v>10009</v>
      </c>
      <c r="AE928" s="13" t="s">
        <v>8964</v>
      </c>
      <c r="AF928" s="13" t="s">
        <v>10009</v>
      </c>
      <c r="AG928" s="13" t="s">
        <v>10009</v>
      </c>
      <c r="AH928" s="13" t="s">
        <v>10010</v>
      </c>
      <c r="AL928" s="13" t="s">
        <v>10011</v>
      </c>
      <c r="AN928" s="13">
        <v>3406</v>
      </c>
      <c r="AO928" s="13" t="s">
        <v>10012</v>
      </c>
      <c r="AQ928" s="13" t="s">
        <v>10009</v>
      </c>
      <c r="AR928" s="13" t="s">
        <v>10009</v>
      </c>
      <c r="AS928" s="13" t="s">
        <v>8968</v>
      </c>
      <c r="AT928" s="13" t="s">
        <v>10013</v>
      </c>
      <c r="AU928" s="13" t="s">
        <v>9999</v>
      </c>
      <c r="AV928" s="13" t="s">
        <v>10000</v>
      </c>
      <c r="AY928" s="38" t="s">
        <v>10014</v>
      </c>
      <c r="AZ928" s="13" t="s">
        <v>10015</v>
      </c>
      <c r="BA928" s="13" t="s">
        <v>10015</v>
      </c>
      <c r="BB928" s="17" t="s">
        <v>10016</v>
      </c>
      <c r="BC928" s="17" t="s">
        <v>10017</v>
      </c>
      <c r="BD928" s="13">
        <f t="shared" si="33"/>
        <v>48</v>
      </c>
      <c r="BE928" s="17" t="s">
        <v>9607</v>
      </c>
      <c r="BF928" s="17" t="s">
        <v>9351</v>
      </c>
      <c r="BG928" s="17"/>
      <c r="BH928" s="17"/>
      <c r="BI928" s="17"/>
      <c r="BJ928" s="17"/>
      <c r="BK928" s="17"/>
      <c r="BL928" s="17"/>
      <c r="BM928" s="17"/>
      <c r="BN928" s="17"/>
      <c r="BO928" s="17" t="s">
        <v>10018</v>
      </c>
      <c r="BP928" s="17"/>
      <c r="BQ928" s="17"/>
      <c r="BR928" s="17" t="s">
        <v>144</v>
      </c>
      <c r="BS928" s="17" t="s">
        <v>127</v>
      </c>
      <c r="BT928" s="17" t="s">
        <v>10006</v>
      </c>
      <c r="BU928" s="17" t="s">
        <v>129</v>
      </c>
      <c r="BV928" s="17"/>
      <c r="BW928" s="17"/>
      <c r="BX928" s="13" t="s">
        <v>10019</v>
      </c>
      <c r="BY928" s="13" t="s">
        <v>10008</v>
      </c>
      <c r="DA928" s="13" t="s">
        <v>10348</v>
      </c>
      <c r="DB928" s="13" t="s">
        <v>10348</v>
      </c>
    </row>
    <row r="929" spans="1:106" s="13" customFormat="1" ht="12.75" customHeight="1" x14ac:dyDescent="0.2">
      <c r="A929" s="13" t="s">
        <v>102</v>
      </c>
      <c r="B929" s="13" t="s">
        <v>103</v>
      </c>
      <c r="D929" s="13" t="s">
        <v>8957</v>
      </c>
      <c r="E929" s="13" t="s">
        <v>8958</v>
      </c>
      <c r="F929" s="13" t="s">
        <v>8957</v>
      </c>
      <c r="G929" s="13" t="s">
        <v>105</v>
      </c>
      <c r="H929" s="13" t="s">
        <v>820</v>
      </c>
      <c r="J929" s="13" t="s">
        <v>106</v>
      </c>
      <c r="W929" s="13">
        <v>929</v>
      </c>
      <c r="X929" s="13">
        <v>929</v>
      </c>
      <c r="Y929" s="13" t="s">
        <v>8959</v>
      </c>
      <c r="Z929" s="13" t="s">
        <v>8960</v>
      </c>
      <c r="AA929" s="13" t="s">
        <v>8961</v>
      </c>
      <c r="AB929" s="13" t="s">
        <v>10020</v>
      </c>
      <c r="AC929" s="13" t="s">
        <v>10020</v>
      </c>
      <c r="AD929" s="13" t="s">
        <v>10020</v>
      </c>
      <c r="AE929" s="13" t="s">
        <v>8964</v>
      </c>
      <c r="AF929" s="13" t="s">
        <v>10020</v>
      </c>
      <c r="AG929" s="13" t="s">
        <v>10020</v>
      </c>
      <c r="AH929" s="13" t="s">
        <v>10021</v>
      </c>
      <c r="AL929" s="13" t="s">
        <v>10022</v>
      </c>
      <c r="AN929" s="13">
        <v>3406</v>
      </c>
      <c r="AO929" s="13" t="s">
        <v>10023</v>
      </c>
      <c r="AQ929" s="13" t="s">
        <v>10020</v>
      </c>
      <c r="AR929" s="13" t="s">
        <v>10020</v>
      </c>
      <c r="AS929" s="13" t="s">
        <v>8968</v>
      </c>
      <c r="AT929" s="13" t="s">
        <v>10022</v>
      </c>
      <c r="AU929" s="13" t="s">
        <v>9999</v>
      </c>
      <c r="AV929" s="13" t="s">
        <v>10024</v>
      </c>
      <c r="AY929" s="13" t="s">
        <v>10025</v>
      </c>
      <c r="AZ929" s="13" t="s">
        <v>10026</v>
      </c>
      <c r="BA929" s="13" t="s">
        <v>10026</v>
      </c>
      <c r="BB929" s="17" t="s">
        <v>10027</v>
      </c>
      <c r="BC929" s="17" t="s">
        <v>10027</v>
      </c>
      <c r="BD929" s="13">
        <f t="shared" si="33"/>
        <v>38</v>
      </c>
      <c r="BE929" s="17" t="s">
        <v>9276</v>
      </c>
      <c r="BF929" s="17" t="s">
        <v>123</v>
      </c>
      <c r="BG929" s="17"/>
      <c r="BH929" s="17"/>
      <c r="BI929" s="17"/>
      <c r="BJ929" s="17" t="s">
        <v>10028</v>
      </c>
      <c r="BK929" s="17"/>
      <c r="BL929" s="17"/>
      <c r="BM929" s="17"/>
      <c r="BN929" s="17"/>
      <c r="BO929" s="17"/>
      <c r="BP929" s="17"/>
      <c r="BQ929" s="17"/>
      <c r="BR929" s="17"/>
      <c r="BS929" s="17" t="s">
        <v>127</v>
      </c>
      <c r="BT929" s="17" t="s">
        <v>9999</v>
      </c>
      <c r="BU929" s="17" t="s">
        <v>129</v>
      </c>
      <c r="BV929" s="17"/>
      <c r="BW929" s="17"/>
      <c r="BX929" s="13" t="s">
        <v>10029</v>
      </c>
      <c r="BY929" s="13" t="s">
        <v>10030</v>
      </c>
      <c r="DA929" s="13" t="s">
        <v>10348</v>
      </c>
      <c r="DB929" s="13" t="s">
        <v>10348</v>
      </c>
    </row>
    <row r="930" spans="1:106" s="13" customFormat="1" ht="12.75" customHeight="1" x14ac:dyDescent="0.2">
      <c r="A930" s="13" t="s">
        <v>102</v>
      </c>
      <c r="B930" s="13" t="s">
        <v>103</v>
      </c>
      <c r="D930" s="13" t="s">
        <v>8957</v>
      </c>
      <c r="E930" s="13" t="s">
        <v>9097</v>
      </c>
      <c r="F930" s="13" t="s">
        <v>8957</v>
      </c>
      <c r="H930" s="13" t="s">
        <v>820</v>
      </c>
      <c r="J930" s="13" t="s">
        <v>106</v>
      </c>
      <c r="W930" s="13">
        <v>930</v>
      </c>
      <c r="X930" s="13">
        <v>930</v>
      </c>
      <c r="Y930" s="13" t="s">
        <v>8959</v>
      </c>
      <c r="Z930" s="13" t="s">
        <v>8960</v>
      </c>
      <c r="AA930" s="13" t="s">
        <v>8961</v>
      </c>
      <c r="AB930" s="13" t="s">
        <v>10031</v>
      </c>
      <c r="AC930" s="13" t="s">
        <v>10031</v>
      </c>
      <c r="AD930" s="13" t="s">
        <v>10031</v>
      </c>
      <c r="AE930" s="13" t="s">
        <v>8964</v>
      </c>
      <c r="AF930" s="13" t="s">
        <v>10031</v>
      </c>
      <c r="AG930" s="13" t="s">
        <v>10031</v>
      </c>
      <c r="AH930" s="13" t="s">
        <v>10032</v>
      </c>
      <c r="AL930" s="13" t="s">
        <v>10033</v>
      </c>
      <c r="AN930" s="13">
        <v>3406</v>
      </c>
      <c r="AO930" s="13" t="s">
        <v>10034</v>
      </c>
      <c r="AV930" s="13" t="s">
        <v>10035</v>
      </c>
      <c r="AY930" s="13" t="s">
        <v>10033</v>
      </c>
      <c r="AZ930" s="13" t="s">
        <v>10036</v>
      </c>
      <c r="BA930" s="13" t="s">
        <v>10036</v>
      </c>
      <c r="BB930" s="17" t="s">
        <v>10037</v>
      </c>
      <c r="BC930" s="17" t="s">
        <v>10037</v>
      </c>
      <c r="BD930" s="13">
        <f t="shared" si="33"/>
        <v>24</v>
      </c>
      <c r="BE930" s="17" t="s">
        <v>10038</v>
      </c>
      <c r="BF930" s="17" t="s">
        <v>123</v>
      </c>
      <c r="BG930" s="17"/>
      <c r="BH930" s="17"/>
      <c r="BI930" s="17"/>
      <c r="BJ930" s="17" t="s">
        <v>10039</v>
      </c>
      <c r="BK930" s="17"/>
      <c r="BL930" s="17"/>
      <c r="BM930" s="17"/>
      <c r="BN930" s="17"/>
      <c r="BO930" s="17"/>
      <c r="BP930" s="17"/>
      <c r="BQ930" s="17"/>
      <c r="BR930" s="17"/>
      <c r="BS930" s="17" t="s">
        <v>127</v>
      </c>
      <c r="BT930" s="17"/>
      <c r="BU930" s="17"/>
      <c r="BV930" s="17"/>
      <c r="BW930" s="17"/>
      <c r="BX930" s="13" t="s">
        <v>9106</v>
      </c>
      <c r="DA930" s="13" t="s">
        <v>10348</v>
      </c>
      <c r="DB930" s="13" t="s">
        <v>10348</v>
      </c>
    </row>
    <row r="931" spans="1:106" s="13" customFormat="1" ht="12.75" customHeight="1" x14ac:dyDescent="0.2">
      <c r="A931" s="13" t="s">
        <v>102</v>
      </c>
      <c r="B931" s="13" t="s">
        <v>103</v>
      </c>
      <c r="D931" s="13" t="s">
        <v>8957</v>
      </c>
      <c r="E931" s="13" t="s">
        <v>8958</v>
      </c>
      <c r="F931" s="13" t="s">
        <v>8957</v>
      </c>
      <c r="G931" s="13" t="s">
        <v>105</v>
      </c>
      <c r="H931" s="13" t="s">
        <v>820</v>
      </c>
      <c r="J931" s="13" t="s">
        <v>106</v>
      </c>
      <c r="W931" s="13">
        <v>931</v>
      </c>
      <c r="X931" s="13">
        <v>931</v>
      </c>
      <c r="Y931" s="13" t="s">
        <v>8959</v>
      </c>
      <c r="Z931" s="13" t="s">
        <v>8960</v>
      </c>
      <c r="AA931" s="13" t="s">
        <v>8961</v>
      </c>
      <c r="AB931" s="13" t="s">
        <v>10040</v>
      </c>
      <c r="AC931" s="13" t="s">
        <v>10040</v>
      </c>
      <c r="AD931" s="13" t="s">
        <v>10040</v>
      </c>
      <c r="AE931" s="13" t="s">
        <v>8964</v>
      </c>
      <c r="AF931" s="13" t="s">
        <v>10040</v>
      </c>
      <c r="AG931" s="13" t="s">
        <v>10040</v>
      </c>
      <c r="AH931" s="13" t="s">
        <v>10041</v>
      </c>
      <c r="AL931" s="13" t="s">
        <v>10042</v>
      </c>
      <c r="AN931" s="13">
        <v>3406</v>
      </c>
      <c r="AO931" s="13" t="s">
        <v>10043</v>
      </c>
      <c r="AQ931" s="13" t="s">
        <v>10040</v>
      </c>
      <c r="AR931" s="13" t="s">
        <v>10040</v>
      </c>
      <c r="AS931" s="13" t="s">
        <v>8968</v>
      </c>
      <c r="AT931" s="13" t="s">
        <v>10044</v>
      </c>
      <c r="AU931" s="13" t="s">
        <v>10045</v>
      </c>
      <c r="AV931" s="13" t="s">
        <v>10046</v>
      </c>
      <c r="AY931" s="13" t="s">
        <v>10044</v>
      </c>
      <c r="AZ931" s="13" t="s">
        <v>10047</v>
      </c>
      <c r="BA931" s="13" t="s">
        <v>10047</v>
      </c>
      <c r="BB931" s="17" t="s">
        <v>10048</v>
      </c>
      <c r="BC931" s="17" t="s">
        <v>10048</v>
      </c>
      <c r="BD931" s="13">
        <f t="shared" si="33"/>
        <v>51</v>
      </c>
      <c r="BE931" s="17" t="s">
        <v>9249</v>
      </c>
      <c r="BF931" s="17" t="s">
        <v>10049</v>
      </c>
      <c r="BG931" s="17"/>
      <c r="BH931" s="17"/>
      <c r="BI931" s="17"/>
      <c r="BJ931" s="17" t="s">
        <v>9644</v>
      </c>
      <c r="BK931" s="17"/>
      <c r="BL931" s="17"/>
      <c r="BM931" s="17"/>
      <c r="BN931" s="17"/>
      <c r="BO931" s="17"/>
      <c r="BP931" s="17" t="s">
        <v>10050</v>
      </c>
      <c r="BQ931" s="17"/>
      <c r="BR931" s="17"/>
      <c r="BS931" s="17" t="s">
        <v>127</v>
      </c>
      <c r="BT931" s="17" t="s">
        <v>10051</v>
      </c>
      <c r="BU931" s="17" t="s">
        <v>129</v>
      </c>
      <c r="BV931" s="17"/>
      <c r="BW931" s="17"/>
      <c r="BX931" s="13" t="s">
        <v>10052</v>
      </c>
      <c r="DA931" s="13" t="s">
        <v>10348</v>
      </c>
      <c r="DB931" s="13" t="s">
        <v>10348</v>
      </c>
    </row>
    <row r="932" spans="1:106" s="13" customFormat="1" ht="12.75" customHeight="1" x14ac:dyDescent="0.2">
      <c r="A932" s="13" t="s">
        <v>102</v>
      </c>
      <c r="B932" s="13" t="s">
        <v>103</v>
      </c>
      <c r="D932" s="13" t="s">
        <v>8957</v>
      </c>
      <c r="E932" s="13" t="s">
        <v>8958</v>
      </c>
      <c r="F932" s="13" t="s">
        <v>8957</v>
      </c>
      <c r="G932" s="13" t="s">
        <v>105</v>
      </c>
      <c r="H932" s="13" t="s">
        <v>820</v>
      </c>
      <c r="J932" s="13" t="s">
        <v>106</v>
      </c>
      <c r="W932" s="13">
        <v>932</v>
      </c>
      <c r="X932" s="13">
        <v>932</v>
      </c>
      <c r="Y932" s="13" t="s">
        <v>8959</v>
      </c>
      <c r="Z932" s="13" t="s">
        <v>8960</v>
      </c>
      <c r="AA932" s="13" t="s">
        <v>8961</v>
      </c>
      <c r="AB932" s="13" t="s">
        <v>10053</v>
      </c>
      <c r="AC932" s="13" t="s">
        <v>10053</v>
      </c>
      <c r="AD932" s="13" t="s">
        <v>10053</v>
      </c>
      <c r="AE932" s="13" t="s">
        <v>8964</v>
      </c>
      <c r="AF932" s="13" t="s">
        <v>10053</v>
      </c>
      <c r="AG932" s="13" t="s">
        <v>10053</v>
      </c>
      <c r="AH932" s="13" t="s">
        <v>10054</v>
      </c>
      <c r="AL932" s="13" t="s">
        <v>10055</v>
      </c>
      <c r="AN932" s="13">
        <v>3406</v>
      </c>
      <c r="AO932" s="13" t="s">
        <v>10056</v>
      </c>
      <c r="AQ932" s="13" t="s">
        <v>10053</v>
      </c>
      <c r="AR932" s="13" t="s">
        <v>10053</v>
      </c>
      <c r="AS932" s="13" t="s">
        <v>8968</v>
      </c>
      <c r="AT932" s="13" t="s">
        <v>10057</v>
      </c>
      <c r="AU932" s="13" t="s">
        <v>9999</v>
      </c>
      <c r="AV932" s="13" t="s">
        <v>10024</v>
      </c>
      <c r="AY932" s="13" t="s">
        <v>10058</v>
      </c>
      <c r="AZ932" s="13" t="s">
        <v>10059</v>
      </c>
      <c r="BA932" s="13" t="s">
        <v>10059</v>
      </c>
      <c r="BB932" s="17" t="s">
        <v>10060</v>
      </c>
      <c r="BC932" s="17" t="s">
        <v>10060</v>
      </c>
      <c r="BD932" s="13">
        <f t="shared" si="33"/>
        <v>46</v>
      </c>
      <c r="BE932" s="17" t="s">
        <v>9276</v>
      </c>
      <c r="BF932" s="17" t="s">
        <v>123</v>
      </c>
      <c r="BG932" s="17"/>
      <c r="BH932" s="17"/>
      <c r="BI932" s="17"/>
      <c r="BJ932" s="17" t="s">
        <v>1004</v>
      </c>
      <c r="BK932" s="17"/>
      <c r="BL932" s="17"/>
      <c r="BM932" s="17"/>
      <c r="BN932" s="17"/>
      <c r="BO932" s="17" t="s">
        <v>10061</v>
      </c>
      <c r="BP932" s="17"/>
      <c r="BQ932" s="17"/>
      <c r="BR932" s="17"/>
      <c r="BS932" s="17" t="s">
        <v>127</v>
      </c>
      <c r="BT932" s="17" t="s">
        <v>9999</v>
      </c>
      <c r="BU932" s="17" t="s">
        <v>129</v>
      </c>
      <c r="BV932" s="17"/>
      <c r="BW932" s="17"/>
      <c r="BX932" s="13" t="s">
        <v>10062</v>
      </c>
      <c r="BY932" s="13" t="s">
        <v>10030</v>
      </c>
      <c r="DA932" s="13" t="s">
        <v>10348</v>
      </c>
      <c r="DB932" s="13" t="s">
        <v>10348</v>
      </c>
    </row>
    <row r="933" spans="1:106" s="13" customFormat="1" ht="12.75" customHeight="1" x14ac:dyDescent="0.2">
      <c r="A933" s="13" t="s">
        <v>102</v>
      </c>
      <c r="B933" s="13" t="s">
        <v>103</v>
      </c>
      <c r="D933" s="13" t="s">
        <v>8957</v>
      </c>
      <c r="E933" s="13" t="s">
        <v>8958</v>
      </c>
      <c r="F933" s="13" t="s">
        <v>8957</v>
      </c>
      <c r="G933" s="13" t="s">
        <v>105</v>
      </c>
      <c r="H933" s="13" t="s">
        <v>820</v>
      </c>
      <c r="J933" s="13" t="s">
        <v>106</v>
      </c>
      <c r="W933" s="13">
        <v>933</v>
      </c>
      <c r="X933" s="13">
        <v>933</v>
      </c>
      <c r="Y933" s="13" t="s">
        <v>8959</v>
      </c>
      <c r="Z933" s="13" t="s">
        <v>8960</v>
      </c>
      <c r="AA933" s="13" t="s">
        <v>8961</v>
      </c>
      <c r="AB933" s="13" t="s">
        <v>10063</v>
      </c>
      <c r="AC933" s="13" t="s">
        <v>10063</v>
      </c>
      <c r="AD933" s="13" t="s">
        <v>10063</v>
      </c>
      <c r="AE933" s="13" t="s">
        <v>8964</v>
      </c>
      <c r="AF933" s="13" t="s">
        <v>10063</v>
      </c>
      <c r="AG933" s="13" t="s">
        <v>10063</v>
      </c>
      <c r="AH933" s="13" t="s">
        <v>10064</v>
      </c>
      <c r="AL933" s="13" t="s">
        <v>10065</v>
      </c>
      <c r="AN933" s="13">
        <v>3406</v>
      </c>
      <c r="AO933" s="13" t="s">
        <v>10066</v>
      </c>
      <c r="AQ933" s="13" t="s">
        <v>10063</v>
      </c>
      <c r="AR933" s="13" t="s">
        <v>10063</v>
      </c>
      <c r="AS933" s="13" t="s">
        <v>8968</v>
      </c>
      <c r="AT933" s="13" t="s">
        <v>10065</v>
      </c>
      <c r="AU933" s="13" t="s">
        <v>10067</v>
      </c>
      <c r="AV933" s="13" t="s">
        <v>9175</v>
      </c>
      <c r="AY933" s="13" t="s">
        <v>10068</v>
      </c>
      <c r="AZ933" s="13" t="s">
        <v>10069</v>
      </c>
      <c r="BA933" s="13" t="s">
        <v>10069</v>
      </c>
      <c r="BB933" s="17" t="s">
        <v>10070</v>
      </c>
      <c r="BC933" s="17" t="s">
        <v>10070</v>
      </c>
      <c r="BD933" s="13">
        <f t="shared" si="33"/>
        <v>42</v>
      </c>
      <c r="BE933" s="17" t="s">
        <v>9249</v>
      </c>
      <c r="BF933" s="17" t="s">
        <v>950</v>
      </c>
      <c r="BG933" s="17" t="s">
        <v>10071</v>
      </c>
      <c r="BH933" s="17"/>
      <c r="BI933" s="17"/>
      <c r="BJ933" s="17"/>
      <c r="BK933" s="17"/>
      <c r="BL933" s="17"/>
      <c r="BM933" s="17"/>
      <c r="BN933" s="17"/>
      <c r="BO933" s="17" t="s">
        <v>10072</v>
      </c>
      <c r="BP933" s="17"/>
      <c r="BQ933" s="17"/>
      <c r="BR933" s="17"/>
      <c r="BS933" s="17" t="s">
        <v>127</v>
      </c>
      <c r="BT933" s="17" t="s">
        <v>10067</v>
      </c>
      <c r="BU933" s="17" t="s">
        <v>129</v>
      </c>
      <c r="BV933" s="17"/>
      <c r="BW933" s="17"/>
      <c r="BX933" s="13" t="s">
        <v>10073</v>
      </c>
      <c r="BY933" s="13" t="s">
        <v>10074</v>
      </c>
      <c r="DA933" s="13" t="s">
        <v>10348</v>
      </c>
      <c r="DB933" s="13" t="s">
        <v>10348</v>
      </c>
    </row>
    <row r="934" spans="1:106" s="13" customFormat="1" ht="12.75" customHeight="1" x14ac:dyDescent="0.2">
      <c r="A934" s="13" t="s">
        <v>102</v>
      </c>
      <c r="B934" s="13" t="s">
        <v>103</v>
      </c>
      <c r="D934" s="13" t="s">
        <v>8957</v>
      </c>
      <c r="E934" s="13" t="s">
        <v>9080</v>
      </c>
      <c r="F934" s="13" t="s">
        <v>8957</v>
      </c>
      <c r="H934" s="13" t="s">
        <v>820</v>
      </c>
      <c r="J934" s="13" t="s">
        <v>106</v>
      </c>
      <c r="W934" s="13">
        <v>934</v>
      </c>
      <c r="X934" s="13">
        <v>934</v>
      </c>
      <c r="Y934" s="13" t="s">
        <v>8959</v>
      </c>
      <c r="Z934" s="13" t="s">
        <v>8960</v>
      </c>
      <c r="AA934" s="13" t="s">
        <v>8961</v>
      </c>
      <c r="AB934" s="13" t="s">
        <v>10075</v>
      </c>
      <c r="AC934" s="13" t="s">
        <v>10075</v>
      </c>
      <c r="AD934" s="13" t="s">
        <v>10075</v>
      </c>
      <c r="AE934" s="13" t="s">
        <v>8964</v>
      </c>
      <c r="AF934" s="13" t="s">
        <v>10075</v>
      </c>
      <c r="AG934" s="13" t="s">
        <v>10075</v>
      </c>
      <c r="AH934" s="13" t="s">
        <v>10076</v>
      </c>
      <c r="AL934" s="13" t="s">
        <v>10077</v>
      </c>
      <c r="AN934" s="13">
        <v>3406</v>
      </c>
      <c r="AO934" s="13" t="s">
        <v>10078</v>
      </c>
      <c r="AV934" s="13" t="s">
        <v>1877</v>
      </c>
      <c r="AY934" s="38" t="s">
        <v>10079</v>
      </c>
      <c r="AZ934" s="13" t="s">
        <v>10080</v>
      </c>
      <c r="BA934" s="13" t="s">
        <v>10080</v>
      </c>
      <c r="BB934" s="13" t="s">
        <v>10081</v>
      </c>
      <c r="BC934" s="13" t="s">
        <v>10081</v>
      </c>
      <c r="BD934" s="13">
        <f t="shared" si="33"/>
        <v>43</v>
      </c>
      <c r="BE934" s="17" t="s">
        <v>10082</v>
      </c>
      <c r="BF934" s="17" t="s">
        <v>10083</v>
      </c>
      <c r="BG934" s="17"/>
      <c r="BH934" s="17"/>
      <c r="BI934" s="17"/>
      <c r="BJ934" s="17"/>
      <c r="BK934" s="17"/>
      <c r="BL934" s="17"/>
      <c r="BM934" s="17"/>
      <c r="BN934" s="17"/>
      <c r="BO934" s="17" t="s">
        <v>10084</v>
      </c>
      <c r="BP934" s="17"/>
      <c r="BQ934" s="17"/>
      <c r="BR934" s="17"/>
      <c r="BS934" s="17" t="s">
        <v>127</v>
      </c>
      <c r="BT934" s="17" t="s">
        <v>10085</v>
      </c>
      <c r="BU934" s="17" t="s">
        <v>129</v>
      </c>
      <c r="BV934" s="17"/>
      <c r="BW934" s="17"/>
      <c r="BX934" s="13" t="s">
        <v>10086</v>
      </c>
      <c r="DA934" s="13" t="s">
        <v>10348</v>
      </c>
      <c r="DB934" s="13" t="s">
        <v>10348</v>
      </c>
    </row>
    <row r="935" spans="1:106" s="13" customFormat="1" ht="12.75" customHeight="1" x14ac:dyDescent="0.2">
      <c r="A935" s="13" t="s">
        <v>102</v>
      </c>
      <c r="B935" s="13" t="s">
        <v>103</v>
      </c>
      <c r="D935" s="13" t="s">
        <v>8957</v>
      </c>
      <c r="E935" s="13" t="s">
        <v>9080</v>
      </c>
      <c r="F935" s="13" t="s">
        <v>8957</v>
      </c>
      <c r="H935" s="13" t="s">
        <v>820</v>
      </c>
      <c r="J935" s="13" t="s">
        <v>106</v>
      </c>
      <c r="W935" s="13">
        <v>935</v>
      </c>
      <c r="X935" s="13">
        <v>935</v>
      </c>
      <c r="Y935" s="13" t="s">
        <v>8959</v>
      </c>
      <c r="Z935" s="13" t="s">
        <v>8960</v>
      </c>
      <c r="AA935" s="13" t="s">
        <v>8961</v>
      </c>
      <c r="AB935" s="13" t="s">
        <v>10087</v>
      </c>
      <c r="AC935" s="13" t="s">
        <v>10087</v>
      </c>
      <c r="AD935" s="13" t="s">
        <v>10087</v>
      </c>
      <c r="AE935" s="13" t="s">
        <v>8964</v>
      </c>
      <c r="AF935" s="13" t="s">
        <v>10087</v>
      </c>
      <c r="AG935" s="13" t="s">
        <v>10087</v>
      </c>
      <c r="AH935" s="13" t="s">
        <v>10088</v>
      </c>
      <c r="AL935" s="13" t="s">
        <v>10089</v>
      </c>
      <c r="AN935" s="13">
        <v>3406</v>
      </c>
      <c r="AO935" s="13" t="s">
        <v>10090</v>
      </c>
      <c r="AV935" s="13" t="s">
        <v>1877</v>
      </c>
      <c r="AY935" s="13" t="s">
        <v>10091</v>
      </c>
      <c r="AZ935" s="13" t="s">
        <v>10092</v>
      </c>
      <c r="BA935" s="13" t="s">
        <v>10092</v>
      </c>
      <c r="BB935" s="17" t="s">
        <v>10093</v>
      </c>
      <c r="BC935" s="17" t="s">
        <v>10094</v>
      </c>
      <c r="BD935" s="13">
        <f t="shared" si="33"/>
        <v>56</v>
      </c>
      <c r="BE935" s="17" t="s">
        <v>10082</v>
      </c>
      <c r="BF935" s="17"/>
      <c r="BG935" s="17"/>
      <c r="BH935" s="17"/>
      <c r="BI935" s="17"/>
      <c r="BJ935" s="17"/>
      <c r="BK935" s="17"/>
      <c r="BL935" s="17"/>
      <c r="BM935" s="17"/>
      <c r="BN935" s="17"/>
      <c r="BO935" s="17" t="s">
        <v>10095</v>
      </c>
      <c r="BP935" s="17"/>
      <c r="BQ935" s="17"/>
      <c r="BR935" s="17"/>
      <c r="BS935" s="17" t="s">
        <v>127</v>
      </c>
      <c r="BT935" s="17" t="s">
        <v>10085</v>
      </c>
      <c r="BU935" s="17" t="s">
        <v>129</v>
      </c>
      <c r="BV935" s="17" t="s">
        <v>130</v>
      </c>
      <c r="BW935" s="17"/>
      <c r="BX935" s="13" t="s">
        <v>10096</v>
      </c>
      <c r="DA935" s="13" t="s">
        <v>10348</v>
      </c>
      <c r="DB935" s="13" t="s">
        <v>10348</v>
      </c>
    </row>
    <row r="936" spans="1:106" s="13" customFormat="1" ht="12.75" customHeight="1" x14ac:dyDescent="0.2">
      <c r="A936" s="13" t="s">
        <v>102</v>
      </c>
      <c r="B936" s="13" t="s">
        <v>103</v>
      </c>
      <c r="D936" s="13" t="s">
        <v>8957</v>
      </c>
      <c r="E936" s="13" t="s">
        <v>9080</v>
      </c>
      <c r="F936" s="13" t="s">
        <v>8957</v>
      </c>
      <c r="H936" s="13" t="s">
        <v>820</v>
      </c>
      <c r="J936" s="13" t="s">
        <v>106</v>
      </c>
      <c r="W936" s="13">
        <v>936</v>
      </c>
      <c r="X936" s="13">
        <v>936</v>
      </c>
      <c r="Y936" s="13" t="s">
        <v>8959</v>
      </c>
      <c r="Z936" s="13" t="s">
        <v>8960</v>
      </c>
      <c r="AA936" s="13" t="s">
        <v>8961</v>
      </c>
      <c r="AB936" s="13" t="s">
        <v>10097</v>
      </c>
      <c r="AC936" s="13" t="s">
        <v>10097</v>
      </c>
      <c r="AD936" s="13" t="s">
        <v>10097</v>
      </c>
      <c r="AE936" s="13" t="s">
        <v>8964</v>
      </c>
      <c r="AF936" s="13" t="s">
        <v>10097</v>
      </c>
      <c r="AG936" s="13" t="s">
        <v>10097</v>
      </c>
      <c r="AH936" s="13" t="s">
        <v>10098</v>
      </c>
      <c r="AL936" s="13" t="s">
        <v>10099</v>
      </c>
      <c r="AN936" s="13">
        <v>3406</v>
      </c>
      <c r="AO936" s="13" t="s">
        <v>10100</v>
      </c>
      <c r="AV936" s="13" t="s">
        <v>1877</v>
      </c>
      <c r="AY936" s="13" t="s">
        <v>10101</v>
      </c>
      <c r="AZ936" s="13" t="s">
        <v>10102</v>
      </c>
      <c r="BA936" s="13" t="s">
        <v>10102</v>
      </c>
      <c r="BB936" s="17" t="s">
        <v>10103</v>
      </c>
      <c r="BC936" s="17" t="s">
        <v>10103</v>
      </c>
      <c r="BD936" s="13">
        <f t="shared" si="33"/>
        <v>46</v>
      </c>
      <c r="BE936" s="17" t="s">
        <v>10104</v>
      </c>
      <c r="BF936" s="17"/>
      <c r="BG936" s="17" t="s">
        <v>10105</v>
      </c>
      <c r="BH936" s="17"/>
      <c r="BI936" s="17"/>
      <c r="BJ936" s="17"/>
      <c r="BK936" s="17"/>
      <c r="BL936" s="17"/>
      <c r="BM936" s="17"/>
      <c r="BN936" s="17"/>
      <c r="BO936" s="17" t="s">
        <v>10106</v>
      </c>
      <c r="BP936" s="17"/>
      <c r="BQ936" s="17"/>
      <c r="BR936" s="17"/>
      <c r="BS936" s="17" t="s">
        <v>127</v>
      </c>
      <c r="BT936" s="17" t="s">
        <v>10085</v>
      </c>
      <c r="BU936" s="17" t="s">
        <v>129</v>
      </c>
      <c r="BV936" s="17"/>
      <c r="BW936" s="17"/>
      <c r="BX936" s="13" t="s">
        <v>10107</v>
      </c>
      <c r="DA936" s="13" t="s">
        <v>10348</v>
      </c>
      <c r="DB936" s="13" t="s">
        <v>10348</v>
      </c>
    </row>
    <row r="937" spans="1:106" s="13" customFormat="1" ht="12.75" customHeight="1" x14ac:dyDescent="0.2">
      <c r="A937" s="13" t="s">
        <v>102</v>
      </c>
      <c r="B937" s="13" t="s">
        <v>103</v>
      </c>
      <c r="D937" s="13" t="s">
        <v>8957</v>
      </c>
      <c r="E937" s="13" t="s">
        <v>9080</v>
      </c>
      <c r="F937" s="13" t="s">
        <v>8957</v>
      </c>
      <c r="H937" s="13" t="s">
        <v>820</v>
      </c>
      <c r="J937" s="13" t="s">
        <v>106</v>
      </c>
      <c r="W937" s="13">
        <v>937</v>
      </c>
      <c r="X937" s="13">
        <v>937</v>
      </c>
      <c r="Y937" s="13" t="s">
        <v>8959</v>
      </c>
      <c r="Z937" s="13" t="s">
        <v>8960</v>
      </c>
      <c r="AA937" s="13" t="s">
        <v>8961</v>
      </c>
      <c r="AB937" s="13" t="s">
        <v>10108</v>
      </c>
      <c r="AC937" s="13" t="s">
        <v>10108</v>
      </c>
      <c r="AD937" s="13" t="s">
        <v>10108</v>
      </c>
      <c r="AE937" s="13" t="s">
        <v>8964</v>
      </c>
      <c r="AF937" s="13" t="s">
        <v>10108</v>
      </c>
      <c r="AG937" s="13" t="s">
        <v>10108</v>
      </c>
      <c r="AH937" s="13" t="s">
        <v>10109</v>
      </c>
      <c r="AL937" s="13" t="s">
        <v>10110</v>
      </c>
      <c r="AN937" s="13">
        <v>3406</v>
      </c>
      <c r="AO937" s="13" t="s">
        <v>10111</v>
      </c>
      <c r="AV937" s="13" t="s">
        <v>1877</v>
      </c>
      <c r="AY937" s="38" t="s">
        <v>10112</v>
      </c>
      <c r="AZ937" s="13" t="s">
        <v>10113</v>
      </c>
      <c r="BA937" s="13" t="s">
        <v>10113</v>
      </c>
      <c r="BB937" s="17" t="s">
        <v>10114</v>
      </c>
      <c r="BC937" s="17" t="s">
        <v>10114</v>
      </c>
      <c r="BD937" s="13">
        <f t="shared" si="33"/>
        <v>38</v>
      </c>
      <c r="BE937" s="17" t="s">
        <v>10104</v>
      </c>
      <c r="BF937" s="17"/>
      <c r="BG937" s="17" t="s">
        <v>10115</v>
      </c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 t="s">
        <v>127</v>
      </c>
      <c r="BT937" s="17" t="s">
        <v>10085</v>
      </c>
      <c r="BU937" s="17" t="s">
        <v>129</v>
      </c>
      <c r="BV937" s="17"/>
      <c r="BW937" s="17"/>
      <c r="BX937" s="13" t="s">
        <v>10116</v>
      </c>
      <c r="DA937" s="13" t="s">
        <v>10348</v>
      </c>
      <c r="DB937" s="13" t="s">
        <v>10348</v>
      </c>
    </row>
    <row r="938" spans="1:106" s="13" customFormat="1" ht="12.75" customHeight="1" x14ac:dyDescent="0.2">
      <c r="A938" s="13" t="s">
        <v>102</v>
      </c>
      <c r="B938" s="13" t="s">
        <v>103</v>
      </c>
      <c r="D938" s="13" t="s">
        <v>8957</v>
      </c>
      <c r="E938" s="13" t="s">
        <v>9080</v>
      </c>
      <c r="F938" s="13" t="s">
        <v>8957</v>
      </c>
      <c r="H938" s="13" t="s">
        <v>820</v>
      </c>
      <c r="J938" s="13" t="s">
        <v>106</v>
      </c>
      <c r="W938" s="13">
        <v>938</v>
      </c>
      <c r="X938" s="13">
        <v>938</v>
      </c>
      <c r="Y938" s="13" t="s">
        <v>8959</v>
      </c>
      <c r="Z938" s="13" t="s">
        <v>8960</v>
      </c>
      <c r="AA938" s="13" t="s">
        <v>8961</v>
      </c>
      <c r="AB938" s="13" t="s">
        <v>10117</v>
      </c>
      <c r="AC938" s="13" t="s">
        <v>10117</v>
      </c>
      <c r="AD938" s="13" t="s">
        <v>10117</v>
      </c>
      <c r="AE938" s="13" t="s">
        <v>8964</v>
      </c>
      <c r="AF938" s="13" t="s">
        <v>10117</v>
      </c>
      <c r="AG938" s="13" t="s">
        <v>10117</v>
      </c>
      <c r="AH938" s="13" t="s">
        <v>10118</v>
      </c>
      <c r="AL938" s="13" t="s">
        <v>10119</v>
      </c>
      <c r="AN938" s="13">
        <v>3406</v>
      </c>
      <c r="AO938" s="13" t="s">
        <v>10120</v>
      </c>
      <c r="AV938" s="13" t="s">
        <v>9780</v>
      </c>
      <c r="AY938" s="13" t="s">
        <v>10121</v>
      </c>
      <c r="AZ938" s="13" t="s">
        <v>10122</v>
      </c>
      <c r="BA938" s="13" t="s">
        <v>10122</v>
      </c>
      <c r="BB938" s="17" t="s">
        <v>10123</v>
      </c>
      <c r="BC938" s="17" t="s">
        <v>10124</v>
      </c>
      <c r="BD938" s="13">
        <f t="shared" si="33"/>
        <v>60</v>
      </c>
      <c r="BE938" s="17" t="s">
        <v>9351</v>
      </c>
      <c r="BF938" s="17" t="s">
        <v>9785</v>
      </c>
      <c r="BG938" s="17" t="s">
        <v>10125</v>
      </c>
      <c r="BH938" s="31" t="s">
        <v>9353</v>
      </c>
      <c r="BI938" s="17"/>
      <c r="BJ938" s="17" t="s">
        <v>10126</v>
      </c>
      <c r="BK938" s="17"/>
      <c r="BL938" s="17"/>
      <c r="BM938" s="17"/>
      <c r="BN938" s="17"/>
      <c r="BO938" s="17" t="s">
        <v>10127</v>
      </c>
      <c r="BP938" s="17" t="s">
        <v>246</v>
      </c>
      <c r="BQ938" s="17"/>
      <c r="BR938" s="17" t="s">
        <v>144</v>
      </c>
      <c r="BS938" s="17" t="s">
        <v>127</v>
      </c>
      <c r="BT938" s="17" t="s">
        <v>9779</v>
      </c>
      <c r="BU938" s="17" t="s">
        <v>129</v>
      </c>
      <c r="BV938" s="17"/>
      <c r="BW938" s="17"/>
      <c r="BX938" s="13" t="s">
        <v>10128</v>
      </c>
      <c r="DA938" s="13" t="s">
        <v>10348</v>
      </c>
      <c r="DB938" s="13" t="s">
        <v>10348</v>
      </c>
    </row>
    <row r="939" spans="1:106" s="13" customFormat="1" ht="12.75" customHeight="1" x14ac:dyDescent="0.2">
      <c r="A939" s="13" t="s">
        <v>102</v>
      </c>
      <c r="B939" s="13" t="s">
        <v>103</v>
      </c>
      <c r="D939" s="13" t="s">
        <v>8957</v>
      </c>
      <c r="E939" s="13" t="s">
        <v>9080</v>
      </c>
      <c r="F939" s="13" t="s">
        <v>8957</v>
      </c>
      <c r="H939" s="13" t="s">
        <v>820</v>
      </c>
      <c r="J939" s="13" t="s">
        <v>106</v>
      </c>
      <c r="W939" s="13">
        <v>939</v>
      </c>
      <c r="X939" s="13">
        <v>939</v>
      </c>
      <c r="Y939" s="13" t="s">
        <v>8959</v>
      </c>
      <c r="Z939" s="13" t="s">
        <v>8960</v>
      </c>
      <c r="AA939" s="13" t="s">
        <v>8961</v>
      </c>
      <c r="AB939" s="13" t="s">
        <v>10129</v>
      </c>
      <c r="AC939" s="13" t="s">
        <v>10129</v>
      </c>
      <c r="AD939" s="13" t="s">
        <v>10129</v>
      </c>
      <c r="AE939" s="13" t="s">
        <v>8964</v>
      </c>
      <c r="AF939" s="13" t="s">
        <v>10129</v>
      </c>
      <c r="AG939" s="13" t="s">
        <v>10129</v>
      </c>
      <c r="AH939" s="13" t="s">
        <v>10130</v>
      </c>
      <c r="AL939" s="13" t="s">
        <v>10131</v>
      </c>
      <c r="AN939" s="13">
        <v>3406</v>
      </c>
      <c r="AO939" s="13" t="s">
        <v>10132</v>
      </c>
      <c r="AV939" s="13" t="s">
        <v>9780</v>
      </c>
      <c r="AY939" s="13" t="s">
        <v>10133</v>
      </c>
      <c r="AZ939" s="13" t="s">
        <v>10134</v>
      </c>
      <c r="BA939" s="13" t="s">
        <v>10134</v>
      </c>
      <c r="BB939" s="17" t="s">
        <v>10135</v>
      </c>
      <c r="BC939" s="17" t="s">
        <v>10136</v>
      </c>
      <c r="BD939" s="13">
        <f t="shared" si="33"/>
        <v>60</v>
      </c>
      <c r="BE939" s="17" t="s">
        <v>9351</v>
      </c>
      <c r="BF939" s="17" t="s">
        <v>9785</v>
      </c>
      <c r="BG939" s="17" t="s">
        <v>10125</v>
      </c>
      <c r="BH939" s="17">
        <v>5</v>
      </c>
      <c r="BI939" s="17"/>
      <c r="BJ939" s="17" t="s">
        <v>10126</v>
      </c>
      <c r="BK939" s="17"/>
      <c r="BL939" s="17"/>
      <c r="BM939" s="17"/>
      <c r="BN939" s="17"/>
      <c r="BO939" s="17" t="s">
        <v>10137</v>
      </c>
      <c r="BP939" s="17" t="s">
        <v>246</v>
      </c>
      <c r="BQ939" s="17"/>
      <c r="BR939" s="17" t="s">
        <v>10138</v>
      </c>
      <c r="BS939" s="17" t="s">
        <v>127</v>
      </c>
      <c r="BT939" s="17" t="s">
        <v>9779</v>
      </c>
      <c r="BU939" s="17" t="s">
        <v>129</v>
      </c>
      <c r="BV939" s="17"/>
      <c r="BW939" s="17"/>
      <c r="BX939" s="13" t="s">
        <v>10139</v>
      </c>
      <c r="DA939" s="13" t="s">
        <v>10348</v>
      </c>
      <c r="DB939" s="13" t="s">
        <v>10348</v>
      </c>
    </row>
    <row r="940" spans="1:106" s="13" customFormat="1" ht="12.75" customHeight="1" x14ac:dyDescent="0.2">
      <c r="A940" s="13" t="s">
        <v>102</v>
      </c>
      <c r="B940" s="13" t="s">
        <v>103</v>
      </c>
      <c r="D940" s="13" t="s">
        <v>8957</v>
      </c>
      <c r="E940" s="13" t="s">
        <v>9080</v>
      </c>
      <c r="F940" s="13" t="s">
        <v>8957</v>
      </c>
      <c r="H940" s="13" t="s">
        <v>820</v>
      </c>
      <c r="J940" s="13" t="s">
        <v>106</v>
      </c>
      <c r="W940" s="13">
        <v>940</v>
      </c>
      <c r="X940" s="13">
        <v>940</v>
      </c>
      <c r="Y940" s="13" t="s">
        <v>8959</v>
      </c>
      <c r="Z940" s="13" t="s">
        <v>8960</v>
      </c>
      <c r="AA940" s="13" t="s">
        <v>8961</v>
      </c>
      <c r="AB940" s="13" t="s">
        <v>10140</v>
      </c>
      <c r="AC940" s="13" t="s">
        <v>10140</v>
      </c>
      <c r="AD940" s="13" t="s">
        <v>10140</v>
      </c>
      <c r="AE940" s="13" t="s">
        <v>8964</v>
      </c>
      <c r="AF940" s="13" t="s">
        <v>10140</v>
      </c>
      <c r="AG940" s="13" t="s">
        <v>10140</v>
      </c>
      <c r="AH940" s="13" t="s">
        <v>10141</v>
      </c>
      <c r="AL940" s="13" t="s">
        <v>10142</v>
      </c>
      <c r="AN940" s="13">
        <v>3406</v>
      </c>
      <c r="AO940" s="13" t="s">
        <v>10143</v>
      </c>
      <c r="AV940" s="13" t="s">
        <v>9780</v>
      </c>
      <c r="AY940" s="13" t="s">
        <v>10144</v>
      </c>
      <c r="AZ940" s="13" t="s">
        <v>10145</v>
      </c>
      <c r="BA940" s="13" t="s">
        <v>10145</v>
      </c>
      <c r="BB940" s="17" t="s">
        <v>10146</v>
      </c>
      <c r="BC940" s="17" t="s">
        <v>10147</v>
      </c>
      <c r="BD940" s="13">
        <f t="shared" si="33"/>
        <v>60</v>
      </c>
      <c r="BE940" s="17" t="s">
        <v>9351</v>
      </c>
      <c r="BF940" s="17" t="s">
        <v>9785</v>
      </c>
      <c r="BG940" s="17" t="s">
        <v>10125</v>
      </c>
      <c r="BH940" s="17">
        <v>5</v>
      </c>
      <c r="BI940" s="17"/>
      <c r="BJ940" s="17" t="s">
        <v>10126</v>
      </c>
      <c r="BK940" s="17"/>
      <c r="BL940" s="17"/>
      <c r="BM940" s="17"/>
      <c r="BN940" s="17"/>
      <c r="BO940" s="17" t="s">
        <v>10137</v>
      </c>
      <c r="BP940" s="17" t="s">
        <v>246</v>
      </c>
      <c r="BQ940" s="17"/>
      <c r="BR940" s="17" t="s">
        <v>10148</v>
      </c>
      <c r="BS940" s="17" t="s">
        <v>127</v>
      </c>
      <c r="BT940" s="17" t="s">
        <v>9779</v>
      </c>
      <c r="BU940" s="17" t="s">
        <v>129</v>
      </c>
      <c r="BV940" s="17"/>
      <c r="BW940" s="17"/>
      <c r="BX940" s="13" t="s">
        <v>10149</v>
      </c>
      <c r="DA940" s="13" t="s">
        <v>10348</v>
      </c>
      <c r="DB940" s="13" t="s">
        <v>10348</v>
      </c>
    </row>
    <row r="941" spans="1:106" s="13" customFormat="1" ht="12.75" customHeight="1" x14ac:dyDescent="0.2">
      <c r="A941" s="13" t="s">
        <v>102</v>
      </c>
      <c r="B941" s="13" t="s">
        <v>103</v>
      </c>
      <c r="D941" s="13" t="s">
        <v>8957</v>
      </c>
      <c r="E941" s="13" t="s">
        <v>9080</v>
      </c>
      <c r="F941" s="13" t="s">
        <v>8957</v>
      </c>
      <c r="H941" s="13" t="s">
        <v>820</v>
      </c>
      <c r="J941" s="13" t="s">
        <v>106</v>
      </c>
      <c r="W941" s="13">
        <v>941</v>
      </c>
      <c r="X941" s="13">
        <v>941</v>
      </c>
      <c r="Y941" s="13" t="s">
        <v>8959</v>
      </c>
      <c r="Z941" s="13" t="s">
        <v>8960</v>
      </c>
      <c r="AA941" s="13" t="s">
        <v>8961</v>
      </c>
      <c r="AB941" s="13" t="s">
        <v>10150</v>
      </c>
      <c r="AC941" s="13" t="s">
        <v>10150</v>
      </c>
      <c r="AD941" s="13" t="s">
        <v>10150</v>
      </c>
      <c r="AE941" s="13" t="s">
        <v>8964</v>
      </c>
      <c r="AF941" s="13" t="s">
        <v>10150</v>
      </c>
      <c r="AG941" s="13" t="s">
        <v>10150</v>
      </c>
      <c r="AH941" s="13" t="s">
        <v>10151</v>
      </c>
      <c r="AL941" s="13" t="s">
        <v>10152</v>
      </c>
      <c r="AN941" s="13">
        <v>3406</v>
      </c>
      <c r="AO941" s="13" t="s">
        <v>10153</v>
      </c>
      <c r="AV941" s="13" t="s">
        <v>9780</v>
      </c>
      <c r="AY941" s="13" t="s">
        <v>10133</v>
      </c>
      <c r="AZ941" s="13" t="s">
        <v>10154</v>
      </c>
      <c r="BA941" s="13" t="s">
        <v>10154</v>
      </c>
      <c r="BB941" s="17" t="s">
        <v>10155</v>
      </c>
      <c r="BC941" s="17" t="s">
        <v>10156</v>
      </c>
      <c r="BD941" s="13">
        <f t="shared" si="33"/>
        <v>60</v>
      </c>
      <c r="BE941" s="17" t="s">
        <v>9351</v>
      </c>
      <c r="BF941" s="17" t="s">
        <v>9785</v>
      </c>
      <c r="BG941" s="17" t="s">
        <v>10125</v>
      </c>
      <c r="BH941" s="17">
        <v>5</v>
      </c>
      <c r="BI941" s="17"/>
      <c r="BJ941" s="17" t="s">
        <v>10126</v>
      </c>
      <c r="BK941" s="17"/>
      <c r="BL941" s="17"/>
      <c r="BM941" s="17"/>
      <c r="BN941" s="17"/>
      <c r="BO941" s="17" t="s">
        <v>10127</v>
      </c>
      <c r="BP941" s="17" t="s">
        <v>246</v>
      </c>
      <c r="BQ941" s="17"/>
      <c r="BR941" s="17" t="s">
        <v>10138</v>
      </c>
      <c r="BS941" s="17" t="s">
        <v>127</v>
      </c>
      <c r="BT941" s="17" t="s">
        <v>9779</v>
      </c>
      <c r="BU941" s="17" t="s">
        <v>129</v>
      </c>
      <c r="BV941" s="17"/>
      <c r="BW941" s="17"/>
      <c r="BX941" s="13" t="s">
        <v>10157</v>
      </c>
      <c r="DA941" s="13" t="s">
        <v>10348</v>
      </c>
      <c r="DB941" s="13" t="s">
        <v>10348</v>
      </c>
    </row>
    <row r="942" spans="1:106" s="13" customFormat="1" ht="12.75" customHeight="1" x14ac:dyDescent="0.2">
      <c r="A942" s="13" t="s">
        <v>102</v>
      </c>
      <c r="B942" s="13" t="s">
        <v>103</v>
      </c>
      <c r="D942" s="13" t="s">
        <v>8957</v>
      </c>
      <c r="E942" s="13" t="s">
        <v>9080</v>
      </c>
      <c r="F942" s="13" t="s">
        <v>8957</v>
      </c>
      <c r="H942" s="13" t="s">
        <v>820</v>
      </c>
      <c r="J942" s="13" t="s">
        <v>106</v>
      </c>
      <c r="W942" s="13">
        <v>942</v>
      </c>
      <c r="X942" s="13">
        <v>942</v>
      </c>
      <c r="Y942" s="13" t="s">
        <v>8959</v>
      </c>
      <c r="Z942" s="13" t="s">
        <v>8960</v>
      </c>
      <c r="AA942" s="13" t="s">
        <v>8961</v>
      </c>
      <c r="AB942" s="13" t="s">
        <v>10158</v>
      </c>
      <c r="AC942" s="13" t="s">
        <v>10158</v>
      </c>
      <c r="AD942" s="13" t="s">
        <v>10158</v>
      </c>
      <c r="AE942" s="13" t="s">
        <v>8964</v>
      </c>
      <c r="AF942" s="13" t="s">
        <v>10158</v>
      </c>
      <c r="AG942" s="13" t="s">
        <v>10158</v>
      </c>
      <c r="AH942" s="13" t="s">
        <v>10159</v>
      </c>
      <c r="AL942" s="13" t="s">
        <v>10160</v>
      </c>
      <c r="AN942" s="13">
        <v>3406</v>
      </c>
      <c r="AO942" s="13" t="s">
        <v>10161</v>
      </c>
      <c r="AV942" s="13" t="s">
        <v>9780</v>
      </c>
      <c r="AY942" s="13" t="s">
        <v>10144</v>
      </c>
      <c r="AZ942" s="13" t="s">
        <v>10162</v>
      </c>
      <c r="BA942" s="13" t="s">
        <v>10162</v>
      </c>
      <c r="BB942" s="17" t="s">
        <v>10163</v>
      </c>
      <c r="BC942" s="17" t="s">
        <v>10164</v>
      </c>
      <c r="BD942" s="13">
        <f t="shared" si="33"/>
        <v>60</v>
      </c>
      <c r="BE942" s="17" t="s">
        <v>9351</v>
      </c>
      <c r="BF942" s="17" t="s">
        <v>9785</v>
      </c>
      <c r="BG942" s="17" t="s">
        <v>10125</v>
      </c>
      <c r="BH942" s="17">
        <v>5</v>
      </c>
      <c r="BI942" s="17"/>
      <c r="BJ942" s="17" t="s">
        <v>10126</v>
      </c>
      <c r="BK942" s="17"/>
      <c r="BL942" s="17"/>
      <c r="BM942" s="17"/>
      <c r="BN942" s="17"/>
      <c r="BO942" s="17" t="s">
        <v>10127</v>
      </c>
      <c r="BP942" s="17" t="s">
        <v>246</v>
      </c>
      <c r="BQ942" s="17"/>
      <c r="BR942" s="17" t="s">
        <v>10148</v>
      </c>
      <c r="BS942" s="17" t="s">
        <v>127</v>
      </c>
      <c r="BT942" s="17" t="s">
        <v>9779</v>
      </c>
      <c r="BU942" s="17" t="s">
        <v>129</v>
      </c>
      <c r="BV942" s="17"/>
      <c r="BW942" s="17"/>
      <c r="BX942" s="13" t="s">
        <v>10165</v>
      </c>
      <c r="DA942" s="13" t="s">
        <v>10348</v>
      </c>
      <c r="DB942" s="13" t="s">
        <v>10348</v>
      </c>
    </row>
    <row r="943" spans="1:106" s="13" customFormat="1" ht="12.75" customHeight="1" x14ac:dyDescent="0.2">
      <c r="A943" s="13" t="s">
        <v>102</v>
      </c>
      <c r="B943" s="13" t="s">
        <v>103</v>
      </c>
      <c r="D943" s="13" t="s">
        <v>8957</v>
      </c>
      <c r="E943" s="13" t="s">
        <v>9080</v>
      </c>
      <c r="F943" s="13" t="s">
        <v>8957</v>
      </c>
      <c r="H943" s="13" t="s">
        <v>820</v>
      </c>
      <c r="J943" s="13" t="s">
        <v>106</v>
      </c>
      <c r="W943" s="13">
        <v>943</v>
      </c>
      <c r="X943" s="13">
        <v>943</v>
      </c>
      <c r="Y943" s="13" t="s">
        <v>8959</v>
      </c>
      <c r="Z943" s="13" t="s">
        <v>8960</v>
      </c>
      <c r="AA943" s="13" t="s">
        <v>8961</v>
      </c>
      <c r="AB943" s="13" t="s">
        <v>10166</v>
      </c>
      <c r="AC943" s="13" t="s">
        <v>10166</v>
      </c>
      <c r="AD943" s="13" t="s">
        <v>10166</v>
      </c>
      <c r="AE943" s="13" t="s">
        <v>8964</v>
      </c>
      <c r="AF943" s="13" t="s">
        <v>10166</v>
      </c>
      <c r="AG943" s="13" t="s">
        <v>10166</v>
      </c>
      <c r="AH943" s="13" t="s">
        <v>10167</v>
      </c>
      <c r="AL943" s="13" t="s">
        <v>10168</v>
      </c>
      <c r="AN943" s="13">
        <v>3406</v>
      </c>
      <c r="AO943" s="13" t="s">
        <v>10169</v>
      </c>
      <c r="AV943" s="13" t="s">
        <v>9780</v>
      </c>
      <c r="AY943" s="13" t="s">
        <v>10170</v>
      </c>
      <c r="AZ943" s="13" t="s">
        <v>10171</v>
      </c>
      <c r="BA943" s="13" t="s">
        <v>10171</v>
      </c>
      <c r="BB943" s="17" t="s">
        <v>10172</v>
      </c>
      <c r="BC943" s="17" t="s">
        <v>10173</v>
      </c>
      <c r="BD943" s="13">
        <f t="shared" si="33"/>
        <v>53</v>
      </c>
      <c r="BE943" s="17" t="s">
        <v>9351</v>
      </c>
      <c r="BF943" s="17" t="s">
        <v>9785</v>
      </c>
      <c r="BG943" s="17" t="s">
        <v>10125</v>
      </c>
      <c r="BH943" s="17">
        <v>2</v>
      </c>
      <c r="BI943" s="17"/>
      <c r="BJ943" s="17" t="s">
        <v>10126</v>
      </c>
      <c r="BK943" s="17"/>
      <c r="BL943" s="17"/>
      <c r="BM943" s="17"/>
      <c r="BN943" s="17"/>
      <c r="BO943" s="17" t="s">
        <v>10174</v>
      </c>
      <c r="BP943" s="17" t="s">
        <v>246</v>
      </c>
      <c r="BQ943" s="17"/>
      <c r="BR943" s="17" t="s">
        <v>10138</v>
      </c>
      <c r="BS943" s="17" t="s">
        <v>127</v>
      </c>
      <c r="BT943" s="17"/>
      <c r="BU943" s="17" t="s">
        <v>129</v>
      </c>
      <c r="BV943" s="17"/>
      <c r="BW943" s="17"/>
      <c r="BX943" s="13" t="s">
        <v>10175</v>
      </c>
      <c r="DA943" s="13" t="s">
        <v>10348</v>
      </c>
      <c r="DB943" s="13" t="s">
        <v>10348</v>
      </c>
    </row>
    <row r="944" spans="1:106" s="13" customFormat="1" ht="12.75" customHeight="1" x14ac:dyDescent="0.2">
      <c r="A944" s="13" t="s">
        <v>102</v>
      </c>
      <c r="B944" s="13" t="s">
        <v>103</v>
      </c>
      <c r="D944" s="13" t="s">
        <v>8957</v>
      </c>
      <c r="E944" s="13" t="s">
        <v>9080</v>
      </c>
      <c r="F944" s="13" t="s">
        <v>8957</v>
      </c>
      <c r="H944" s="13" t="s">
        <v>820</v>
      </c>
      <c r="J944" s="13" t="s">
        <v>106</v>
      </c>
      <c r="W944" s="13">
        <v>944</v>
      </c>
      <c r="X944" s="13">
        <v>944</v>
      </c>
      <c r="Y944" s="13" t="s">
        <v>8959</v>
      </c>
      <c r="Z944" s="13" t="s">
        <v>8960</v>
      </c>
      <c r="AA944" s="13" t="s">
        <v>8961</v>
      </c>
      <c r="AB944" s="13" t="s">
        <v>10176</v>
      </c>
      <c r="AC944" s="13" t="s">
        <v>10176</v>
      </c>
      <c r="AD944" s="13" t="s">
        <v>10176</v>
      </c>
      <c r="AE944" s="13" t="s">
        <v>8964</v>
      </c>
      <c r="AF944" s="13" t="s">
        <v>10176</v>
      </c>
      <c r="AG944" s="13" t="s">
        <v>10176</v>
      </c>
      <c r="AH944" s="13" t="s">
        <v>10177</v>
      </c>
      <c r="AL944" s="13" t="s">
        <v>10178</v>
      </c>
      <c r="AN944" s="13">
        <v>3406</v>
      </c>
      <c r="AO944" s="13" t="s">
        <v>10179</v>
      </c>
      <c r="AV944" s="13" t="s">
        <v>9780</v>
      </c>
      <c r="AY944" s="13" t="s">
        <v>10180</v>
      </c>
      <c r="AZ944" s="13" t="s">
        <v>10181</v>
      </c>
      <c r="BA944" s="13" t="s">
        <v>10181</v>
      </c>
      <c r="BB944" s="17" t="s">
        <v>10182</v>
      </c>
      <c r="BC944" s="17" t="s">
        <v>10183</v>
      </c>
      <c r="BD944" s="13">
        <f t="shared" si="33"/>
        <v>57</v>
      </c>
      <c r="BE944" s="17" t="s">
        <v>9351</v>
      </c>
      <c r="BF944" s="17" t="s">
        <v>9785</v>
      </c>
      <c r="BG944" s="17" t="s">
        <v>10125</v>
      </c>
      <c r="BH944" s="17">
        <v>2</v>
      </c>
      <c r="BI944" s="17"/>
      <c r="BJ944" s="17" t="s">
        <v>10126</v>
      </c>
      <c r="BK944" s="17"/>
      <c r="BL944" s="17"/>
      <c r="BM944" s="17"/>
      <c r="BN944" s="17"/>
      <c r="BO944" s="17" t="s">
        <v>10174</v>
      </c>
      <c r="BP944" s="17" t="s">
        <v>246</v>
      </c>
      <c r="BQ944" s="17"/>
      <c r="BR944" s="17" t="s">
        <v>144</v>
      </c>
      <c r="BS944" s="17" t="s">
        <v>127</v>
      </c>
      <c r="BT944" s="17"/>
      <c r="BU944" s="17" t="s">
        <v>129</v>
      </c>
      <c r="BV944" s="17"/>
      <c r="BW944" s="17"/>
      <c r="BX944" s="13" t="s">
        <v>10184</v>
      </c>
      <c r="DA944" s="13" t="s">
        <v>10348</v>
      </c>
      <c r="DB944" s="13" t="s">
        <v>10348</v>
      </c>
    </row>
    <row r="945" spans="1:106" s="13" customFormat="1" ht="12.75" customHeight="1" x14ac:dyDescent="0.2">
      <c r="A945" s="13" t="s">
        <v>102</v>
      </c>
      <c r="B945" s="13" t="s">
        <v>103</v>
      </c>
      <c r="D945" s="13" t="s">
        <v>8957</v>
      </c>
      <c r="E945" s="13" t="s">
        <v>9080</v>
      </c>
      <c r="F945" s="13" t="s">
        <v>8957</v>
      </c>
      <c r="H945" s="13" t="s">
        <v>820</v>
      </c>
      <c r="J945" s="13" t="s">
        <v>106</v>
      </c>
      <c r="W945" s="13">
        <v>945</v>
      </c>
      <c r="X945" s="13">
        <v>945</v>
      </c>
      <c r="Y945" s="13" t="s">
        <v>8959</v>
      </c>
      <c r="Z945" s="13" t="s">
        <v>8960</v>
      </c>
      <c r="AA945" s="13" t="s">
        <v>8961</v>
      </c>
      <c r="AB945" s="13" t="s">
        <v>10185</v>
      </c>
      <c r="AC945" s="13" t="s">
        <v>10185</v>
      </c>
      <c r="AD945" s="13" t="s">
        <v>10185</v>
      </c>
      <c r="AE945" s="13" t="s">
        <v>8964</v>
      </c>
      <c r="AF945" s="13" t="s">
        <v>10185</v>
      </c>
      <c r="AG945" s="13" t="s">
        <v>10185</v>
      </c>
      <c r="AH945" s="13" t="s">
        <v>10186</v>
      </c>
      <c r="AL945" s="13" t="s">
        <v>10187</v>
      </c>
      <c r="AN945" s="13">
        <v>3406</v>
      </c>
      <c r="AO945" s="13" t="s">
        <v>10188</v>
      </c>
      <c r="AV945" s="13" t="s">
        <v>9780</v>
      </c>
      <c r="AY945" s="13" t="s">
        <v>10170</v>
      </c>
      <c r="AZ945" s="13" t="s">
        <v>10189</v>
      </c>
      <c r="BA945" s="13" t="s">
        <v>10189</v>
      </c>
      <c r="BB945" s="17" t="s">
        <v>10190</v>
      </c>
      <c r="BC945" s="17" t="s">
        <v>10191</v>
      </c>
      <c r="BD945" s="13">
        <f t="shared" si="33"/>
        <v>56</v>
      </c>
      <c r="BE945" s="17" t="s">
        <v>9351</v>
      </c>
      <c r="BF945" s="17" t="s">
        <v>9785</v>
      </c>
      <c r="BG945" s="17" t="s">
        <v>10125</v>
      </c>
      <c r="BH945" s="17">
        <v>2</v>
      </c>
      <c r="BI945" s="17"/>
      <c r="BJ945" s="17" t="s">
        <v>10126</v>
      </c>
      <c r="BK945" s="17"/>
      <c r="BL945" s="17"/>
      <c r="BM945" s="17"/>
      <c r="BN945" s="17"/>
      <c r="BO945" s="17" t="s">
        <v>10192</v>
      </c>
      <c r="BP945" s="17" t="s">
        <v>246</v>
      </c>
      <c r="BQ945" s="17"/>
      <c r="BR945" s="17" t="s">
        <v>10193</v>
      </c>
      <c r="BS945" s="17" t="s">
        <v>127</v>
      </c>
      <c r="BT945" s="17"/>
      <c r="BU945" s="17" t="s">
        <v>129</v>
      </c>
      <c r="BV945" s="17"/>
      <c r="BW945" s="17"/>
      <c r="BX945" s="13" t="s">
        <v>10194</v>
      </c>
      <c r="DA945" s="13" t="s">
        <v>10348</v>
      </c>
      <c r="DB945" s="13" t="s">
        <v>10348</v>
      </c>
    </row>
    <row r="946" spans="1:106" s="13" customFormat="1" ht="12.75" customHeight="1" x14ac:dyDescent="0.2">
      <c r="A946" s="13" t="s">
        <v>102</v>
      </c>
      <c r="B946" s="13" t="s">
        <v>103</v>
      </c>
      <c r="D946" s="13" t="s">
        <v>8957</v>
      </c>
      <c r="E946" s="13" t="s">
        <v>9080</v>
      </c>
      <c r="F946" s="13" t="s">
        <v>8957</v>
      </c>
      <c r="H946" s="13" t="s">
        <v>820</v>
      </c>
      <c r="J946" s="13" t="s">
        <v>106</v>
      </c>
      <c r="W946" s="13">
        <v>946</v>
      </c>
      <c r="X946" s="13">
        <v>946</v>
      </c>
      <c r="Y946" s="13" t="s">
        <v>8959</v>
      </c>
      <c r="Z946" s="13" t="s">
        <v>8960</v>
      </c>
      <c r="AA946" s="13" t="s">
        <v>8961</v>
      </c>
      <c r="AB946" s="13" t="s">
        <v>10195</v>
      </c>
      <c r="AC946" s="13" t="s">
        <v>10195</v>
      </c>
      <c r="AD946" s="13" t="s">
        <v>10195</v>
      </c>
      <c r="AE946" s="13" t="s">
        <v>8964</v>
      </c>
      <c r="AF946" s="13" t="s">
        <v>10195</v>
      </c>
      <c r="AG946" s="13" t="s">
        <v>10195</v>
      </c>
      <c r="AH946" s="13" t="s">
        <v>10196</v>
      </c>
      <c r="AL946" s="13" t="s">
        <v>10197</v>
      </c>
      <c r="AN946" s="13">
        <v>3406</v>
      </c>
      <c r="AO946" s="13" t="s">
        <v>10198</v>
      </c>
      <c r="AV946" s="13" t="s">
        <v>9780</v>
      </c>
      <c r="AY946" s="13" t="s">
        <v>10180</v>
      </c>
      <c r="AZ946" s="13" t="s">
        <v>10199</v>
      </c>
      <c r="BA946" s="13" t="s">
        <v>10199</v>
      </c>
      <c r="BB946" s="17" t="s">
        <v>10200</v>
      </c>
      <c r="BC946" s="17" t="s">
        <v>10201</v>
      </c>
      <c r="BD946" s="13">
        <f t="shared" si="33"/>
        <v>56</v>
      </c>
      <c r="BE946" s="17" t="s">
        <v>9351</v>
      </c>
      <c r="BF946" s="17" t="s">
        <v>9785</v>
      </c>
      <c r="BG946" s="17" t="s">
        <v>10125</v>
      </c>
      <c r="BH946" s="17">
        <v>2</v>
      </c>
      <c r="BI946" s="17"/>
      <c r="BJ946" s="17" t="s">
        <v>10126</v>
      </c>
      <c r="BK946" s="17"/>
      <c r="BL946" s="17"/>
      <c r="BM946" s="17"/>
      <c r="BN946" s="17"/>
      <c r="BO946" s="17" t="s">
        <v>10202</v>
      </c>
      <c r="BP946" s="17" t="s">
        <v>246</v>
      </c>
      <c r="BQ946" s="17"/>
      <c r="BR946" s="17" t="s">
        <v>144</v>
      </c>
      <c r="BS946" s="17" t="s">
        <v>127</v>
      </c>
      <c r="BT946" s="17"/>
      <c r="BU946" s="17" t="s">
        <v>129</v>
      </c>
      <c r="BV946" s="17"/>
      <c r="BW946" s="17"/>
      <c r="BX946" s="13" t="s">
        <v>10203</v>
      </c>
      <c r="DA946" s="13" t="s">
        <v>10348</v>
      </c>
      <c r="DB946" s="13" t="s">
        <v>10348</v>
      </c>
    </row>
    <row r="947" spans="1:106" s="13" customFormat="1" ht="12.75" customHeight="1" x14ac:dyDescent="0.2">
      <c r="A947" s="13" t="s">
        <v>102</v>
      </c>
      <c r="B947" s="13" t="s">
        <v>103</v>
      </c>
      <c r="D947" s="13" t="s">
        <v>8957</v>
      </c>
      <c r="E947" s="13" t="s">
        <v>9080</v>
      </c>
      <c r="F947" s="13" t="s">
        <v>8957</v>
      </c>
      <c r="H947" s="13" t="s">
        <v>820</v>
      </c>
      <c r="J947" s="13" t="s">
        <v>106</v>
      </c>
      <c r="W947" s="13">
        <v>947</v>
      </c>
      <c r="X947" s="13">
        <v>947</v>
      </c>
      <c r="Y947" s="13" t="s">
        <v>8959</v>
      </c>
      <c r="Z947" s="13" t="s">
        <v>8960</v>
      </c>
      <c r="AA947" s="13" t="s">
        <v>8961</v>
      </c>
      <c r="AB947" s="13" t="s">
        <v>10204</v>
      </c>
      <c r="AC947" s="13" t="s">
        <v>10204</v>
      </c>
      <c r="AD947" s="13" t="s">
        <v>10204</v>
      </c>
      <c r="AE947" s="13" t="s">
        <v>8964</v>
      </c>
      <c r="AF947" s="13" t="s">
        <v>10204</v>
      </c>
      <c r="AG947" s="13" t="s">
        <v>10204</v>
      </c>
      <c r="AH947" s="13" t="s">
        <v>10205</v>
      </c>
      <c r="AL947" s="13" t="s">
        <v>10206</v>
      </c>
      <c r="AN947" s="13">
        <v>3406</v>
      </c>
      <c r="AO947" s="13" t="s">
        <v>10207</v>
      </c>
      <c r="AV947" s="13" t="s">
        <v>9780</v>
      </c>
      <c r="AY947" s="13" t="s">
        <v>10208</v>
      </c>
      <c r="AZ947" s="13" t="s">
        <v>10209</v>
      </c>
      <c r="BA947" s="13" t="s">
        <v>10209</v>
      </c>
      <c r="BB947" s="17" t="s">
        <v>10210</v>
      </c>
      <c r="BC947" s="17" t="s">
        <v>10210</v>
      </c>
      <c r="BD947" s="13">
        <f t="shared" si="33"/>
        <v>57</v>
      </c>
      <c r="BE947" s="17" t="s">
        <v>9351</v>
      </c>
      <c r="BF947" s="17" t="s">
        <v>9785</v>
      </c>
      <c r="BG947" s="17" t="s">
        <v>10125</v>
      </c>
      <c r="BH947" s="17">
        <v>6</v>
      </c>
      <c r="BI947" s="17"/>
      <c r="BJ947" s="17" t="s">
        <v>1444</v>
      </c>
      <c r="BK947" s="17"/>
      <c r="BL947" s="17"/>
      <c r="BM947" s="17"/>
      <c r="BN947" s="17"/>
      <c r="BO947" s="17"/>
      <c r="BP947" s="17" t="s">
        <v>10211</v>
      </c>
      <c r="BQ947" s="17"/>
      <c r="BR947" s="17" t="s">
        <v>144</v>
      </c>
      <c r="BS947" s="17"/>
      <c r="BT947" s="17"/>
      <c r="BU947" s="17"/>
      <c r="BV947" s="17"/>
      <c r="BW947" s="17"/>
      <c r="BX947" s="13" t="s">
        <v>10212</v>
      </c>
      <c r="DA947" s="13" t="s">
        <v>10348</v>
      </c>
      <c r="DB947" s="13" t="s">
        <v>10348</v>
      </c>
    </row>
    <row r="948" spans="1:106" s="13" customFormat="1" ht="12.75" customHeight="1" x14ac:dyDescent="0.2">
      <c r="A948" s="13" t="s">
        <v>102</v>
      </c>
      <c r="B948" s="13" t="s">
        <v>103</v>
      </c>
      <c r="D948" s="13" t="s">
        <v>8957</v>
      </c>
      <c r="E948" s="13" t="s">
        <v>9080</v>
      </c>
      <c r="F948" s="13" t="s">
        <v>8957</v>
      </c>
      <c r="H948" s="13" t="s">
        <v>820</v>
      </c>
      <c r="J948" s="13" t="s">
        <v>106</v>
      </c>
      <c r="W948" s="13">
        <v>948</v>
      </c>
      <c r="X948" s="13">
        <v>948</v>
      </c>
      <c r="Y948" s="13" t="s">
        <v>8959</v>
      </c>
      <c r="Z948" s="13" t="s">
        <v>8960</v>
      </c>
      <c r="AA948" s="13" t="s">
        <v>8961</v>
      </c>
      <c r="AB948" s="13" t="s">
        <v>10213</v>
      </c>
      <c r="AC948" s="13" t="s">
        <v>10213</v>
      </c>
      <c r="AD948" s="13" t="s">
        <v>10213</v>
      </c>
      <c r="AE948" s="13" t="s">
        <v>8964</v>
      </c>
      <c r="AF948" s="13" t="s">
        <v>10213</v>
      </c>
      <c r="AG948" s="13" t="s">
        <v>10213</v>
      </c>
      <c r="AH948" s="13" t="s">
        <v>10214</v>
      </c>
      <c r="AL948" s="13" t="s">
        <v>10215</v>
      </c>
      <c r="AN948" s="13">
        <v>3406</v>
      </c>
      <c r="AO948" s="13" t="s">
        <v>10216</v>
      </c>
      <c r="AQ948" s="13" t="s">
        <v>10213</v>
      </c>
      <c r="AR948" s="13" t="s">
        <v>10213</v>
      </c>
      <c r="AS948" s="13" t="s">
        <v>8968</v>
      </c>
      <c r="AT948" s="13" t="s">
        <v>10217</v>
      </c>
      <c r="AU948" s="13" t="s">
        <v>10218</v>
      </c>
      <c r="AV948" s="13" t="s">
        <v>9188</v>
      </c>
      <c r="AY948" s="38" t="s">
        <v>10219</v>
      </c>
      <c r="AZ948" s="13" t="s">
        <v>10220</v>
      </c>
      <c r="BA948" s="13" t="s">
        <v>10220</v>
      </c>
      <c r="BB948" s="17" t="s">
        <v>10221</v>
      </c>
      <c r="BC948" s="17" t="s">
        <v>10221</v>
      </c>
      <c r="BD948" s="13">
        <f t="shared" si="33"/>
        <v>40</v>
      </c>
      <c r="BE948" s="17" t="s">
        <v>1637</v>
      </c>
      <c r="BF948" s="17" t="s">
        <v>9193</v>
      </c>
      <c r="BG948" s="17"/>
      <c r="BH948" s="17"/>
      <c r="BI948" s="17"/>
      <c r="BJ948" s="17"/>
      <c r="BK948" s="17"/>
      <c r="BL948" s="17"/>
      <c r="BM948" s="17"/>
      <c r="BN948" s="17"/>
      <c r="BO948" s="17" t="s">
        <v>10222</v>
      </c>
      <c r="BP948" s="17"/>
      <c r="BQ948" s="17"/>
      <c r="BR948" s="17"/>
      <c r="BS948" s="17" t="s">
        <v>127</v>
      </c>
      <c r="BT948" s="17" t="s">
        <v>10218</v>
      </c>
      <c r="BU948" s="17" t="s">
        <v>129</v>
      </c>
      <c r="BV948" s="17"/>
      <c r="BW948" s="17"/>
      <c r="BX948" s="13" t="s">
        <v>10223</v>
      </c>
      <c r="DA948" s="13" t="s">
        <v>10348</v>
      </c>
      <c r="DB948" s="13" t="s">
        <v>10348</v>
      </c>
    </row>
    <row r="949" spans="1:106" s="13" customFormat="1" ht="12.75" customHeight="1" x14ac:dyDescent="0.2">
      <c r="A949" s="13" t="s">
        <v>102</v>
      </c>
      <c r="B949" s="13" t="s">
        <v>103</v>
      </c>
      <c r="D949" s="13" t="s">
        <v>8957</v>
      </c>
      <c r="E949" s="13" t="s">
        <v>9080</v>
      </c>
      <c r="F949" s="13" t="s">
        <v>8957</v>
      </c>
      <c r="H949" s="13" t="s">
        <v>820</v>
      </c>
      <c r="J949" s="13" t="s">
        <v>106</v>
      </c>
      <c r="W949" s="13">
        <v>949</v>
      </c>
      <c r="X949" s="13">
        <v>949</v>
      </c>
      <c r="Y949" s="13" t="s">
        <v>8959</v>
      </c>
      <c r="Z949" s="13" t="s">
        <v>8960</v>
      </c>
      <c r="AA949" s="13" t="s">
        <v>8961</v>
      </c>
      <c r="AB949" s="13" t="s">
        <v>10224</v>
      </c>
      <c r="AC949" s="13" t="s">
        <v>10224</v>
      </c>
      <c r="AD949" s="13" t="s">
        <v>10224</v>
      </c>
      <c r="AE949" s="13" t="s">
        <v>8964</v>
      </c>
      <c r="AF949" s="13" t="s">
        <v>10224</v>
      </c>
      <c r="AG949" s="13" t="s">
        <v>10224</v>
      </c>
      <c r="AH949" s="13" t="s">
        <v>10225</v>
      </c>
      <c r="AL949" s="13" t="s">
        <v>10226</v>
      </c>
      <c r="AN949" s="13">
        <v>3406</v>
      </c>
      <c r="AO949" s="13" t="s">
        <v>10227</v>
      </c>
      <c r="AQ949" s="13" t="s">
        <v>10224</v>
      </c>
      <c r="AR949" s="13" t="s">
        <v>10224</v>
      </c>
      <c r="AS949" s="13" t="s">
        <v>8968</v>
      </c>
      <c r="AT949" s="13" t="s">
        <v>10228</v>
      </c>
      <c r="AU949" s="13" t="s">
        <v>10218</v>
      </c>
      <c r="AV949" s="13" t="s">
        <v>9188</v>
      </c>
      <c r="AY949" s="13" t="s">
        <v>10229</v>
      </c>
      <c r="AZ949" s="13" t="s">
        <v>10230</v>
      </c>
      <c r="BA949" s="13" t="s">
        <v>10230</v>
      </c>
      <c r="BB949" s="17" t="s">
        <v>10231</v>
      </c>
      <c r="BC949" s="17" t="s">
        <v>10231</v>
      </c>
      <c r="BD949" s="13">
        <f t="shared" ref="BD949:BD980" si="34">LEN(SUBSTITUTE(BC949,", "," "))</f>
        <v>48</v>
      </c>
      <c r="BE949" s="17" t="s">
        <v>1637</v>
      </c>
      <c r="BF949" s="17" t="s">
        <v>9193</v>
      </c>
      <c r="BG949" s="17"/>
      <c r="BH949" s="17"/>
      <c r="BI949" s="17"/>
      <c r="BJ949" s="17"/>
      <c r="BK949" s="17"/>
      <c r="BL949" s="17"/>
      <c r="BM949" s="17"/>
      <c r="BN949" s="17"/>
      <c r="BO949" s="17" t="s">
        <v>10232</v>
      </c>
      <c r="BP949" s="17"/>
      <c r="BQ949" s="17"/>
      <c r="BR949" s="17"/>
      <c r="BS949" s="17" t="s">
        <v>127</v>
      </c>
      <c r="BT949" s="17" t="s">
        <v>10218</v>
      </c>
      <c r="BU949" s="17" t="s">
        <v>129</v>
      </c>
      <c r="BV949" s="17"/>
      <c r="BW949" s="17"/>
      <c r="BX949" s="13" t="s">
        <v>10233</v>
      </c>
      <c r="DA949" s="13" t="s">
        <v>10348</v>
      </c>
      <c r="DB949" s="13" t="s">
        <v>10348</v>
      </c>
    </row>
    <row r="950" spans="1:106" s="13" customFormat="1" ht="12.75" customHeight="1" x14ac:dyDescent="0.2">
      <c r="A950" s="13" t="s">
        <v>102</v>
      </c>
      <c r="B950" s="13" t="s">
        <v>103</v>
      </c>
      <c r="D950" s="13" t="s">
        <v>8957</v>
      </c>
      <c r="E950" s="13" t="s">
        <v>9080</v>
      </c>
      <c r="F950" s="13" t="s">
        <v>8957</v>
      </c>
      <c r="H950" s="13" t="s">
        <v>820</v>
      </c>
      <c r="J950" s="13" t="s">
        <v>106</v>
      </c>
      <c r="W950" s="13">
        <v>950</v>
      </c>
      <c r="X950" s="13">
        <v>950</v>
      </c>
      <c r="Y950" s="13" t="s">
        <v>8959</v>
      </c>
      <c r="Z950" s="13" t="s">
        <v>8960</v>
      </c>
      <c r="AA950" s="13" t="s">
        <v>8961</v>
      </c>
      <c r="AB950" s="13" t="s">
        <v>10234</v>
      </c>
      <c r="AC950" s="13" t="s">
        <v>10234</v>
      </c>
      <c r="AD950" s="13" t="s">
        <v>10234</v>
      </c>
      <c r="AE950" s="13" t="s">
        <v>8964</v>
      </c>
      <c r="AF950" s="13" t="s">
        <v>10234</v>
      </c>
      <c r="AG950" s="13" t="s">
        <v>10234</v>
      </c>
      <c r="AH950" s="13" t="s">
        <v>10235</v>
      </c>
      <c r="AL950" s="13" t="s">
        <v>10236</v>
      </c>
      <c r="AN950" s="13">
        <v>3406</v>
      </c>
      <c r="AO950" s="13" t="s">
        <v>10237</v>
      </c>
      <c r="AQ950" s="13" t="s">
        <v>10234</v>
      </c>
      <c r="AR950" s="13" t="s">
        <v>10234</v>
      </c>
      <c r="AS950" s="13" t="s">
        <v>8968</v>
      </c>
      <c r="AT950" s="13" t="s">
        <v>10238</v>
      </c>
      <c r="AU950" s="13" t="s">
        <v>10239</v>
      </c>
      <c r="AV950" s="13" t="s">
        <v>10240</v>
      </c>
      <c r="AY950" s="13" t="s">
        <v>10241</v>
      </c>
      <c r="AZ950" s="13" t="s">
        <v>10242</v>
      </c>
      <c r="BA950" s="13" t="s">
        <v>10242</v>
      </c>
      <c r="BB950" s="17" t="s">
        <v>10243</v>
      </c>
      <c r="BC950" s="17" t="s">
        <v>10244</v>
      </c>
      <c r="BD950" s="13">
        <f t="shared" si="34"/>
        <v>57</v>
      </c>
      <c r="BE950" s="17" t="s">
        <v>10245</v>
      </c>
      <c r="BF950" s="17"/>
      <c r="BG950" s="17"/>
      <c r="BH950" s="17"/>
      <c r="BI950" s="17"/>
      <c r="BJ950" s="17"/>
      <c r="BK950" s="17"/>
      <c r="BL950" s="17"/>
      <c r="BM950" s="17"/>
      <c r="BN950" s="17"/>
      <c r="BO950" s="17" t="s">
        <v>10246</v>
      </c>
      <c r="BP950" s="17"/>
      <c r="BQ950" s="17"/>
      <c r="BR950" s="17"/>
      <c r="BS950" s="17" t="s">
        <v>127</v>
      </c>
      <c r="BT950" s="17" t="s">
        <v>10239</v>
      </c>
      <c r="BU950" s="17" t="s">
        <v>129</v>
      </c>
      <c r="BV950" s="17" t="s">
        <v>130</v>
      </c>
      <c r="BW950" s="17"/>
      <c r="BX950" s="13" t="s">
        <v>10247</v>
      </c>
      <c r="DA950" s="13" t="s">
        <v>10348</v>
      </c>
      <c r="DB950" s="13" t="s">
        <v>10348</v>
      </c>
    </row>
    <row r="951" spans="1:106" s="13" customFormat="1" ht="12.75" customHeight="1" x14ac:dyDescent="0.2">
      <c r="A951" s="13" t="s">
        <v>102</v>
      </c>
      <c r="B951" s="13" t="s">
        <v>103</v>
      </c>
      <c r="D951" s="13" t="s">
        <v>8957</v>
      </c>
      <c r="E951" s="13" t="s">
        <v>9080</v>
      </c>
      <c r="F951" s="13" t="s">
        <v>8957</v>
      </c>
      <c r="H951" s="13" t="s">
        <v>820</v>
      </c>
      <c r="J951" s="13" t="s">
        <v>106</v>
      </c>
      <c r="W951" s="13">
        <v>951</v>
      </c>
      <c r="X951" s="13">
        <v>951</v>
      </c>
      <c r="Y951" s="13" t="s">
        <v>8959</v>
      </c>
      <c r="Z951" s="13" t="s">
        <v>8960</v>
      </c>
      <c r="AA951" s="13" t="s">
        <v>8961</v>
      </c>
      <c r="AB951" s="13" t="s">
        <v>10248</v>
      </c>
      <c r="AC951" s="13" t="s">
        <v>10248</v>
      </c>
      <c r="AD951" s="13" t="s">
        <v>10248</v>
      </c>
      <c r="AE951" s="13" t="s">
        <v>8964</v>
      </c>
      <c r="AF951" s="13" t="s">
        <v>10248</v>
      </c>
      <c r="AG951" s="13" t="s">
        <v>10248</v>
      </c>
      <c r="AH951" s="13" t="s">
        <v>10249</v>
      </c>
      <c r="AL951" s="13" t="s">
        <v>10250</v>
      </c>
      <c r="AN951" s="13">
        <v>3406</v>
      </c>
      <c r="AO951" s="13" t="s">
        <v>10251</v>
      </c>
      <c r="AQ951" s="13" t="s">
        <v>10248</v>
      </c>
      <c r="AR951" s="13" t="s">
        <v>10248</v>
      </c>
      <c r="AS951" s="13" t="s">
        <v>8968</v>
      </c>
      <c r="AT951" s="13" t="s">
        <v>10252</v>
      </c>
      <c r="AU951" s="13" t="s">
        <v>10218</v>
      </c>
      <c r="AV951" s="13" t="s">
        <v>9188</v>
      </c>
      <c r="AY951" s="13" t="s">
        <v>10253</v>
      </c>
      <c r="AZ951" s="13" t="s">
        <v>10254</v>
      </c>
      <c r="BA951" s="13" t="s">
        <v>10254</v>
      </c>
      <c r="BB951" s="13" t="s">
        <v>10255</v>
      </c>
      <c r="BC951" s="13" t="s">
        <v>10255</v>
      </c>
      <c r="BD951" s="13">
        <f t="shared" si="34"/>
        <v>42</v>
      </c>
      <c r="BE951" s="17" t="s">
        <v>1637</v>
      </c>
      <c r="BF951" s="17" t="s">
        <v>9193</v>
      </c>
      <c r="BG951" s="17" t="s">
        <v>10256</v>
      </c>
      <c r="BH951" s="17" t="s">
        <v>735</v>
      </c>
      <c r="BI951" s="17"/>
      <c r="BJ951" s="17"/>
      <c r="BK951" s="17"/>
      <c r="BL951" s="17"/>
      <c r="BM951" s="17"/>
      <c r="BN951" s="17"/>
      <c r="BO951" s="17" t="s">
        <v>10257</v>
      </c>
      <c r="BP951" s="17"/>
      <c r="BQ951" s="17"/>
      <c r="BR951" s="17"/>
      <c r="BS951" s="17" t="s">
        <v>127</v>
      </c>
      <c r="BT951" s="17" t="s">
        <v>10218</v>
      </c>
      <c r="BU951" s="17" t="s">
        <v>129</v>
      </c>
      <c r="BV951" s="17"/>
      <c r="BW951" s="17"/>
      <c r="BX951" s="13" t="s">
        <v>10258</v>
      </c>
      <c r="DA951" s="13" t="s">
        <v>10348</v>
      </c>
      <c r="DB951" s="13" t="s">
        <v>10348</v>
      </c>
    </row>
    <row r="952" spans="1:106" s="13" customFormat="1" ht="12.75" customHeight="1" x14ac:dyDescent="0.2">
      <c r="A952" s="13" t="s">
        <v>102</v>
      </c>
      <c r="B952" s="13" t="s">
        <v>103</v>
      </c>
      <c r="D952" s="13" t="s">
        <v>8957</v>
      </c>
      <c r="E952" s="13" t="s">
        <v>9080</v>
      </c>
      <c r="F952" s="13" t="s">
        <v>8957</v>
      </c>
      <c r="H952" s="13" t="s">
        <v>820</v>
      </c>
      <c r="J952" s="13" t="s">
        <v>106</v>
      </c>
      <c r="W952" s="13">
        <v>952</v>
      </c>
      <c r="X952" s="13">
        <v>952</v>
      </c>
      <c r="Y952" s="13" t="s">
        <v>8959</v>
      </c>
      <c r="Z952" s="13" t="s">
        <v>8960</v>
      </c>
      <c r="AA952" s="13" t="s">
        <v>8961</v>
      </c>
      <c r="AB952" s="13" t="s">
        <v>10259</v>
      </c>
      <c r="AC952" s="13" t="s">
        <v>10259</v>
      </c>
      <c r="AD952" s="13" t="s">
        <v>10259</v>
      </c>
      <c r="AE952" s="13" t="s">
        <v>8964</v>
      </c>
      <c r="AF952" s="13" t="s">
        <v>10259</v>
      </c>
      <c r="AG952" s="13" t="s">
        <v>10259</v>
      </c>
      <c r="AH952" s="13" t="s">
        <v>10260</v>
      </c>
      <c r="AL952" s="13" t="s">
        <v>10261</v>
      </c>
      <c r="AN952" s="13">
        <v>3406</v>
      </c>
      <c r="AO952" s="13" t="s">
        <v>10262</v>
      </c>
      <c r="AQ952" s="13" t="s">
        <v>10259</v>
      </c>
      <c r="AR952" s="13" t="s">
        <v>10259</v>
      </c>
      <c r="AS952" s="13" t="s">
        <v>8968</v>
      </c>
      <c r="AT952" s="13" t="s">
        <v>10263</v>
      </c>
      <c r="AU952" s="13" t="s">
        <v>10218</v>
      </c>
      <c r="AV952" s="13" t="s">
        <v>9188</v>
      </c>
      <c r="AY952" s="13" t="s">
        <v>10264</v>
      </c>
      <c r="AZ952" s="13" t="s">
        <v>10265</v>
      </c>
      <c r="BA952" s="13" t="s">
        <v>10265</v>
      </c>
      <c r="BB952" s="13" t="s">
        <v>10266</v>
      </c>
      <c r="BC952" s="13" t="s">
        <v>10266</v>
      </c>
      <c r="BD952" s="13">
        <f t="shared" si="34"/>
        <v>43</v>
      </c>
      <c r="BE952" s="17" t="s">
        <v>1637</v>
      </c>
      <c r="BF952" s="17" t="s">
        <v>9193</v>
      </c>
      <c r="BG952" s="17" t="s">
        <v>10256</v>
      </c>
      <c r="BH952" s="17" t="s">
        <v>750</v>
      </c>
      <c r="BI952" s="17"/>
      <c r="BJ952" s="17"/>
      <c r="BK952" s="17"/>
      <c r="BL952" s="17"/>
      <c r="BM952" s="17"/>
      <c r="BN952" s="17"/>
      <c r="BO952" s="17" t="s">
        <v>10257</v>
      </c>
      <c r="BP952" s="17"/>
      <c r="BQ952" s="17"/>
      <c r="BR952" s="17"/>
      <c r="BS952" s="17" t="s">
        <v>127</v>
      </c>
      <c r="BT952" s="17" t="s">
        <v>10218</v>
      </c>
      <c r="BU952" s="17" t="s">
        <v>129</v>
      </c>
      <c r="BV952" s="17"/>
      <c r="BW952" s="17"/>
      <c r="BX952" s="13" t="s">
        <v>10267</v>
      </c>
      <c r="DA952" s="13" t="s">
        <v>10348</v>
      </c>
      <c r="DB952" s="13" t="s">
        <v>10348</v>
      </c>
    </row>
    <row r="953" spans="1:106" s="13" customFormat="1" ht="12.75" customHeight="1" x14ac:dyDescent="0.2">
      <c r="A953" s="13" t="s">
        <v>102</v>
      </c>
      <c r="B953" s="13" t="s">
        <v>103</v>
      </c>
      <c r="D953" s="13" t="s">
        <v>8957</v>
      </c>
      <c r="E953" s="13" t="s">
        <v>9080</v>
      </c>
      <c r="F953" s="13" t="s">
        <v>8957</v>
      </c>
      <c r="H953" s="13" t="s">
        <v>820</v>
      </c>
      <c r="J953" s="13" t="s">
        <v>106</v>
      </c>
      <c r="W953" s="13">
        <v>953</v>
      </c>
      <c r="X953" s="13">
        <v>953</v>
      </c>
      <c r="Y953" s="13" t="s">
        <v>8959</v>
      </c>
      <c r="Z953" s="13" t="s">
        <v>8960</v>
      </c>
      <c r="AA953" s="13" t="s">
        <v>8961</v>
      </c>
      <c r="AB953" s="13" t="s">
        <v>10268</v>
      </c>
      <c r="AC953" s="13" t="s">
        <v>10268</v>
      </c>
      <c r="AD953" s="13" t="s">
        <v>10268</v>
      </c>
      <c r="AE953" s="13" t="s">
        <v>8964</v>
      </c>
      <c r="AF953" s="13" t="s">
        <v>10268</v>
      </c>
      <c r="AG953" s="13" t="s">
        <v>10268</v>
      </c>
      <c r="AH953" s="13" t="s">
        <v>10269</v>
      </c>
      <c r="AL953" s="13" t="s">
        <v>10270</v>
      </c>
      <c r="AN953" s="13">
        <v>3406</v>
      </c>
      <c r="AO953" s="13" t="s">
        <v>10271</v>
      </c>
      <c r="AQ953" s="13" t="s">
        <v>10268</v>
      </c>
      <c r="AR953" s="13" t="s">
        <v>10268</v>
      </c>
      <c r="AS953" s="13" t="s">
        <v>8968</v>
      </c>
      <c r="AT953" s="13" t="s">
        <v>10272</v>
      </c>
      <c r="AU953" s="13" t="s">
        <v>10218</v>
      </c>
      <c r="AV953" s="13" t="s">
        <v>9188</v>
      </c>
      <c r="AY953" s="13" t="s">
        <v>10273</v>
      </c>
      <c r="AZ953" s="13" t="s">
        <v>10274</v>
      </c>
      <c r="BA953" s="13" t="s">
        <v>10274</v>
      </c>
      <c r="BB953" s="13" t="s">
        <v>10275</v>
      </c>
      <c r="BC953" s="13" t="s">
        <v>10275</v>
      </c>
      <c r="BD953" s="13">
        <f t="shared" si="34"/>
        <v>42</v>
      </c>
      <c r="BE953" s="17" t="s">
        <v>1637</v>
      </c>
      <c r="BF953" s="17" t="s">
        <v>9193</v>
      </c>
      <c r="BG953" s="17" t="s">
        <v>10256</v>
      </c>
      <c r="BH953" s="17" t="s">
        <v>764</v>
      </c>
      <c r="BI953" s="17"/>
      <c r="BJ953" s="17"/>
      <c r="BK953" s="17"/>
      <c r="BL953" s="17"/>
      <c r="BM953" s="17"/>
      <c r="BN953" s="17"/>
      <c r="BO953" s="17" t="s">
        <v>10257</v>
      </c>
      <c r="BP953" s="17"/>
      <c r="BQ953" s="17"/>
      <c r="BR953" s="17"/>
      <c r="BS953" s="17" t="s">
        <v>127</v>
      </c>
      <c r="BT953" s="17" t="s">
        <v>10218</v>
      </c>
      <c r="BU953" s="17" t="s">
        <v>129</v>
      </c>
      <c r="BV953" s="17"/>
      <c r="BW953" s="17"/>
      <c r="BX953" s="13" t="s">
        <v>10276</v>
      </c>
      <c r="DA953" s="13" t="s">
        <v>10348</v>
      </c>
      <c r="DB953" s="13" t="s">
        <v>10348</v>
      </c>
    </row>
    <row r="954" spans="1:106" s="13" customFormat="1" ht="12.75" customHeight="1" x14ac:dyDescent="0.2">
      <c r="A954" s="13" t="s">
        <v>102</v>
      </c>
      <c r="B954" s="13" t="s">
        <v>103</v>
      </c>
      <c r="D954" s="13" t="s">
        <v>8957</v>
      </c>
      <c r="E954" s="13" t="s">
        <v>9080</v>
      </c>
      <c r="F954" s="13" t="s">
        <v>8957</v>
      </c>
      <c r="H954" s="13" t="s">
        <v>820</v>
      </c>
      <c r="J954" s="13" t="s">
        <v>106</v>
      </c>
      <c r="W954" s="13">
        <v>954</v>
      </c>
      <c r="X954" s="13">
        <v>954</v>
      </c>
      <c r="Y954" s="13" t="s">
        <v>8959</v>
      </c>
      <c r="Z954" s="13" t="s">
        <v>8960</v>
      </c>
      <c r="AA954" s="13" t="s">
        <v>8961</v>
      </c>
      <c r="AB954" s="13" t="s">
        <v>10277</v>
      </c>
      <c r="AC954" s="13" t="s">
        <v>10277</v>
      </c>
      <c r="AD954" s="13" t="s">
        <v>10277</v>
      </c>
      <c r="AE954" s="13" t="s">
        <v>8964</v>
      </c>
      <c r="AF954" s="13" t="s">
        <v>10277</v>
      </c>
      <c r="AG954" s="13" t="s">
        <v>10277</v>
      </c>
      <c r="AH954" s="13" t="s">
        <v>10278</v>
      </c>
      <c r="AL954" s="13" t="s">
        <v>10279</v>
      </c>
      <c r="AN954" s="13">
        <v>3406</v>
      </c>
      <c r="AO954" s="13" t="s">
        <v>10280</v>
      </c>
      <c r="AQ954" s="13" t="s">
        <v>10277</v>
      </c>
      <c r="AR954" s="13" t="s">
        <v>10277</v>
      </c>
      <c r="AS954" s="13" t="s">
        <v>8968</v>
      </c>
      <c r="AT954" s="13" t="s">
        <v>10281</v>
      </c>
      <c r="AU954" s="13" t="s">
        <v>10282</v>
      </c>
      <c r="AV954" s="13" t="s">
        <v>10283</v>
      </c>
      <c r="AY954" s="13" t="s">
        <v>10281</v>
      </c>
      <c r="AZ954" s="13" t="s">
        <v>10284</v>
      </c>
      <c r="BA954" s="13" t="s">
        <v>10284</v>
      </c>
      <c r="BB954" s="13" t="s">
        <v>10285</v>
      </c>
      <c r="BC954" s="13" t="s">
        <v>10285</v>
      </c>
      <c r="BD954" s="13">
        <f t="shared" si="34"/>
        <v>39</v>
      </c>
      <c r="BE954" s="17" t="s">
        <v>10286</v>
      </c>
      <c r="BF954" s="17" t="s">
        <v>123</v>
      </c>
      <c r="BG954" s="17" t="s">
        <v>10071</v>
      </c>
      <c r="BH954" s="17"/>
      <c r="BI954" s="17"/>
      <c r="BJ954" s="17"/>
      <c r="BK954" s="17"/>
      <c r="BL954" s="17"/>
      <c r="BM954" s="17"/>
      <c r="BN954" s="17"/>
      <c r="BO954" s="17" t="s">
        <v>10287</v>
      </c>
      <c r="BP954" s="17"/>
      <c r="BQ954" s="17"/>
      <c r="BR954" s="17"/>
      <c r="BS954" s="17" t="s">
        <v>127</v>
      </c>
      <c r="BT954" s="17" t="s">
        <v>10282</v>
      </c>
      <c r="BU954" s="17" t="s">
        <v>129</v>
      </c>
      <c r="BV954" s="17"/>
      <c r="BW954" s="17"/>
      <c r="BX954" s="13" t="s">
        <v>10288</v>
      </c>
      <c r="DA954" s="13" t="s">
        <v>10348</v>
      </c>
      <c r="DB954" s="13" t="s">
        <v>10348</v>
      </c>
    </row>
    <row r="955" spans="1:106" s="13" customFormat="1" ht="12.75" customHeight="1" x14ac:dyDescent="0.2">
      <c r="A955" s="13" t="s">
        <v>102</v>
      </c>
      <c r="B955" s="13" t="s">
        <v>103</v>
      </c>
      <c r="D955" s="13" t="s">
        <v>8957</v>
      </c>
      <c r="E955" s="13" t="s">
        <v>9080</v>
      </c>
      <c r="F955" s="13" t="s">
        <v>8957</v>
      </c>
      <c r="H955" s="13" t="s">
        <v>820</v>
      </c>
      <c r="J955" s="13" t="s">
        <v>106</v>
      </c>
      <c r="W955" s="13">
        <v>955</v>
      </c>
      <c r="X955" s="13">
        <v>955</v>
      </c>
      <c r="Y955" s="13" t="s">
        <v>8959</v>
      </c>
      <c r="Z955" s="13" t="s">
        <v>8960</v>
      </c>
      <c r="AA955" s="13" t="s">
        <v>8961</v>
      </c>
      <c r="AB955" s="13" t="s">
        <v>10289</v>
      </c>
      <c r="AC955" s="13" t="s">
        <v>10289</v>
      </c>
      <c r="AD955" s="13" t="s">
        <v>10289</v>
      </c>
      <c r="AE955" s="13" t="s">
        <v>8964</v>
      </c>
      <c r="AF955" s="13" t="s">
        <v>10289</v>
      </c>
      <c r="AG955" s="13" t="s">
        <v>10289</v>
      </c>
      <c r="AH955" s="13" t="s">
        <v>10290</v>
      </c>
      <c r="AL955" s="13" t="s">
        <v>10291</v>
      </c>
      <c r="AN955" s="13">
        <v>3406</v>
      </c>
      <c r="AO955" s="13" t="s">
        <v>10292</v>
      </c>
      <c r="AQ955" s="13" t="s">
        <v>10289</v>
      </c>
      <c r="AR955" s="13" t="s">
        <v>10289</v>
      </c>
      <c r="AS955" s="13" t="s">
        <v>8968</v>
      </c>
      <c r="AT955" s="13" t="s">
        <v>10293</v>
      </c>
      <c r="AU955" s="13" t="s">
        <v>10282</v>
      </c>
      <c r="AV955" s="13" t="s">
        <v>10283</v>
      </c>
      <c r="AY955" s="13" t="s">
        <v>10293</v>
      </c>
      <c r="AZ955" s="13" t="s">
        <v>10294</v>
      </c>
      <c r="BA955" s="13" t="s">
        <v>10294</v>
      </c>
      <c r="BB955" s="13" t="s">
        <v>10295</v>
      </c>
      <c r="BC955" s="13" t="s">
        <v>10295</v>
      </c>
      <c r="BD955" s="13">
        <f t="shared" si="34"/>
        <v>43</v>
      </c>
      <c r="BE955" s="17" t="s">
        <v>10286</v>
      </c>
      <c r="BF955" s="17" t="s">
        <v>123</v>
      </c>
      <c r="BG955" s="17" t="s">
        <v>10071</v>
      </c>
      <c r="BH955" s="17"/>
      <c r="BI955" s="17"/>
      <c r="BJ955" s="17"/>
      <c r="BK955" s="17"/>
      <c r="BL955" s="17"/>
      <c r="BM955" s="17"/>
      <c r="BN955" s="17"/>
      <c r="BO955" s="17" t="s">
        <v>10296</v>
      </c>
      <c r="BP955" s="17"/>
      <c r="BQ955" s="17"/>
      <c r="BR955" s="17"/>
      <c r="BS955" s="17" t="s">
        <v>127</v>
      </c>
      <c r="BT955" s="17" t="s">
        <v>10282</v>
      </c>
      <c r="BU955" s="17" t="s">
        <v>129</v>
      </c>
      <c r="BV955" s="17"/>
      <c r="BW955" s="17"/>
      <c r="BX955" s="13" t="s">
        <v>10297</v>
      </c>
      <c r="DA955" s="13" t="s">
        <v>10348</v>
      </c>
      <c r="DB955" s="13" t="s">
        <v>10348</v>
      </c>
    </row>
    <row r="956" spans="1:106" s="13" customFormat="1" ht="12.75" customHeight="1" x14ac:dyDescent="0.2">
      <c r="A956" s="13" t="s">
        <v>102</v>
      </c>
      <c r="B956" s="13" t="s">
        <v>103</v>
      </c>
      <c r="D956" s="13" t="s">
        <v>8957</v>
      </c>
      <c r="E956" s="13" t="s">
        <v>8958</v>
      </c>
      <c r="F956" s="13" t="s">
        <v>8957</v>
      </c>
      <c r="H956" s="13" t="s">
        <v>820</v>
      </c>
      <c r="J956" s="13" t="s">
        <v>106</v>
      </c>
      <c r="W956" s="13">
        <v>956</v>
      </c>
      <c r="X956" s="13">
        <v>956</v>
      </c>
      <c r="Y956" s="13" t="s">
        <v>8959</v>
      </c>
      <c r="Z956" s="13" t="s">
        <v>8960</v>
      </c>
      <c r="AA956" s="13" t="s">
        <v>8961</v>
      </c>
      <c r="AB956" s="13" t="s">
        <v>10298</v>
      </c>
      <c r="AC956" s="13" t="s">
        <v>10298</v>
      </c>
      <c r="AD956" s="13" t="s">
        <v>10298</v>
      </c>
      <c r="AE956" s="13" t="s">
        <v>8964</v>
      </c>
      <c r="AF956" s="13" t="s">
        <v>10298</v>
      </c>
      <c r="AG956" s="13" t="s">
        <v>10298</v>
      </c>
      <c r="AH956" s="13" t="s">
        <v>10299</v>
      </c>
      <c r="AL956" s="13" t="s">
        <v>10300</v>
      </c>
      <c r="AN956" s="13">
        <v>3406</v>
      </c>
      <c r="AO956" s="13" t="s">
        <v>10301</v>
      </c>
      <c r="AV956" s="13" t="s">
        <v>10024</v>
      </c>
      <c r="AY956" s="13" t="s">
        <v>10302</v>
      </c>
      <c r="AZ956" s="13" t="s">
        <v>10303</v>
      </c>
      <c r="BA956" s="13" t="s">
        <v>10303</v>
      </c>
      <c r="BB956" s="17" t="s">
        <v>10304</v>
      </c>
      <c r="BC956" s="17" t="s">
        <v>10304</v>
      </c>
      <c r="BD956" s="13">
        <f t="shared" si="34"/>
        <v>23</v>
      </c>
      <c r="BE956" s="17" t="s">
        <v>9276</v>
      </c>
      <c r="BF956" s="17" t="s">
        <v>123</v>
      </c>
      <c r="BG956" s="17"/>
      <c r="BH956" s="17"/>
      <c r="BI956" s="17"/>
      <c r="BJ956" s="17" t="s">
        <v>1004</v>
      </c>
      <c r="BK956" s="17"/>
      <c r="BL956" s="17"/>
      <c r="BM956" s="17"/>
      <c r="BN956" s="17"/>
      <c r="BO956" s="17"/>
      <c r="BP956" s="17"/>
      <c r="BQ956" s="17"/>
      <c r="BR956" s="17"/>
      <c r="BS956" s="17"/>
      <c r="BT956" s="17" t="s">
        <v>10305</v>
      </c>
      <c r="BU956" s="17"/>
      <c r="BV956" s="17"/>
      <c r="BW956" s="17"/>
      <c r="BX956" s="13" t="s">
        <v>10306</v>
      </c>
      <c r="BY956" s="13" t="s">
        <v>10307</v>
      </c>
      <c r="DA956" s="13" t="s">
        <v>10348</v>
      </c>
      <c r="DB956" s="13" t="s">
        <v>10348</v>
      </c>
    </row>
    <row r="957" spans="1:106" s="13" customFormat="1" ht="12.75" customHeight="1" x14ac:dyDescent="0.2">
      <c r="A957" s="13" t="s">
        <v>102</v>
      </c>
      <c r="B957" s="13" t="s">
        <v>103</v>
      </c>
      <c r="D957" s="13" t="s">
        <v>8957</v>
      </c>
      <c r="E957" s="13" t="s">
        <v>8958</v>
      </c>
      <c r="F957" s="13" t="s">
        <v>8957</v>
      </c>
      <c r="H957" s="13" t="s">
        <v>820</v>
      </c>
      <c r="J957" s="13" t="s">
        <v>106</v>
      </c>
      <c r="W957" s="13">
        <v>957</v>
      </c>
      <c r="X957" s="13">
        <v>957</v>
      </c>
      <c r="Y957" s="13" t="s">
        <v>8959</v>
      </c>
      <c r="Z957" s="13" t="s">
        <v>8960</v>
      </c>
      <c r="AA957" s="13" t="s">
        <v>8961</v>
      </c>
      <c r="AB957" s="13" t="s">
        <v>10308</v>
      </c>
      <c r="AC957" s="13" t="s">
        <v>10308</v>
      </c>
      <c r="AD957" s="13" t="s">
        <v>10308</v>
      </c>
      <c r="AE957" s="13" t="s">
        <v>8964</v>
      </c>
      <c r="AF957" s="13" t="s">
        <v>10308</v>
      </c>
      <c r="AG957" s="13" t="s">
        <v>10308</v>
      </c>
      <c r="AH957" s="13" t="s">
        <v>10309</v>
      </c>
      <c r="AL957" s="13" t="s">
        <v>10310</v>
      </c>
      <c r="AN957" s="13">
        <v>3406</v>
      </c>
      <c r="AO957" s="13" t="s">
        <v>10311</v>
      </c>
      <c r="AV957" s="13" t="s">
        <v>10024</v>
      </c>
      <c r="AY957" s="13" t="s">
        <v>10312</v>
      </c>
      <c r="AZ957" s="13" t="s">
        <v>10313</v>
      </c>
      <c r="BA957" s="13" t="s">
        <v>10313</v>
      </c>
      <c r="BB957" s="17" t="s">
        <v>10314</v>
      </c>
      <c r="BC957" s="17" t="s">
        <v>10314</v>
      </c>
      <c r="BD957" s="13">
        <f t="shared" si="34"/>
        <v>23</v>
      </c>
      <c r="BE957" s="17" t="s">
        <v>9276</v>
      </c>
      <c r="BF957" s="17" t="s">
        <v>123</v>
      </c>
      <c r="BG957" s="17"/>
      <c r="BH957" s="17"/>
      <c r="BI957" s="17"/>
      <c r="BJ957" s="17" t="s">
        <v>9608</v>
      </c>
      <c r="BK957" s="17"/>
      <c r="BL957" s="17"/>
      <c r="BM957" s="17"/>
      <c r="BN957" s="17"/>
      <c r="BO957" s="17"/>
      <c r="BP957" s="17"/>
      <c r="BQ957" s="17"/>
      <c r="BR957" s="17"/>
      <c r="BS957" s="17"/>
      <c r="BT957" s="17" t="s">
        <v>10305</v>
      </c>
      <c r="BU957" s="17"/>
      <c r="BV957" s="17"/>
      <c r="BW957" s="17"/>
      <c r="BX957" s="13" t="s">
        <v>10315</v>
      </c>
      <c r="BY957" s="13" t="s">
        <v>10316</v>
      </c>
      <c r="DA957" s="13" t="s">
        <v>10348</v>
      </c>
      <c r="DB957" s="13" t="s">
        <v>10348</v>
      </c>
    </row>
    <row r="958" spans="1:106" s="13" customFormat="1" ht="12.75" customHeight="1" x14ac:dyDescent="0.2">
      <c r="A958" s="13" t="s">
        <v>102</v>
      </c>
      <c r="B958" s="13" t="s">
        <v>103</v>
      </c>
      <c r="D958" s="13" t="s">
        <v>8957</v>
      </c>
      <c r="E958" s="13" t="s">
        <v>8958</v>
      </c>
      <c r="F958" s="13" t="s">
        <v>8957</v>
      </c>
      <c r="H958" s="13" t="s">
        <v>820</v>
      </c>
      <c r="J958" s="13" t="s">
        <v>106</v>
      </c>
      <c r="W958" s="13">
        <v>958</v>
      </c>
      <c r="X958" s="13">
        <v>958</v>
      </c>
      <c r="Y958" s="13" t="s">
        <v>8959</v>
      </c>
      <c r="Z958" s="13" t="s">
        <v>8960</v>
      </c>
      <c r="AA958" s="13" t="s">
        <v>8961</v>
      </c>
      <c r="AB958" s="13" t="s">
        <v>10317</v>
      </c>
      <c r="AC958" s="13" t="s">
        <v>10317</v>
      </c>
      <c r="AD958" s="13" t="s">
        <v>10317</v>
      </c>
      <c r="AE958" s="13" t="s">
        <v>8964</v>
      </c>
      <c r="AF958" s="13" t="s">
        <v>10317</v>
      </c>
      <c r="AG958" s="13" t="s">
        <v>10317</v>
      </c>
      <c r="AH958" s="13" t="s">
        <v>10318</v>
      </c>
      <c r="AL958" s="13" t="s">
        <v>10319</v>
      </c>
      <c r="AN958" s="13">
        <v>3406</v>
      </c>
      <c r="AO958" s="13" t="s">
        <v>10320</v>
      </c>
      <c r="AQ958" s="13" t="s">
        <v>10317</v>
      </c>
      <c r="AR958" s="13" t="s">
        <v>10317</v>
      </c>
      <c r="AS958" s="13" t="s">
        <v>8968</v>
      </c>
      <c r="AT958" s="13" t="s">
        <v>10319</v>
      </c>
      <c r="AU958" s="13" t="s">
        <v>10321</v>
      </c>
      <c r="AV958" s="13" t="s">
        <v>9951</v>
      </c>
      <c r="AY958" s="13" t="s">
        <v>10322</v>
      </c>
      <c r="AZ958" s="13" t="s">
        <v>10323</v>
      </c>
      <c r="BA958" s="13" t="s">
        <v>10323</v>
      </c>
      <c r="BB958" s="17" t="s">
        <v>10324</v>
      </c>
      <c r="BC958" s="17" t="s">
        <v>10325</v>
      </c>
      <c r="BD958" s="13">
        <f t="shared" si="34"/>
        <v>59</v>
      </c>
      <c r="BE958" s="17" t="s">
        <v>9276</v>
      </c>
      <c r="BF958" s="17" t="s">
        <v>123</v>
      </c>
      <c r="BG958" s="17" t="s">
        <v>10326</v>
      </c>
      <c r="BH958" s="17"/>
      <c r="BI958" s="17"/>
      <c r="BJ958" s="17" t="s">
        <v>1004</v>
      </c>
      <c r="BK958" s="17"/>
      <c r="BL958" s="17"/>
      <c r="BM958" s="17"/>
      <c r="BN958" s="17"/>
      <c r="BO958" s="17" t="s">
        <v>10327</v>
      </c>
      <c r="BP958" s="17"/>
      <c r="BQ958" s="17"/>
      <c r="BR958" s="17"/>
      <c r="BS958" s="17" t="s">
        <v>127</v>
      </c>
      <c r="BT958" s="17" t="s">
        <v>10328</v>
      </c>
      <c r="BU958" s="17" t="s">
        <v>129</v>
      </c>
      <c r="BV958" s="17" t="s">
        <v>130</v>
      </c>
      <c r="BW958" s="17"/>
      <c r="BX958" s="13" t="s">
        <v>10329</v>
      </c>
      <c r="BY958" s="13" t="s">
        <v>10330</v>
      </c>
      <c r="DA958" s="13" t="s">
        <v>10348</v>
      </c>
      <c r="DB958" s="13" t="s">
        <v>10348</v>
      </c>
    </row>
    <row r="959" spans="1:106" s="13" customFormat="1" ht="12.75" customHeight="1" x14ac:dyDescent="0.2">
      <c r="A959" s="13" t="s">
        <v>102</v>
      </c>
      <c r="B959" s="13" t="s">
        <v>103</v>
      </c>
      <c r="D959" s="13" t="s">
        <v>8957</v>
      </c>
      <c r="E959" s="13" t="s">
        <v>9080</v>
      </c>
      <c r="F959" s="13" t="s">
        <v>8957</v>
      </c>
      <c r="H959" s="13" t="s">
        <v>820</v>
      </c>
      <c r="J959" s="13" t="s">
        <v>106</v>
      </c>
      <c r="W959" s="13">
        <v>959</v>
      </c>
      <c r="X959" s="13">
        <v>959</v>
      </c>
      <c r="Y959" s="13" t="s">
        <v>8959</v>
      </c>
      <c r="Z959" s="13" t="s">
        <v>8960</v>
      </c>
      <c r="AA959" s="13" t="s">
        <v>8961</v>
      </c>
      <c r="AB959" s="13" t="s">
        <v>10331</v>
      </c>
      <c r="AC959" s="13" t="s">
        <v>10331</v>
      </c>
      <c r="AD959" s="13" t="s">
        <v>10331</v>
      </c>
      <c r="AE959" s="13" t="s">
        <v>8964</v>
      </c>
      <c r="AF959" s="13" t="s">
        <v>10331</v>
      </c>
      <c r="AG959" s="13" t="s">
        <v>10331</v>
      </c>
      <c r="AH959" s="13" t="s">
        <v>10332</v>
      </c>
      <c r="AL959" s="13" t="s">
        <v>10333</v>
      </c>
      <c r="AN959" s="13">
        <v>3406</v>
      </c>
      <c r="AO959" s="13" t="s">
        <v>10334</v>
      </c>
      <c r="AQ959" s="13" t="s">
        <v>10331</v>
      </c>
      <c r="AR959" s="13" t="s">
        <v>10331</v>
      </c>
      <c r="AS959" s="13" t="s">
        <v>8968</v>
      </c>
      <c r="AT959" s="13" t="s">
        <v>10333</v>
      </c>
      <c r="AU959" s="13" t="s">
        <v>10335</v>
      </c>
      <c r="AV959" s="13" t="s">
        <v>10336</v>
      </c>
      <c r="AY959" s="13" t="s">
        <v>10333</v>
      </c>
      <c r="AZ959" s="13" t="s">
        <v>10337</v>
      </c>
      <c r="BA959" s="13" t="s">
        <v>10337</v>
      </c>
      <c r="BB959" s="17" t="s">
        <v>10338</v>
      </c>
      <c r="BC959" s="17" t="s">
        <v>10338</v>
      </c>
      <c r="BD959" s="13">
        <f t="shared" si="34"/>
        <v>51</v>
      </c>
      <c r="BE959" s="17" t="s">
        <v>10339</v>
      </c>
      <c r="BF959" s="17" t="s">
        <v>10340</v>
      </c>
      <c r="BG959" s="17"/>
      <c r="BH959" s="17"/>
      <c r="BI959" s="17"/>
      <c r="BJ959" s="17"/>
      <c r="BK959" s="17"/>
      <c r="BL959" s="17"/>
      <c r="BM959" s="17"/>
      <c r="BN959" s="17"/>
      <c r="BO959" s="17" t="s">
        <v>10341</v>
      </c>
      <c r="BP959" s="17"/>
      <c r="BQ959" s="17"/>
      <c r="BR959" s="17"/>
      <c r="BS959" s="17" t="s">
        <v>6939</v>
      </c>
      <c r="BT959" s="17" t="s">
        <v>10342</v>
      </c>
      <c r="BU959" s="17" t="s">
        <v>129</v>
      </c>
      <c r="BV959" s="17"/>
      <c r="BW959" s="17"/>
      <c r="BX959" s="13" t="s">
        <v>10343</v>
      </c>
      <c r="DA959" s="13" t="s">
        <v>10348</v>
      </c>
      <c r="DB959" s="13" t="s">
        <v>10348</v>
      </c>
    </row>
    <row r="960" spans="1:106" s="13" customFormat="1" ht="12.75" customHeight="1" x14ac:dyDescent="0.2">
      <c r="A960" s="13" t="s">
        <v>102</v>
      </c>
      <c r="B960" s="13" t="s">
        <v>103</v>
      </c>
      <c r="D960" s="13" t="s">
        <v>8957</v>
      </c>
      <c r="E960" s="13" t="s">
        <v>9080</v>
      </c>
      <c r="F960" s="13" t="s">
        <v>8957</v>
      </c>
      <c r="H960" s="13" t="s">
        <v>820</v>
      </c>
      <c r="J960" s="13" t="s">
        <v>106</v>
      </c>
      <c r="W960" s="13">
        <v>848</v>
      </c>
      <c r="X960" s="13">
        <v>848</v>
      </c>
      <c r="Y960" s="13" t="s">
        <v>8959</v>
      </c>
      <c r="Z960" s="13" t="s">
        <v>8960</v>
      </c>
      <c r="AA960" s="13" t="s">
        <v>8961</v>
      </c>
      <c r="AB960" s="13" t="s">
        <v>9081</v>
      </c>
      <c r="AC960" s="13" t="s">
        <v>9081</v>
      </c>
      <c r="AD960" s="13" t="s">
        <v>9082</v>
      </c>
      <c r="AE960" s="13" t="s">
        <v>8964</v>
      </c>
      <c r="AF960" s="13" t="s">
        <v>9082</v>
      </c>
      <c r="AG960" s="13" t="s">
        <v>9081</v>
      </c>
      <c r="AH960" s="13" t="s">
        <v>9083</v>
      </c>
      <c r="AL960" s="13" t="s">
        <v>9084</v>
      </c>
      <c r="AN960" s="13">
        <v>3406</v>
      </c>
      <c r="AO960" s="13" t="s">
        <v>9085</v>
      </c>
      <c r="AQ960" s="13" t="s">
        <v>9082</v>
      </c>
      <c r="AR960" s="13" t="s">
        <v>9082</v>
      </c>
      <c r="AS960" s="13" t="s">
        <v>8968</v>
      </c>
      <c r="AT960" s="13" t="s">
        <v>9086</v>
      </c>
      <c r="AU960" s="13" t="s">
        <v>9087</v>
      </c>
      <c r="AV960" s="13" t="s">
        <v>9088</v>
      </c>
      <c r="AW960" s="13" t="s">
        <v>9089</v>
      </c>
      <c r="AX960" s="13" t="s">
        <v>9090</v>
      </c>
      <c r="AY960" s="13" t="s">
        <v>9091</v>
      </c>
      <c r="AZ960" s="13" t="s">
        <v>9092</v>
      </c>
      <c r="BA960" s="13" t="s">
        <v>9092</v>
      </c>
      <c r="BB960" s="17" t="s">
        <v>9093</v>
      </c>
      <c r="BC960" s="17" t="s">
        <v>9093</v>
      </c>
      <c r="BD960" s="13">
        <f t="shared" si="34"/>
        <v>48</v>
      </c>
      <c r="BE960" s="17" t="s">
        <v>1637</v>
      </c>
      <c r="BF960" s="17" t="s">
        <v>9094</v>
      </c>
      <c r="BG960" s="17"/>
      <c r="BH960" s="17"/>
      <c r="BI960" s="17"/>
      <c r="BJ960" s="17"/>
      <c r="BK960" s="17"/>
      <c r="BL960" s="17"/>
      <c r="BM960" s="17"/>
      <c r="BN960" s="17"/>
      <c r="BO960" s="17" t="s">
        <v>9095</v>
      </c>
      <c r="BP960" s="17"/>
      <c r="BQ960" s="17"/>
      <c r="BR960" s="17"/>
      <c r="BS960" s="17" t="s">
        <v>127</v>
      </c>
      <c r="BT960" s="17" t="s">
        <v>9087</v>
      </c>
      <c r="BU960" s="17" t="s">
        <v>129</v>
      </c>
      <c r="BV960" s="17" t="s">
        <v>130</v>
      </c>
      <c r="BW960" s="17"/>
      <c r="BX960" s="13" t="s">
        <v>9096</v>
      </c>
      <c r="DA960" s="13" t="s">
        <v>10348</v>
      </c>
      <c r="DB960" s="13" t="s">
        <v>10348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2023-10-05T02:46:22Z</dcterms:created>
  <dcterms:modified xsi:type="dcterms:W3CDTF">2023-10-05T04:21:32Z</dcterms:modified>
</cp:coreProperties>
</file>