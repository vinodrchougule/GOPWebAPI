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15" windowWidth="19635" windowHeight="7170"/>
  </bookViews>
  <sheets>
    <sheet name="Sheet1" sheetId="1" r:id="rId1"/>
  </sheets>
  <definedNames>
    <definedName name="_xlnm._FilterDatabase" localSheetId="0" hidden="1">Sheet1!$A$1:$DG$387</definedName>
  </definedNames>
  <calcPr calcId="145621"/>
</workbook>
</file>

<file path=xl/calcChain.xml><?xml version="1.0" encoding="utf-8"?>
<calcChain xmlns="http://schemas.openxmlformats.org/spreadsheetml/2006/main">
  <c r="AY359" i="1" l="1"/>
  <c r="AY343" i="1"/>
  <c r="AY342" i="1"/>
  <c r="AY341" i="1"/>
  <c r="AY340" i="1"/>
  <c r="AY339" i="1"/>
  <c r="AY338" i="1"/>
  <c r="AY337" i="1"/>
  <c r="AY336" i="1"/>
  <c r="AY335" i="1"/>
  <c r="AY334" i="1"/>
  <c r="AY313" i="1"/>
  <c r="AY333" i="1"/>
  <c r="AY312" i="1"/>
  <c r="AY332" i="1"/>
  <c r="AY311" i="1"/>
  <c r="AY331" i="1"/>
  <c r="AY330" i="1"/>
  <c r="AY329" i="1"/>
  <c r="AY328" i="1"/>
  <c r="AY327" i="1"/>
  <c r="AY326" i="1"/>
  <c r="AY325" i="1"/>
  <c r="AY324" i="1"/>
  <c r="AY323" i="1"/>
  <c r="AY322" i="1"/>
  <c r="AY32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320" i="1"/>
  <c r="AY280" i="1"/>
  <c r="AY279" i="1"/>
  <c r="AY278" i="1"/>
  <c r="AY277" i="1"/>
  <c r="AY276" i="1"/>
  <c r="AY319" i="1"/>
  <c r="AY318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317" i="1"/>
  <c r="AY316" i="1"/>
  <c r="AY315" i="1"/>
  <c r="AY314" i="1"/>
  <c r="AY161" i="1"/>
  <c r="AY363" i="1"/>
  <c r="AY361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160" i="1"/>
  <c r="AY386" i="1"/>
  <c r="AY385" i="1"/>
  <c r="AY384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26" i="1"/>
  <c r="AY25" i="1"/>
  <c r="AY126" i="1"/>
  <c r="AY125" i="1"/>
  <c r="AY124" i="1"/>
  <c r="AY123" i="1"/>
  <c r="AY122" i="1"/>
  <c r="AY121" i="1"/>
  <c r="AY120" i="1"/>
  <c r="AY119" i="1"/>
  <c r="AY118" i="1"/>
  <c r="AY24" i="1"/>
  <c r="AY117" i="1"/>
  <c r="AY116" i="1"/>
  <c r="AY115" i="1"/>
  <c r="AY114" i="1"/>
  <c r="AY113" i="1"/>
  <c r="AY112" i="1"/>
  <c r="AY111" i="1"/>
  <c r="AY110" i="1"/>
  <c r="AY2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3" i="1"/>
  <c r="AY22" i="1"/>
  <c r="AY21" i="1"/>
  <c r="AY20" i="1"/>
  <c r="AY19" i="1"/>
  <c r="AY18" i="1"/>
  <c r="AY17" i="1"/>
  <c r="AY16" i="1"/>
  <c r="AY15" i="1"/>
  <c r="AY14" i="1"/>
  <c r="AY28" i="1"/>
  <c r="AY13" i="1"/>
  <c r="AY27" i="1"/>
  <c r="AY12" i="1"/>
  <c r="AY11" i="1"/>
  <c r="AY10" i="1"/>
  <c r="AY9" i="1"/>
  <c r="AY8" i="1"/>
  <c r="AY7" i="1"/>
  <c r="AY6" i="1"/>
  <c r="AY5" i="1"/>
  <c r="AY4" i="1"/>
  <c r="AY3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87" i="1"/>
  <c r="AY362" i="1"/>
  <c r="AY360" i="1"/>
  <c r="AY159" i="1"/>
  <c r="AY158" i="1"/>
</calcChain>
</file>

<file path=xl/sharedStrings.xml><?xml version="1.0" encoding="utf-8"?>
<sst xmlns="http://schemas.openxmlformats.org/spreadsheetml/2006/main" count="14510" uniqueCount="4599">
  <si>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</si>
  <si>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</si>
  <si>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</si>
  <si>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</si>
  <si>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</si>
  <si>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</si>
  <si>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</si>
  <si>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</si>
  <si>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</si>
  <si>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</si>
  <si>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</si>
  <si>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</si>
  <si>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</si>
  <si>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</si>
  <si>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</si>
  <si>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</si>
  <si>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</si>
  <si>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</si>
  <si>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</si>
  <si>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</si>
  <si>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</si>
  <si>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</si>
  <si>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</si>
  <si>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</si>
  <si>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</si>
  <si>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</si>
  <si>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</si>
  <si>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</si>
  <si>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</si>
  <si>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</si>
  <si>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</si>
  <si>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</si>
  <si>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</si>
  <si>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</si>
  <si>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</si>
  <si>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</si>
  <si>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</si>
  <si>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</si>
  <si>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</si>
  <si>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</si>
  <si>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</si>
  <si>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</si>
  <si>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</si>
  <si>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</si>
  <si>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</si>
  <si>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</si>
  <si>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</si>
  <si>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</si>
  <si>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</si>
  <si>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</si>
  <si>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</si>
  <si>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</si>
  <si>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</si>
  <si>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</si>
  <si>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</si>
  <si>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</si>
  <si>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</si>
  <si>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</si>
  <si>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</si>
  <si>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</si>
  <si>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</si>
  <si>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</si>
  <si>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</si>
  <si>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</si>
  <si>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</si>
  <si>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</si>
  <si>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</si>
  <si>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</si>
  <si>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</si>
  <si>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</si>
  <si>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</si>
  <si>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</si>
  <si>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</si>
  <si>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</si>
  <si>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</si>
  <si>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</si>
  <si>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</si>
  <si>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</si>
  <si>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</si>
  <si>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</si>
  <si>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</si>
  <si>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</si>
  <si>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</si>
  <si>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</si>
  <si>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</si>
  <si>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</si>
  <si>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</si>
  <si>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</si>
  <si>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</si>
  <si>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</si>
  <si>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</si>
  <si>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</si>
  <si>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</si>
  <si>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</si>
  <si>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</si>
  <si>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</si>
  <si>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</si>
  <si>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</si>
  <si>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</si>
  <si>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</si>
  <si>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</si>
  <si>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</si>
  <si>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</si>
  <si>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</si>
  <si>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</si>
  <si>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</si>
  <si>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</si>
  <si>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</si>
  <si>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</si>
  <si>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</si>
  <si>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016-244-2</t>
  </si>
  <si>
    <t>ForGhria_Output_2023-08-17</t>
  </si>
  <si>
    <t>BHC</t>
  </si>
  <si>
    <t>SOURCED</t>
  </si>
  <si>
    <t>OK</t>
  </si>
  <si>
    <t>Data Enrichment | UNSPSC Classification</t>
  </si>
  <si>
    <t>ABBVIE ALLERGAN INC</t>
  </si>
  <si>
    <t>ABBVIE</t>
  </si>
  <si>
    <t>ALLERGAN INC</t>
  </si>
  <si>
    <t>133MV13T</t>
  </si>
  <si>
    <t>133MV-13-T</t>
  </si>
  <si>
    <t>ALLERGAN</t>
  </si>
  <si>
    <t>ALLERGAN_133MV13T</t>
  </si>
  <si>
    <t>EXPANDER TISSUE 400CC P5.6CM W13XH12CM SALINE STYLE 133MV-T BIOCELL TEXTURED SHAPED SHELL SURFACE MAGNASITE INJECTION SITE MODERATE HEIGHT VARIABLE PROJECTION WITH SUTURE TAB NATRELLE</t>
  </si>
  <si>
    <t>PRODIGO0014213</t>
  </si>
  <si>
    <t>42295509  Plastic or cosmetic tissue expanders or sets</t>
  </si>
  <si>
    <t>NATRELLE BREAST TISSUE EXPANDERS MODERATE HEIGHT VARIABLE PROJECTION 13.0 12.0 5.6 400 CC</t>
  </si>
  <si>
    <t>EXPANDER, TISSUE, SALINE, 5.6 CM PROJECTION, 13X12 CM, 400 CC, BREAST, STYLE 133MV-T, MODERATE HEIGHT, VARIABLE PROJECTION, BIOCELL TEXTURED, WITH SUTURE TAB, STERILE, NATRELLE, LATEX-FREE</t>
  </si>
  <si>
    <t>EXPANDER, TISS, NACL, 5.6 CM PROJCT, 13X12 CM, 400 CC, BRST, STYL 133MV-T, MOD HT, VAR PROJCT, BIOCELL TEXT, W/ SUTURE TAB, STRL, NATRELLE, LF</t>
  </si>
  <si>
    <t>EXPANDER, TISS, NACL, 5.6 CM PROJCT, 13X12 CM, 400 CC, NATRELLE</t>
  </si>
  <si>
    <t>EXPANDER</t>
  </si>
  <si>
    <t>TISSUE</t>
  </si>
  <si>
    <t>SALINE</t>
  </si>
  <si>
    <t>5.6 CM PROJECTION</t>
  </si>
  <si>
    <t>13X12 CM</t>
  </si>
  <si>
    <t>400 CC</t>
  </si>
  <si>
    <t>BREAST</t>
  </si>
  <si>
    <t>STYLE 133MV-T, MODERATE HEIGHT, VARIABLE PROJECTION, BIOCELL TEXTURED, WITH SUTURE TAB</t>
  </si>
  <si>
    <t>STERILE</t>
  </si>
  <si>
    <t>NATRELLE</t>
  </si>
  <si>
    <t>LATEX-FREE</t>
  </si>
  <si>
    <t>https://www.estetikcerrahikitabi.com/katalog/allergan/natrelle.pdf, https://accessgudid.nlm.nih.gov/devices/10888628004429</t>
  </si>
  <si>
    <t>natrelle</t>
  </si>
  <si>
    <t>133SX13T</t>
  </si>
  <si>
    <t>133SX-13-T</t>
  </si>
  <si>
    <t>ALLERGAN_133SX13T</t>
  </si>
  <si>
    <t>EXPANDER TISSUE 650CC P7.6CM W15XH13CM SALINE STYLE 133SX T BIOCELL TEXTURED SHAPED SHELL SURFACE MAGNASITE INJECTION SITE SHORT HEIGHT EXTRA PROJECTION WITH SUTURE TAB NATRELLE</t>
  </si>
  <si>
    <t>PRODIGO1066862</t>
  </si>
  <si>
    <t>NATRELLE BREAST TISSUE EXPANDERS SHORT HEIGHT EXTRA PROJECTION STYLE 133SX-T 13.0 11.0 6.7 400CC</t>
  </si>
  <si>
    <t>EXPANDER, TISSUE, SALINE, 6.7 CM PROJECTION, 13X11 CM, 400 CC, BREAST, STYLE 133SX-T, SHORT HEIGHT, EXTRA PROJECTION, BIOCELL TEXTURED, WITH SUTURE TAB, STERILE, NATRELLE, LATEX-FREE</t>
  </si>
  <si>
    <t>EXPANDER, TISS, NACL, 6.7 CM PROJCT, 13X11 CM, 400 CC, BRST, STYL 133SX-T, SHT HT, X PROJCT, BIOCELL TEXT, W/ SUTURE TAB, STRL, NATRELLE, LF</t>
  </si>
  <si>
    <t>EXPANDER, TISS, NACL, 6.7 CM PROJCT, 13X11 CM, 400 CC, NATRELLE</t>
  </si>
  <si>
    <t>6.7 CM PROJECTION</t>
  </si>
  <si>
    <t>13X11 CM</t>
  </si>
  <si>
    <t>STYLE 133SX-T, SHORT HEIGHT, EXTRA PROJECTION, BIOCELL TEXTURED, WITH SUTURE TAB</t>
  </si>
  <si>
    <t>https://www.estetikcerrahikitabi.com/katalog/allergan/natrelle.pdf, https://accessgudid.nlm.nih.gov/devices/10888628004603</t>
  </si>
  <si>
    <t>SZG</t>
  </si>
  <si>
    <t>MEDLINE INDUSTRIES INC</t>
  </si>
  <si>
    <t>MEDLINE</t>
  </si>
  <si>
    <t>KONINKLIJKE PHILIPS ELECTRONICS NV</t>
  </si>
  <si>
    <t>1083783ML</t>
  </si>
  <si>
    <t>MEDLINE_1083783</t>
  </si>
  <si>
    <t>SPACER MASKS: MEDLINE EXCLUSIVE PHILIPS LITETOUCH VHC MASK  LARGE</t>
  </si>
  <si>
    <t>PRODIGO1066657</t>
  </si>
  <si>
    <t>42271806  Nebulizer accessories</t>
  </si>
  <si>
    <t>MEDLINE EXCLUSIVE PHILIPS LITETOUCH VHC MASKLARGE</t>
  </si>
  <si>
    <t>MASK, AEROSOL, LARGE, FLEXIBLE SEAL, VALVED HOLDING CHAMBER, LITETOUCH, LATEX-FREE</t>
  </si>
  <si>
    <t>MASK, AEROSOL, LG, FLX SEAL, VLV HOLDING CHMBR, LITETOUCH , LF</t>
  </si>
  <si>
    <t>MASK</t>
  </si>
  <si>
    <t>AEROSOL</t>
  </si>
  <si>
    <t>LARGE</t>
  </si>
  <si>
    <t>FLEXIBLE SEAL, VALVED HOLDING CHAMBER</t>
  </si>
  <si>
    <t>LITETOUCH</t>
  </si>
  <si>
    <t>https://www.medline.com/sku/item/MDP1083783ML</t>
  </si>
  <si>
    <t>1083785ML</t>
  </si>
  <si>
    <t>MEDLINE_1083785</t>
  </si>
  <si>
    <t>SPACER MASKS: MEDLINE EXCLUSIVE PHILIPS LITETOUCH VHC MASK  SMALL</t>
  </si>
  <si>
    <t>PRODIGO1066658</t>
  </si>
  <si>
    <t>MASK, AEROSOL, SMALL, FLEXIBLE SEAL, VALVED HOLDING CHAMBER, LITETOUCH, LATEX-FREE</t>
  </si>
  <si>
    <t>MASK, AEROSOL, SMALL, FLEXIBLE SEAL, VALVED HOLDING CHAMBER, LITETOUCH , LATEX-FREE</t>
  </si>
  <si>
    <t>MASK, AEROSOL, SM, FLX SEAL, VLV HOLDING CHMBR, LITETOUCH , LF</t>
  </si>
  <si>
    <t>SMALL</t>
  </si>
  <si>
    <t>HUDSON RESPIRATORY CARE INC</t>
  </si>
  <si>
    <t>1850</t>
  </si>
  <si>
    <t>TELEFLEX</t>
  </si>
  <si>
    <t>TELEFLEX_1850</t>
  </si>
  <si>
    <t>MEDICAL NASAL CANNULAS</t>
  </si>
  <si>
    <t>CANNULA NSL O2 CONSERVING 5FT STD TBNG AD</t>
  </si>
  <si>
    <t>PRODIGO1052005</t>
  </si>
  <si>
    <t>42271709  Medical nasal cannulas</t>
  </si>
  <si>
    <t>OXYGEN CONSERVING CANNULA WITH 5 FT. STANDARD OXYGEN SUPPLY TUBING</t>
  </si>
  <si>
    <t>CANNULA, NASAL, ETCO2, ADULT, 5 FT, WITH O2 DELIVERY, STANDARD CONNECTOR, STANDARD CONNECTOR, VINYL, CLEAR</t>
  </si>
  <si>
    <t>CANNULA, NSL, ETCO2, AD, 5 FT, W/ O2 DEL, STD CONN, STD CONN, VLY, CLR</t>
  </si>
  <si>
    <t>CANNULA, NSL, ETCO2, AD, 5 FT, W O2 DEL, STD CONN, STD CONN, VLY, CLR</t>
  </si>
  <si>
    <t>CANNULA</t>
  </si>
  <si>
    <t>NASAL</t>
  </si>
  <si>
    <t>ETCO2</t>
  </si>
  <si>
    <t>ADULT</t>
  </si>
  <si>
    <t>5 FT</t>
  </si>
  <si>
    <t>WITH O2 DELIVERY, STANDARD CONNECTOR, STANDARD CONNECTOR</t>
  </si>
  <si>
    <t>VINYL</t>
  </si>
  <si>
    <t>CLEAR</t>
  </si>
  <si>
    <t>https://www.medline.com/media/assets/pdf/CAT_Hudson.pdf, https://mms.mckesson.com/product/474973/Teleflex-Medical-1850</t>
  </si>
  <si>
    <t>CRR102160</t>
  </si>
  <si>
    <t>MEDLINE_CRR102160</t>
  </si>
  <si>
    <t>WOUND CLEANING SOLUTIONS</t>
  </si>
  <si>
    <t>SOLUTION WND CLN 16OZ BENZOIC ACID 1-2-3</t>
  </si>
  <si>
    <t>PRODIGO0781509</t>
  </si>
  <si>
    <t>42312313  Wound cleaning solutions</t>
  </si>
  <si>
    <t>A6260</t>
  </si>
  <si>
    <t>WOUND CLEANSERS, STERILE, ANY TYPE, ANY SIZE</t>
  </si>
  <si>
    <t>CARRAKLENZ WOUND CLEANSER16 OZ</t>
  </si>
  <si>
    <t>CLEANSER, WOUND, BENZOIC ACID 1-2-3, 16 OZ, CARRAKLENZ, LATEX-FREE</t>
  </si>
  <si>
    <t>CLEANSER, WND, BENZOIC ACID 1-2-3, 16 OZ, CARRAKLENZ, LF</t>
  </si>
  <si>
    <t>CLEANSER</t>
  </si>
  <si>
    <t>WOUND</t>
  </si>
  <si>
    <t>BENZOIC ACID 1-2-3</t>
  </si>
  <si>
    <t>16 OZ</t>
  </si>
  <si>
    <t>CARRAKLENZ</t>
  </si>
  <si>
    <t>https://www.medline.com/sku/item/MDPCRR102160</t>
  </si>
  <si>
    <t>CUR290102</t>
  </si>
  <si>
    <t>MEDLINE_CUR290102</t>
  </si>
  <si>
    <t>TAPE COTTON POROUS PREMIUM 2INX10YD</t>
  </si>
  <si>
    <t>PRODIGO0994578</t>
  </si>
  <si>
    <t>42311552  Medical and surgical adherent tapes for general use</t>
  </si>
  <si>
    <t>MEDLINE PREMIUM POROUS COTTON CLOTH TAPE2 X 10 YD</t>
  </si>
  <si>
    <t>TAPE, ADHESIVE, CLOTH, 10 YDX2 IN, PREMIUM, POROUS, COTTON, WHITE, LATEX-FREE</t>
  </si>
  <si>
    <t>TAPE, ADH, CLTH, 10 YDX2 IN, PREM, POROUS, COTTON, WHT, LF</t>
  </si>
  <si>
    <t>TAPE</t>
  </si>
  <si>
    <t>ADHESIVE</t>
  </si>
  <si>
    <t>CLOTH</t>
  </si>
  <si>
    <t>10 YDX2 IN</t>
  </si>
  <si>
    <t>PREMIUM, POROUS</t>
  </si>
  <si>
    <t>COTTON</t>
  </si>
  <si>
    <t>WHITE</t>
  </si>
  <si>
    <t>https://www.medline.com/sku/item/MDPCUR290102</t>
  </si>
  <si>
    <t>CUR290112</t>
  </si>
  <si>
    <t>MEDLINE_CUR290112</t>
  </si>
  <si>
    <t>TAPE MEDLINE PREMIUM POROUS COTTON CLOTH TAPE  0.5IN X 10 YD.</t>
  </si>
  <si>
    <t>PRODIGO0994579</t>
  </si>
  <si>
    <t>MEDLINE PREMIUM POROUS COTTON CLOTH TAPE0.5 X 10 YD</t>
  </si>
  <si>
    <t>TAPE, ADHESIVE, CLOTH, 10 YDX0.5 IN, PREMIUM, POROUS, COTTON, WHITE, LATEX-FREE</t>
  </si>
  <si>
    <t>TAPE, ADH, CLTH, 10 YDX0.5 IN, PREM, POROUS, COTTON, WHT, LF</t>
  </si>
  <si>
    <t>10 YDX0.5 IN</t>
  </si>
  <si>
    <t>https://www.medline.com/sku/item/MDPCUR290112</t>
  </si>
  <si>
    <t>DYNJP2TBTC60</t>
  </si>
  <si>
    <t>MEDLINE_DYNJP2TBTC60</t>
  </si>
  <si>
    <t>TABLE COVER 2-TIER HEAVY DUTY</t>
  </si>
  <si>
    <t>PRODIGO1063666</t>
  </si>
  <si>
    <t>42131701  Surgical drapes</t>
  </si>
  <si>
    <t>2-TIER BACK TABLE COVERHEAVY-DUTY60</t>
  </si>
  <si>
    <t>COVER, TABLE, HEAVY DUTY, 2-TIER BACK, SMS, BLUE, STERILE, LATEX-FREE, DISPOSABLE</t>
  </si>
  <si>
    <t>COVER, TBL, HVY DTY, 2-TIER BK, SMS, BLU, STRL, LF, DISP</t>
  </si>
  <si>
    <t>COVER</t>
  </si>
  <si>
    <t>TABLE</t>
  </si>
  <si>
    <t>HEAVY DUTY, 2-TIER BACK</t>
  </si>
  <si>
    <t>SMS</t>
  </si>
  <si>
    <t>BLUE</t>
  </si>
  <si>
    <t>DISPOSABLE</t>
  </si>
  <si>
    <t>https://www.medline.com/sku/item/MDPDYNJP2TBTC60, https://accessgudid.nlm.nih.gov/devices/10193489109955</t>
  </si>
  <si>
    <t>DYNJP8000</t>
  </si>
  <si>
    <t>MEDLINE_DYNJP8000</t>
  </si>
  <si>
    <t>PACK EXTREMITY I ECLIPSE STRL</t>
  </si>
  <si>
    <t>PRODIGO0611674</t>
  </si>
  <si>
    <t>42295414  Surgical specialty procedure packs</t>
  </si>
  <si>
    <t>STERILE EXTREMITY SURGICAL PACK I</t>
  </si>
  <si>
    <t>PROCEDURE PACK, EXTREMITY, ECLIPSE, STERILE, LATEX-FREE</t>
  </si>
  <si>
    <t>PROCEDURE PACK, EXTREMITY, ECLIPSE, STRL, LF</t>
  </si>
  <si>
    <t>PROCEDURE PACK</t>
  </si>
  <si>
    <t>EXTREMITY</t>
  </si>
  <si>
    <t>ECLIPSE</t>
  </si>
  <si>
    <t>https://www.medline.com/sku/item/MDPDYNJP8000, https://accessgudid.nlm.nih.gov/devices/10080196740727</t>
  </si>
  <si>
    <t>EVSCHEM200A</t>
  </si>
  <si>
    <t>MEDLINE_EVSCHEM200A</t>
  </si>
  <si>
    <t>CLEANER  MULTI SURFACE GLASS 0.5-GAL</t>
  </si>
  <si>
    <t>PRODIGO1066880</t>
  </si>
  <si>
    <t>47131825  Contact surface cleaners</t>
  </si>
  <si>
    <t>MULTI-SURFACE GLASS CLEANER0.5 GAL</t>
  </si>
  <si>
    <t>CLEANER, GLASS, MULTI-SURFACE, 0.5 GL, LATEX-FREE</t>
  </si>
  <si>
    <t>CLEANER, GLS, MULTI-SURFACE, 0.5 GAL, LF</t>
  </si>
  <si>
    <t>CLEANER, GLS, MULTI-SURFACE, 0.5 GL, LF</t>
  </si>
  <si>
    <t>CLEANER</t>
  </si>
  <si>
    <t>GLASS</t>
  </si>
  <si>
    <t>MULTI-SURFACE</t>
  </si>
  <si>
    <t>0.5 GL</t>
  </si>
  <si>
    <t>https://www.medline.com/sku/item/MDPEVSCHEM200A</t>
  </si>
  <si>
    <t>H965910314831</t>
  </si>
  <si>
    <t>MEDLINE_H965910314831</t>
  </si>
  <si>
    <t>INJECTOR CNTRST 48 IN NAMIC</t>
  </si>
  <si>
    <t>PRODIGO1066885</t>
  </si>
  <si>
    <t>42293514  Medical or surgical suction container liners</t>
  </si>
  <si>
    <t>CLEARACIL HIGH-PRESSURE CONTRAST INJECTION TUBING WITH ROTATING MALE-TO-FEMALE ADAPTER1200 PSI48</t>
  </si>
  <si>
    <t>TUBING, CONTRAST INJECTION, HIGH PRESSURE, 48 IN, ROTATING MALE LUER LOCK FEMALE, CLEAR, STERILE, NAMIC CLEARACIL, LATEX-FREE, DISPOSABLE</t>
  </si>
  <si>
    <t>TUBING, CNTRST INJ, HI PRESSURE, 48 IN, ROTATING M LUER LCK FEMALE, CLR, STRL, NAMIC CLEARACIL, LF, DISP</t>
  </si>
  <si>
    <t>TUBING, CNTRST INJ, 48 IN, M LUER LCK FEMALE, CLEARACIL</t>
  </si>
  <si>
    <t>TUBING</t>
  </si>
  <si>
    <t>CONTRAST INJECTION</t>
  </si>
  <si>
    <t>HIGH PRESSURE</t>
  </si>
  <si>
    <t>48 IN</t>
  </si>
  <si>
    <t>ROTATING MALE LUER LOCK FEMALE</t>
  </si>
  <si>
    <t>NAMIC CLEARACIL</t>
  </si>
  <si>
    <t>https://www.medline.com/sku/item/MDP91031483</t>
  </si>
  <si>
    <t>H965910514821</t>
  </si>
  <si>
    <t>MEDLINE_H965910514821</t>
  </si>
  <si>
    <t>LINE INJ L48IN OD0.14IN ID0.07IN 1200PSI BRAID POLYUR FEM</t>
  </si>
  <si>
    <t>PRODIGO1066886</t>
  </si>
  <si>
    <t>FLEXCIL HIGH-PRESSURE CONTRAST INJECTION TUBING WITH MALE-TO-FEMALE LUER LOCK1200 PSI48</t>
  </si>
  <si>
    <t>LINE, CONTRAST INJECTION, HIGH PRESSURE, 48 IN, BRAIDED, FIXED MALE LUER LOCK FEMALE, POLYURETHANE, CLEAR, STERILE, NAMIC FLEXCIL, LATEX-FREE, DISPOSABLE</t>
  </si>
  <si>
    <t>LINE, CNTRST INJ, HI PRESSURE, 48 IN, BRAIDED, FIX M LUER LCK FEMALE, POLYURETHANE, CLR, STRL, NAMIC FLEXCIL, LF, DISP</t>
  </si>
  <si>
    <t>LINE, CNTRST INJ, 48 IN, FIX M LUER LCK FEMALE, FLEXCIL</t>
  </si>
  <si>
    <t>LINE</t>
  </si>
  <si>
    <t>BRAIDED, FIXED MALE LUER LOCK FEMALE</t>
  </si>
  <si>
    <t>POLYURETHANE</t>
  </si>
  <si>
    <t>NAMIC FLEXCIL</t>
  </si>
  <si>
    <t>https://www.medline.com/sku/item/MDP91051482</t>
  </si>
  <si>
    <t>H965913000041</t>
  </si>
  <si>
    <t>MEDLINE_H965913000041</t>
  </si>
  <si>
    <t>TUBING ANGIO L72IN SGL STYL CNTRST DEL PRSS INJ SPIK HD VENT</t>
  </si>
  <si>
    <t>PRODIGO0015468</t>
  </si>
  <si>
    <t>42221612  Intravenous or arterial tubing needleless injection ports or stopcocks or manifolds</t>
  </si>
  <si>
    <t>A4223</t>
  </si>
  <si>
    <t>INFUSION SUPPLIES NOT USED WITH EXTERNAL INFUSION PUMP, PER CASSETTE OR BAG (LIST DRUGS SEPARATELY)</t>
  </si>
  <si>
    <t>IV TUBING WITH VENTED SPIKE HEAD72 (182.88 CM)</t>
  </si>
  <si>
    <t>TUBING, INTRAVENOUS, 72 IN, STANDARD BORE, MALE LUER LOCK, VENTED SPIKE HEAD, SINGLE STYLE, CLEAR, STERILE, LATEX-FREE, DISPOSABLE</t>
  </si>
  <si>
    <t>TUBING, IV, 72 IN, STD BOR, M LUER LCK, VENTED SPIKE HD, SINGLE STYL, CLR, STRL, LF, DISP</t>
  </si>
  <si>
    <t>TUBING, IV, 72 IN, STD BOR, M LUER LCK, VENTED SPIKE HD, SINGLE</t>
  </si>
  <si>
    <t>INTRAVENOUS</t>
  </si>
  <si>
    <t>72 IN</t>
  </si>
  <si>
    <t>STANDARD BORE, MALE LUER LOCK, VENTED SPIKE HEAD, SINGLE STYLE</t>
  </si>
  <si>
    <t>https://www.medline.com/search/products/H965913000041</t>
  </si>
  <si>
    <t>HHS1859R</t>
  </si>
  <si>
    <t>MEDLINE_HHS1859R</t>
  </si>
  <si>
    <t>SENSOR REPROC OXMTR AD 18 IN 30 KG SFT FOAM WHT GRY LTX</t>
  </si>
  <si>
    <t>PRODIGO1066887</t>
  </si>
  <si>
    <t>42181803  Pulse oximeter probes or sensors</t>
  </si>
  <si>
    <t>A4606</t>
  </si>
  <si>
    <t>OXYGEN PROBE FOR USE WITH OXIMETER DEVICE, REPLACEMENT</t>
  </si>
  <si>
    <t>SENSOR, OXIMETER, REPROCESSED, ADULT, 18 IN, 30 KG, SOFT FOAM, WHITE, GRAY, LATEX</t>
  </si>
  <si>
    <t>SENSOR, OXMTR, REPROCESSED, AD, 18 IN, 30 KG, SFT FOAM, WHT, GRY, LTX</t>
  </si>
  <si>
    <t>SENSOR</t>
  </si>
  <si>
    <t>OXIMETER</t>
  </si>
  <si>
    <t>REPROCESSED</t>
  </si>
  <si>
    <t>18 IN</t>
  </si>
  <si>
    <t>30 KG</t>
  </si>
  <si>
    <t>SOFT FOAM</t>
  </si>
  <si>
    <t>WHITE, GRAY</t>
  </si>
  <si>
    <t>LATEX</t>
  </si>
  <si>
    <t>URL NOT FOUND</t>
  </si>
  <si>
    <t>MDS9910HPCS</t>
  </si>
  <si>
    <t>MEDLINE_MDS9910HPCS</t>
  </si>
  <si>
    <t>CUFF BLD PRSS INF SFT CLTH SGL TB HK LOOP CLSR W/ BAYNT</t>
  </si>
  <si>
    <t>PRODIGO0781518</t>
  </si>
  <si>
    <t>42181605  Blood pressure cuffs or bladders</t>
  </si>
  <si>
    <t>A4663</t>
  </si>
  <si>
    <t>BLOOD PRESSURE CUFF ONLY</t>
  </si>
  <si>
    <t>DISPOSABLE SINGLE-TUBE BLOOD PRESSURE CUFF WITH BAYONET CONNECTORINFANT</t>
  </si>
  <si>
    <t>CUFF, BLOOD PRESSURE, SINGLE TUBE, INFANT, WITH BAYONET CONNECTOR, HOOK AND LOOP CLOSURE, CUFF, POLYESTER SOFT CLOTH, LATEX-FREE, DISPOSABLE</t>
  </si>
  <si>
    <t>CUFF, BLD PRESSURE, SINGLE TUBE, INF, W/ BAYNT CONN, HK &amp; LOOP CLOSURE, CUF, POLYESTER SFT CLTH, LF, DISP</t>
  </si>
  <si>
    <t>CUFF, BLD PRESSURE, SINGLE TUBE, INF, BAYNT CONN, HK LOOP</t>
  </si>
  <si>
    <t>CUFF</t>
  </si>
  <si>
    <t>BLOOD PRESSURE</t>
  </si>
  <si>
    <t>SINGLE TUBE</t>
  </si>
  <si>
    <t>INFANT</t>
  </si>
  <si>
    <t>WITH BAYONET CONNECTOR, HOOK AND LOOP CLOSURE, CUFF</t>
  </si>
  <si>
    <t>POLYESTER SOFT CLOTH</t>
  </si>
  <si>
    <t>https://punchout.medline.com/sku/item/MDPMDS9910HPCS</t>
  </si>
  <si>
    <t>MDS9910HPLCS</t>
  </si>
  <si>
    <t>MEDLINE_MDS9910HPLCS</t>
  </si>
  <si>
    <t>CUFF BLD PRSS INF LNG SFT CLTH SGL TB HK LOOP CLSR W/ BAYNT</t>
  </si>
  <si>
    <t>PRODIGO0781528</t>
  </si>
  <si>
    <t>DISPOSABLE SINGLE-TUBE BLOOD PRESSURE CUFF WITH BAYONET CONNECTORINFANT LONG</t>
  </si>
  <si>
    <t>CUFF, BLOOD PRESSURE, SINGLE TUBE, LONG, INFANT, WITH BAYONET CONNECTOR, HOOK AND LOOP CLOSURE, CUFF, POLYESTER SOFT CLOTH, LATEX-FREE, DISPOSABLE</t>
  </si>
  <si>
    <t>CUFF, BLD PRESSURE, SINGLE TUBE, LNG, INF, W/ BAYNT CONN, HK &amp; LOOP CLOSURE, CUF, POLYESTER SFT CLTH, LF, DISP</t>
  </si>
  <si>
    <t>CUFF, BLD PRESSURE, SINGLE TUBE, LNG, INF, BAYNT CONN, HK LOOP</t>
  </si>
  <si>
    <t>LONG</t>
  </si>
  <si>
    <t>https://punchout.medline.com/sku/item/MDPMDS9910HPLCS?skuIndex=S5&amp;question=&amp;flowType=&amp;indexCount=</t>
  </si>
  <si>
    <t>MDS9911HPCS</t>
  </si>
  <si>
    <t>MEDLINE_MDS9911HPCS</t>
  </si>
  <si>
    <t>CUFF BLD PRSS CHILD SFT CLTH SGL TB HK LOOP CLSR W/ BAYNT</t>
  </si>
  <si>
    <t>PRODIGO0781529</t>
  </si>
  <si>
    <t>DISPOSABLE SINGLE-TUBE BLOOD PRESSURE CUFF WITH BAYONET CONNECTORCHILD</t>
  </si>
  <si>
    <t>CUFF, BLOOD PRESSURE, SINGLE TUBE, CHILD, WITH BAYONET CONNECTOR, HOOK AND LOOP CLOSURE, CUFF, POLYESTER SOFT CLOTH, LATEX-FREE, DISPOSABLE</t>
  </si>
  <si>
    <t>CUFF, BLD PRESSURE, SINGLE TUBE, CH, W/ BAYNT CONN, HK &amp; LOOP CLOSURE, CUF, POLYESTER SFT CLTH, LF, DISP</t>
  </si>
  <si>
    <t>CUFF, BLD PRESSURE, SINGLE TUBE, CH, W/ BAYNT CONN, HK LOOP</t>
  </si>
  <si>
    <t>CHILD</t>
  </si>
  <si>
    <t>https://punchout.medline.com/sku/item/MDPMDS9911HPCS</t>
  </si>
  <si>
    <t>MDS9915HPCS</t>
  </si>
  <si>
    <t>MEDLINE_MDS9915HPCS</t>
  </si>
  <si>
    <t>BLOOD PRESSURE CUFFS OR BLADDERS</t>
  </si>
  <si>
    <t>CUFF BLD PRSS THGH SFT CLTH SGL TB HK LOOP CLSR W/ BAYNT</t>
  </si>
  <si>
    <t>PRODIGO0781527</t>
  </si>
  <si>
    <t>DISPOSABLE SINGLE-TUBE BLOOD PRESSURE CUFF WITH BAYONET CONNECTORADULTTHIGH</t>
  </si>
  <si>
    <t>CUFF, BLOOD PRESSURE, SINGLE TUBE, ADULT, THIGH, WITH BAYONET CONNECTOR, HOOK AND LOOP CLOSURE, CUFF, POLYESTER SOFT CLOTH, LATEX-FREE, DISPOSABLE</t>
  </si>
  <si>
    <t>CUFF, BLD PRESSURE, SINGLE TUBE, AD, THGH, W/ BAYNT CONN, HK &amp; LOOP CLOSURE, CUF, POLYESTER SFT CLTH, LF, DISP</t>
  </si>
  <si>
    <t>CUFF, BLD PRESSURE, SINGLE TUBE, AD, THGH, W/ BAYNT CONN, HK LOOP</t>
  </si>
  <si>
    <t>THIGH</t>
  </si>
  <si>
    <t>https://punchout.medline.com/sku/item/MDPMDS9915HPCS</t>
  </si>
  <si>
    <t>MDT215062</t>
  </si>
  <si>
    <t>MEDLINE_MDT215062</t>
  </si>
  <si>
    <t>APRON PROTCT W36XL40IN WHT COT LNG LEN BIB W REINF SIDE</t>
  </si>
  <si>
    <t>PRODIGO1052027</t>
  </si>
  <si>
    <t>42131601  Medical staff aprons or bibs</t>
  </si>
  <si>
    <t>BIB APRON36 X 40</t>
  </si>
  <si>
    <t>APRON, PROTECTIVE, BIB, 40X36 IN, UNISEX, TIES CLOSURE, REINFORCED SIDE, COTTON DUCK 100%, WHITE, LATEX-FREE</t>
  </si>
  <si>
    <t>APRON, PROTCT, BIB, 40X36 IN, UNISX, TIES CLOSURE, REINF SIDE, COTTON DUCK 100%, WHT, LF</t>
  </si>
  <si>
    <t>APRON, PROTCT, BIB, 40X36 IN, UNISX, TIES CLOSURE, REINF SIDE</t>
  </si>
  <si>
    <t>APRON</t>
  </si>
  <si>
    <t>PROTECTIVE</t>
  </si>
  <si>
    <t>BIB</t>
  </si>
  <si>
    <t>40X36 IN</t>
  </si>
  <si>
    <t>UNISEX</t>
  </si>
  <si>
    <t>TIES CLOSURE, REINFORCED SIDE</t>
  </si>
  <si>
    <t>COTTON DUCK 100%</t>
  </si>
  <si>
    <t>https://punchout.medline.com/sku/item/MDPMDT215062</t>
  </si>
  <si>
    <t>MDTNC8S33</t>
  </si>
  <si>
    <t>MEDLINE_MDTNC8S33</t>
  </si>
  <si>
    <t>BED SHEET HOSP BRTRC 48X88X14 IN FIT CNTOUR WHT</t>
  </si>
  <si>
    <t>PRODIGO0582798</t>
  </si>
  <si>
    <t>42132105  Hospital bed sheets or mattress covers</t>
  </si>
  <si>
    <t>PERFORMAX 33-OZ. BARIATRIC FITTED CONTOUR SHEETS48 X 88 X 14</t>
  </si>
  <si>
    <t>BED SHEET, HOSPITAL, BARIATRIC FITTED, 88X48X13 IN, 33 OZ, KNITTED,  CONTOUR SHEET, COTTON 100%, WHITE, PERFORMAX, LATEX-FREE</t>
  </si>
  <si>
    <t>BED SHEET, HOSP, BRTRC FIT, 88X48X13 IN, 33 OZ, KNITTED,  CNTOUR SHT, COTTON 100%, WHT, PERFORMAX, LF</t>
  </si>
  <si>
    <t>BED SHEET, HOSP, BRTRC FIT, 88X48X13 IN, 33 OZ, KNITTED, PERFORMA</t>
  </si>
  <si>
    <t>BED SHEET</t>
  </si>
  <si>
    <t>HOSPITAL</t>
  </si>
  <si>
    <t>BARIATRIC FITTED</t>
  </si>
  <si>
    <t>88X48X13 IN</t>
  </si>
  <si>
    <t>33 OZ</t>
  </si>
  <si>
    <t>KNITTED,  CONTOUR SHEET</t>
  </si>
  <si>
    <t>COTTON 100%</t>
  </si>
  <si>
    <t>PERFORMAX</t>
  </si>
  <si>
    <t>https://punchout.medline.com/sku/item/MDPMDTNC8S33</t>
  </si>
  <si>
    <t>NON03012</t>
  </si>
  <si>
    <t>MEDLINE_NON03012</t>
  </si>
  <si>
    <t>FOOD SERVICE CUPS OR MUGS</t>
  </si>
  <si>
    <t>CUP DRINK 12 OZ PLAS TRNSLUC</t>
  </si>
  <si>
    <t>PRODIGO0579679</t>
  </si>
  <si>
    <t>52151504  Domestic disposable cups or glasses or lids</t>
  </si>
  <si>
    <t>PLASTIC DRINKING CUPTRANSLUCENTDISPOSABLEPOLYSTYRENE12 OZ</t>
  </si>
  <si>
    <t>CUP, DRINKING, 12 OZ, POLYSTYRENE, TRANSLUCENT, LATEX, DISPOSABLE</t>
  </si>
  <si>
    <t>CUP, DRINK, 12 OZ, POLYSTYRENE, TRNSLUC, LTX, DISP</t>
  </si>
  <si>
    <t>CUP</t>
  </si>
  <si>
    <t>DRINKING</t>
  </si>
  <si>
    <t>12 OZ</t>
  </si>
  <si>
    <t>POLYSTYRENE</t>
  </si>
  <si>
    <t>TRANSLUCENT</t>
  </si>
  <si>
    <t>https://punchout.medline.com/sku/item/MDPNON03012</t>
  </si>
  <si>
    <t>ORT27600S</t>
  </si>
  <si>
    <t>MEDLINE_ORT27600S</t>
  </si>
  <si>
    <t>SPLINT ANKLE LACE-UP FIGURE 8 RETAIL SM</t>
  </si>
  <si>
    <t>PRODIGO1066888</t>
  </si>
  <si>
    <t>42241701  Ankle or foot orthopedic softgoods</t>
  </si>
  <si>
    <t>A4570</t>
  </si>
  <si>
    <t>SPLINT</t>
  </si>
  <si>
    <t>FIGURE 8 LACE-UP ANKLE BRACESIZE S</t>
  </si>
  <si>
    <t>BRACE, ANKLE, FIGURE 8, SMALL, LACE UP, BLACK, LATEX-FREE</t>
  </si>
  <si>
    <t>BRACE, ANK, FIG 8, SM, LACE UP, BLK, LF</t>
  </si>
  <si>
    <t>BRACE</t>
  </si>
  <si>
    <t>ANKLE</t>
  </si>
  <si>
    <t>FIGURE 8</t>
  </si>
  <si>
    <t>LACE UP</t>
  </si>
  <si>
    <t>BLACK</t>
  </si>
  <si>
    <t>https://punchout.medline.com/sku/item/MDPORT27600S</t>
  </si>
  <si>
    <t>PGL020</t>
  </si>
  <si>
    <t>MEDLINE_PGL020</t>
  </si>
  <si>
    <t>DRESSING WND BURN 0.7 OZ TUBE GEL PLUROGEL</t>
  </si>
  <si>
    <t>PRODIGO0582700</t>
  </si>
  <si>
    <t>42311513  Gel dressings</t>
  </si>
  <si>
    <t>A6242</t>
  </si>
  <si>
    <t>HYDROGEL DRESSING, WOUND COVER, STERILE, PAD SIZE 16 SQ. IN. OR LESS, WITHOUT ADHESIVE BORDER, EACH DRESSING</t>
  </si>
  <si>
    <t>PLUROGEL BURN AND WOUND DRESSING0.7 OZ. TUBE</t>
  </si>
  <si>
    <t>DRESSING, WOUND, BURN, 0.7 OZ, TUBE, GEL, NON STERIL, PLUROGEL, LATEX-FREE</t>
  </si>
  <si>
    <t>DRESSING, WND, BURN, 0.7 OZ, TUBE, GEL, N STERIL, PLUROGEL, LF</t>
  </si>
  <si>
    <t>DRESSING</t>
  </si>
  <si>
    <t>BURN</t>
  </si>
  <si>
    <t>0.7 OZ</t>
  </si>
  <si>
    <t>TUBE, GEL</t>
  </si>
  <si>
    <t>NON STERIL</t>
  </si>
  <si>
    <t>PLUROGEL</t>
  </si>
  <si>
    <t>https://accessgudid.nlm.nih.gov/devices/10888277698611</t>
  </si>
  <si>
    <t>VEN1644N</t>
  </si>
  <si>
    <t>MEDLINE_VEN1644N</t>
  </si>
  <si>
    <t>GLOVE PROTCT IND X LG NITRL BLK</t>
  </si>
  <si>
    <t>PRODIGO1066889</t>
  </si>
  <si>
    <t>46181504  Protective gloves</t>
  </si>
  <si>
    <t>A4927</t>
  </si>
  <si>
    <t>GLOVES, NON-STERILE, PER 100</t>
  </si>
  <si>
    <t>GLOVE, PROTECTIVE, XLARGE, INDUSTRAIL GRADE, NITRILE, BLACK</t>
  </si>
  <si>
    <t>GLOVE, PROTCT, XL, INDUSTRAIL GRD, NITRL, BLK</t>
  </si>
  <si>
    <t>GLOVE</t>
  </si>
  <si>
    <t>XLARGE</t>
  </si>
  <si>
    <t>INDUSTRAIL GRADE</t>
  </si>
  <si>
    <t>NITRILE</t>
  </si>
  <si>
    <t>016-244-1</t>
  </si>
  <si>
    <t>ForGhria_Output_2023-08-16</t>
  </si>
  <si>
    <t>ADVANCE MEDICAL DESIGNS INC</t>
  </si>
  <si>
    <t>ADVANCE MEDICAL DESIGNS</t>
  </si>
  <si>
    <t>010512</t>
  </si>
  <si>
    <t>10512</t>
  </si>
  <si>
    <t>01-0512</t>
  </si>
  <si>
    <t>ADVANCE MEDICAL DESIGNS_10512</t>
  </si>
  <si>
    <t>Cover C Arm W5XL12in Banded Bag Snap Kover</t>
  </si>
  <si>
    <t>PRODIGO1066688</t>
  </si>
  <si>
    <t>42295415  Surgical equipment covers</t>
  </si>
  <si>
    <t>BAND BAGS SNAP KOVER 5 IN WIDTH X 12 IN LENGTH</t>
  </si>
  <si>
    <t>COVER, EQUIPMENT, BANDED BAG, 12X5 IN, C-ARM, SNAP KOVER, NON STERILE, LATEX-FREE</t>
  </si>
  <si>
    <t>COVER, EQUIP, BANDED BG, 12X5 IN, CARM, SNAP KOVER, NS, LF</t>
  </si>
  <si>
    <t>EQUIPMENT</t>
  </si>
  <si>
    <t>BANDED BAG</t>
  </si>
  <si>
    <t>12X5 IN</t>
  </si>
  <si>
    <t>C-ARM, SNAP KOVER</t>
  </si>
  <si>
    <t>NON STERILE</t>
  </si>
  <si>
    <t>010615</t>
  </si>
  <si>
    <t>10615</t>
  </si>
  <si>
    <t>01-0615</t>
  </si>
  <si>
    <t>ADVANCE MEDICAL DESIGNS_10615</t>
  </si>
  <si>
    <t>Cover C Arm W6XL12in Banded Bag Snap Kover</t>
  </si>
  <si>
    <t>PRODIGO1066689</t>
  </si>
  <si>
    <t>BANDED BAGS 6 IN W X 15 IN L</t>
  </si>
  <si>
    <t>COVER, EQUIPMENT, BANDED BAG, 12X6 IN, C-ARM, SNAP KOVER, NON STERILE, LATEX-FREE</t>
  </si>
  <si>
    <t>COVER, EQUIP, BANDED BG, 12X6 IN, CARM, SNAP KOVER, NS, LF</t>
  </si>
  <si>
    <t>12X6 IN</t>
  </si>
  <si>
    <t>011010</t>
  </si>
  <si>
    <t>11010</t>
  </si>
  <si>
    <t>01-1010</t>
  </si>
  <si>
    <t>ADVANCE MEDICAL DESIGNS_11010</t>
  </si>
  <si>
    <t>Cover C Arm W10XL10in Banded Bag Snap Kover</t>
  </si>
  <si>
    <t>PRODIGO1066690</t>
  </si>
  <si>
    <t>BANDED BAGS 10 IN W X 10 IN L</t>
  </si>
  <si>
    <t>COVER, EQUIPMENT, BANDED BAG, 10X10 IN, C-ARM, SNAP KOVER, NON STERILE, LATEX-FREE</t>
  </si>
  <si>
    <t>COVER, EQUIP, BANDED BG, 10X10 IN, CARM, SNAP KOVER, NS, LF</t>
  </si>
  <si>
    <t>10X10 IN</t>
  </si>
  <si>
    <t>011020</t>
  </si>
  <si>
    <t>11020</t>
  </si>
  <si>
    <t>01-1020</t>
  </si>
  <si>
    <t>ADVANCE MEDICAL DESIGNS_11020</t>
  </si>
  <si>
    <t>Cover C Arm W10XL20in Banded Bag Snap Kover</t>
  </si>
  <si>
    <t>PRODIGO1066691</t>
  </si>
  <si>
    <t>BANDED BAGS 10 IN W X 20 IN L</t>
  </si>
  <si>
    <t>COVER, EQUIPMENT, BANDED BAG, 20X10 IN, C-ARM, SNAP KOVER, NON STERILE, LATEX-FREE</t>
  </si>
  <si>
    <t>COVER, EQUIP, BANDED BG, 20X10 IN, CARM, SNAP KOVER, NS, LF</t>
  </si>
  <si>
    <t>20X10 IN</t>
  </si>
  <si>
    <t>011212</t>
  </si>
  <si>
    <t>11212</t>
  </si>
  <si>
    <t>01-1212</t>
  </si>
  <si>
    <t>ADVANCE MEDICAL DESIGNS_11212</t>
  </si>
  <si>
    <t>Cover C Arm W12XL12in Banded Bag Snap Kover</t>
  </si>
  <si>
    <t>PRODIGO1066692</t>
  </si>
  <si>
    <t>BANDED BAGS 12 IN W X 12 IN L</t>
  </si>
  <si>
    <t>COVER, EQUIPMENT, BANDED BAG, 12X12 IN, C-ARM, SNAP KOVER, NON STERILE, LATEX-FREE</t>
  </si>
  <si>
    <t>COVER, EQUIP, BANDED BG, 12X12 IN, CARM, SNAP KOVER, NS, LF</t>
  </si>
  <si>
    <t>12X12 IN</t>
  </si>
  <si>
    <t>012028</t>
  </si>
  <si>
    <t>12028</t>
  </si>
  <si>
    <t>01-2028</t>
  </si>
  <si>
    <t>ADVANCE MEDICAL DESIGNS_12028</t>
  </si>
  <si>
    <t>Cover C Arm W20XL28in Banded Bag Snap Kover</t>
  </si>
  <si>
    <t>PRODIGO1066693</t>
  </si>
  <si>
    <t>BANDED BAGS 20 IN W X 28 IN L</t>
  </si>
  <si>
    <t>COVER, EQUIPMENT, BANDED BAG, 28X20 IN, C-ARM, SNAP KOVER, NON STERILE, LATEX-FREE</t>
  </si>
  <si>
    <t>COVER, EQUIP, BANDED BG, 28X20 IN, CARM, SNAP KOVER, NS, LF</t>
  </si>
  <si>
    <t>28X20 IN</t>
  </si>
  <si>
    <t>012036</t>
  </si>
  <si>
    <t>12036</t>
  </si>
  <si>
    <t>01-2036</t>
  </si>
  <si>
    <t>ADVANCE MEDICAL DESIGNS_12036</t>
  </si>
  <si>
    <t>Cover C Arm W20XL36in Banded Bag Snap Kover</t>
  </si>
  <si>
    <t>PRODIGO1066694</t>
  </si>
  <si>
    <t>BANDED BAGS 20 IN W X 36 IN L</t>
  </si>
  <si>
    <t>COVER, EQUIPMENT, BANDED BAG, 36X20 IN, C-ARM, SNAP KOVER, NON STERILE, LATEX-FREE</t>
  </si>
  <si>
    <t>COVER, EQUIP, BANDED BG, 36X20 IN, CARM, SNAP KOVER, NS, LF</t>
  </si>
  <si>
    <t>36X20 IN</t>
  </si>
  <si>
    <t>012040</t>
  </si>
  <si>
    <t>12040</t>
  </si>
  <si>
    <t>01-2040</t>
  </si>
  <si>
    <t>ADVANCE MEDICAL DESIGNS_12040</t>
  </si>
  <si>
    <t>Cover C Arm W20XL40in Banded Bag Snap Kover</t>
  </si>
  <si>
    <t>PRODIGO1066695</t>
  </si>
  <si>
    <t>BANDED BAGS 20 IN W X 40 IN L</t>
  </si>
  <si>
    <t>COVER, EQUIPMENT, BANDED BAG, 40X20 IN, C-ARM, SNAP KOVER, NON STERILE, LATEX-FREE</t>
  </si>
  <si>
    <t>COVER, EQUIP, BANDED BG, 40X20 IN, CARM, SNAP KOVER, NS, LF</t>
  </si>
  <si>
    <t>40X20 IN</t>
  </si>
  <si>
    <t>012812</t>
  </si>
  <si>
    <t>12812</t>
  </si>
  <si>
    <t>01-2812</t>
  </si>
  <si>
    <t>ADVANCE MEDICAL DESIGNS_12812</t>
  </si>
  <si>
    <t>Cover C Arm W28XL12in Banded Bag Snap Kover</t>
  </si>
  <si>
    <t>PRODIGO1066696</t>
  </si>
  <si>
    <t>BANDED BAGS 28 IN W X 12 IN L</t>
  </si>
  <si>
    <t>COVER, EQUIPMENT, BANDED BAG, 12X28 IN, C-ARM, SNAP KOVER, NON STERILE, LATEX-FREE</t>
  </si>
  <si>
    <t>COVER, EQUIP, BANDED BG, 12X28 IN, CARM, SNAP KOVER, NS, LF</t>
  </si>
  <si>
    <t>12X28 IN</t>
  </si>
  <si>
    <t>013012</t>
  </si>
  <si>
    <t>13012</t>
  </si>
  <si>
    <t>01-3012</t>
  </si>
  <si>
    <t>ADVANCE MEDICAL DESIGNS_13012</t>
  </si>
  <si>
    <t>Cover C Arm W30XL12in Banded Bag Snap Kover</t>
  </si>
  <si>
    <t>PRODIGO1066697</t>
  </si>
  <si>
    <t>BANDED BAGS 30 IN W X 12 IN L</t>
  </si>
  <si>
    <t>COVER, EQUIPMENT, BANDED BAG, 12X30 IN, C-ARM, SNAP KOVER, NON STERILE, LATEX-FREE</t>
  </si>
  <si>
    <t>COVER, EQUIP, BANDED BG, 12X30 IN, CARM, SNAP KOVER, NS, LF</t>
  </si>
  <si>
    <t>12X30 IN</t>
  </si>
  <si>
    <t>013620N</t>
  </si>
  <si>
    <t>13620N</t>
  </si>
  <si>
    <t>01-3620N</t>
  </si>
  <si>
    <t>ADVANCE MEDICAL DESIGNS_013620N</t>
  </si>
  <si>
    <t>Cover C Arm W36XL20in Banded Bag With Rounded Corner Snap Kover</t>
  </si>
  <si>
    <t>PRODIGO1066698</t>
  </si>
  <si>
    <t>BANDED BAGS 36 IN W X 20 IN L W/ROUNDED CORNERS</t>
  </si>
  <si>
    <t>COVER, EQUIPMENT, BANDED BAG, 20X36 IN, WITH ROUNDED CORNER, C-ARM, SNAP KOVER, NON STERILE, LATEX-FREE</t>
  </si>
  <si>
    <t>COVER, EQUIP, BANDED BG, 20X36 IN, W/ ROUNDED CORNER, CARM, SNAP KOVER, NS, LF</t>
  </si>
  <si>
    <t>COVER, EQUIP, BANDED BG, 20X36 IN, W/ ROUNDED CORNER, CARM</t>
  </si>
  <si>
    <t>20X36 IN</t>
  </si>
  <si>
    <t>WITH ROUNDED CORNER, C-ARM, SNAP KOVER</t>
  </si>
  <si>
    <t>013654</t>
  </si>
  <si>
    <t>13654</t>
  </si>
  <si>
    <t>01-3654</t>
  </si>
  <si>
    <t>ADVANCE MEDICAL DESIGNS_13654</t>
  </si>
  <si>
    <t>Cover C Arm W36XL54in Antimicrobial Banded Bag Snap Kover</t>
  </si>
  <si>
    <t>PRODIGO1066699</t>
  </si>
  <si>
    <t>BANDED BAGS 36 IN W X 54 IN L</t>
  </si>
  <si>
    <t>COVER, EQUIPMENT, BANDED BAG, 54X36 IN, C-ARM, SNAP KOVER, ANTIMICROBIAL, NON STERILE, LATEX-FREE</t>
  </si>
  <si>
    <t>COVER, EQUIP, BANDED BG, 54X36 IN, CARM, SNAP KOVER, ANTIMICROBIAL, NS, LF</t>
  </si>
  <si>
    <t>COVER, EQUIP, BANDED BG, 54X36 IN, CARM, SNAP KOVER, ANTIMICROBIAL</t>
  </si>
  <si>
    <t>54X36 IN</t>
  </si>
  <si>
    <t>C-ARM, SNAP KOVER, ANTIMICROBIAL</t>
  </si>
  <si>
    <t>0136542R</t>
  </si>
  <si>
    <t>136542R</t>
  </si>
  <si>
    <t>01-36542R</t>
  </si>
  <si>
    <t>ADVANCE MEDICAL DESIGNS_0136542R</t>
  </si>
  <si>
    <t>Cover C Arm W36XL54in With 2 Additional Separate Elastic Band Snap Kover</t>
  </si>
  <si>
    <t>PRODIGO1066700</t>
  </si>
  <si>
    <t>BANDED BAGS 36 IN W X 54 IN L W/2 RUBBERBANDS</t>
  </si>
  <si>
    <t>COVER, EQUIPMENT, BANDED BAG, 54X36 IN, WITH 2 ADDITIONAL SEPARATE ELASTIC BAND, C-ARM, SNAP KOVER, NON STERILE, LATEX-FREE</t>
  </si>
  <si>
    <t>COVER, EQUIP, BANDED BG, 54X36 IN, W/ 2 ADD SEP ELASTIC BND, CARM, SNAP KOVER, NS, LF</t>
  </si>
  <si>
    <t>COVER, EQUIP, BANDED BG, 54X36 IN, W/ 2 ADD SEP ELASTIC BND, CARM</t>
  </si>
  <si>
    <t>WITH 2 ADDITIONAL SEPARATE ELASTIC BAND, C-ARM, SNAP KOVER</t>
  </si>
  <si>
    <t>013670</t>
  </si>
  <si>
    <t>13670</t>
  </si>
  <si>
    <t>01-3670</t>
  </si>
  <si>
    <t>ADVANCE MEDICAL DESIGNS_13670</t>
  </si>
  <si>
    <t>Cover C Arm W36XL70in Snap Kover</t>
  </si>
  <si>
    <t>PRODIGO1066701</t>
  </si>
  <si>
    <t>BANDED BAGS 36 IN W X 70 IN L</t>
  </si>
  <si>
    <t>COVER, EQUIPMENT, BANDED BAG, 70X36 IN, C-ARM, SNAP KOVER, NON STERILE, LATEX-FREE</t>
  </si>
  <si>
    <t>COVER, EQUIP, BANDED BG, 70X36 IN, CARM, SNAP KOVER, NS, LF</t>
  </si>
  <si>
    <t>70X36 IN</t>
  </si>
  <si>
    <t>013690</t>
  </si>
  <si>
    <t>13690</t>
  </si>
  <si>
    <t>01-3690</t>
  </si>
  <si>
    <t>ADVANCE MEDICAL DESIGNS_13690</t>
  </si>
  <si>
    <t>Cover C Arm W36XL90in Antimicrobial Banded Bag Snap Kover</t>
  </si>
  <si>
    <t>PRODIGO1066702</t>
  </si>
  <si>
    <t>BANDED BAGS 36 IN W X 90 IN L</t>
  </si>
  <si>
    <t>COVER, EQUIPMENT, BANDED BAG, 90X36 IN, C-ARM, SNAP KOVER, ANTIMICROBIAL, NON STERILE, LATEX-FREE</t>
  </si>
  <si>
    <t>COVER, EQUIP, BANDED BG, 90X36 IN, CARM, SNAP KOVER, ANTIMICROBIAL, NS, LF</t>
  </si>
  <si>
    <t>COVER, EQUIP, BANDED BG, 90X36 IN, CARM, SNAP KOVER, ANTIMICROBIAL</t>
  </si>
  <si>
    <t>90X36 IN</t>
  </si>
  <si>
    <t>014020</t>
  </si>
  <si>
    <t>14020</t>
  </si>
  <si>
    <t>01-4020</t>
  </si>
  <si>
    <t>ADVANCE MEDICAL DESIGNS_14020</t>
  </si>
  <si>
    <t>Cover C Arm W40XL20in Antimicrobial Banded Bag Snap Kover</t>
  </si>
  <si>
    <t>PRODIGO1066703</t>
  </si>
  <si>
    <t>BANDED BAGS 40 IN W X 20 IN L</t>
  </si>
  <si>
    <t>COVER, EQUIPMENT, BANDED BAG, 20X40 IN, C-ARM, SNAP KOVER, ANTIMICROBIAL, NON STERILE, LATEX-FREE</t>
  </si>
  <si>
    <t>COVER, EQUIP, BANDED BG, 20X40 IN, CARM, SNAP KOVER, ANTIMICROBIAL, NS, LF</t>
  </si>
  <si>
    <t>COVER, EQUIP, BANDED BG, 20X40 IN, CARM, SNAP KOVER, ANTIMICROBIAL</t>
  </si>
  <si>
    <t>20X40 IN</t>
  </si>
  <si>
    <t>014060</t>
  </si>
  <si>
    <t>14060</t>
  </si>
  <si>
    <t>01-4060</t>
  </si>
  <si>
    <t>ADVANCE MEDICAL DESIGNS_14060</t>
  </si>
  <si>
    <t>Cover C Arm W40XL60in Banded Bag Snap Kover</t>
  </si>
  <si>
    <t>PRODIGO1066704</t>
  </si>
  <si>
    <t>BANDED BAGS 40 IN W X 60 IN L</t>
  </si>
  <si>
    <t>COVER, EQUIPMENT, BANDED BAG, 60X40 IN, C-ARM, SNAP KOVER, NON STERILE, LATEX-FREE</t>
  </si>
  <si>
    <t>COVER, EQUIP, BANDED BG, 60X40 IN, CARM, SNAP KOVER, NS, LF</t>
  </si>
  <si>
    <t>60X40 IN</t>
  </si>
  <si>
    <t>014425</t>
  </si>
  <si>
    <t>14425</t>
  </si>
  <si>
    <t>01-4425</t>
  </si>
  <si>
    <t>ADVANCE MEDICAL DESIGNS_14425</t>
  </si>
  <si>
    <t>Cover C Arm W44XL25in Banded Bag Snap Kover</t>
  </si>
  <si>
    <t>PRODIGO1066705</t>
  </si>
  <si>
    <t>BANDED BAGS 44 IN W X 25 IN L</t>
  </si>
  <si>
    <t>COVER, EQUIPMENT, BANDED BAG, 25X44 IN, C-ARM, SNAP KOVER, NON STERILE, LATEX-FREE</t>
  </si>
  <si>
    <t>COVER, EQUIP, BANDED BG, 25X44 IN, CARM, SNAP KOVER, NS, LF</t>
  </si>
  <si>
    <t>25X44 IN</t>
  </si>
  <si>
    <t>015020</t>
  </si>
  <si>
    <t>15020</t>
  </si>
  <si>
    <t>01-5020</t>
  </si>
  <si>
    <t>ADVANCE MEDICAL DESIGNS_15020</t>
  </si>
  <si>
    <t>Cover C Arm W50XL20in Banded Bag Snap Kover</t>
  </si>
  <si>
    <t>PRODIGO1066706</t>
  </si>
  <si>
    <t>BANDED BAGS 50 IN W X 20 IN L</t>
  </si>
  <si>
    <t>COVER, EQUIPMENT, BANDED BAG, 20X50 IN, C-ARM, SNAP KOVER, NON STERILE, LATEX-FREE</t>
  </si>
  <si>
    <t>COVER, EQUIP, BANDED BG, 20X50 IN, CARM, SNAP KOVER, NS, LF</t>
  </si>
  <si>
    <t>20X50 IN</t>
  </si>
  <si>
    <t>015030</t>
  </si>
  <si>
    <t>15030</t>
  </si>
  <si>
    <t>01-5030</t>
  </si>
  <si>
    <t>ADVANCE MEDICAL DESIGNS_15030</t>
  </si>
  <si>
    <t>Cover C Arm W50XL30in Banded Bag Snap Kover</t>
  </si>
  <si>
    <t>PRODIGO1066707</t>
  </si>
  <si>
    <t>BANDED BAGS 50 IN W X 30 IN L</t>
  </si>
  <si>
    <t>COVER, EQUIPMENT, BANDED BAG, 30X50 IN, C-ARM, SNAP KOVER, NON STERILE, LATEX-FREE</t>
  </si>
  <si>
    <t>COVER, EQUIP, BANDED BG, 30X50 IN, CARM, SNAP KOVER, NS, LF</t>
  </si>
  <si>
    <t>30X50 IN</t>
  </si>
  <si>
    <t>015050</t>
  </si>
  <si>
    <t>15050</t>
  </si>
  <si>
    <t>01-5050</t>
  </si>
  <si>
    <t>ADVANCE MEDICAL DESIGNS_15050</t>
  </si>
  <si>
    <t>Cover C Arm W50XL50in Banded Bag Snap Kover</t>
  </si>
  <si>
    <t>PRODIGO1066708</t>
  </si>
  <si>
    <t>BANDED BAGS 50 IN W X 50 IN L</t>
  </si>
  <si>
    <t>COVER, EQUIPMENT, BANDED BAG, 50X50 IN, C-ARM, SNAP KOVER, NON STERILE, LATEX-FREE</t>
  </si>
  <si>
    <t>COVER, EQUIP, BANDED BG, 50X50 IN, CARM, SNAP KOVER, NS, LF</t>
  </si>
  <si>
    <t>50X50 IN</t>
  </si>
  <si>
    <t>015242</t>
  </si>
  <si>
    <t>15242</t>
  </si>
  <si>
    <t>01-5242</t>
  </si>
  <si>
    <t>ADVANCE MEDICAL DESIGNS_15242</t>
  </si>
  <si>
    <t>Cover Surgical Equipment W52XL42in Lead Shield Without Rubberband Custom</t>
  </si>
  <si>
    <t>PRODIGO1066709</t>
  </si>
  <si>
    <t>BANDED BAGS 52 INW X 42 INL W/OUT RUBBERBAND</t>
  </si>
  <si>
    <t>COVER, EQUIPMENT, BANDED BAG, 42X52 IN, LEAD SHIELD, WITHOUT RUBBERBAND, CUSTOM, NON STERILE, LATEX-FREE</t>
  </si>
  <si>
    <t>COVER, EQUIP, BANDED BG, 42X52 IN, LD SHLD, W/O RUBBERBAND, CUST, NS, LF</t>
  </si>
  <si>
    <t>COVER, EQUIP, BANDED BG, 42X52 IN, LD SHLD, W/O RUBBERBAND, CUST</t>
  </si>
  <si>
    <t>42X52 IN</t>
  </si>
  <si>
    <t>LEAD SHIELD, WITHOUT RUBBERBAND, CUSTOM</t>
  </si>
  <si>
    <t>015490</t>
  </si>
  <si>
    <t>15490</t>
  </si>
  <si>
    <t>01-5490</t>
  </si>
  <si>
    <t>ADVANCE MEDICAL DESIGNS_15490</t>
  </si>
  <si>
    <t>Cover C Arm W54XL90in Banded Bag Snap Kover</t>
  </si>
  <si>
    <t>PRODIGO1066710</t>
  </si>
  <si>
    <t>BANDED BAGS 54 IN W X 90 IN L</t>
  </si>
  <si>
    <t>COVER, EQUIPMENT, BANDED BAG, 90X54 IN, C-ARM, SNAP KOVER, NON STERILE, LATEX-FREE</t>
  </si>
  <si>
    <t>COVER, EQUIP, BANDED BG, 90X54 IN, CARM, SNAP KOVER, NS, LF</t>
  </si>
  <si>
    <t>90X54 IN</t>
  </si>
  <si>
    <t>03KP05</t>
  </si>
  <si>
    <t>3KP05</t>
  </si>
  <si>
    <t>03-KP05</t>
  </si>
  <si>
    <t>ADVANCE MEDICAL DESIGNS_03KP05</t>
  </si>
  <si>
    <t>Cover C Arm D5in Clear Plastic Dome Disposable Snap Kap</t>
  </si>
  <si>
    <t>PRODIGO1066734</t>
  </si>
  <si>
    <t>42192501  Medical equipment covers</t>
  </si>
  <si>
    <t>DOME COVERS 5 IN DEPTH</t>
  </si>
  <si>
    <t>COVER, EQUIPMENT, DOME, 5 IN, C-ARM, SNAP KOVER, PLASTIC, CLEAR, NON STERILE, LATEX-FREE, DISPOSABLE</t>
  </si>
  <si>
    <t>COVER, EQUIP, DOME, 5 IN, CARM, SNAP KOVER, PLAS, CLR, NS, LF, DISP</t>
  </si>
  <si>
    <t>COVER, EQUIP, DOME, 5 IN, CARM, SNAP KOVER, PLAS, CLR, NS, LF</t>
  </si>
  <si>
    <t>DOME</t>
  </si>
  <si>
    <t>5 IN</t>
  </si>
  <si>
    <t>PLASTIC</t>
  </si>
  <si>
    <t>03KP40</t>
  </si>
  <si>
    <t>3KP40</t>
  </si>
  <si>
    <t>03-KP40</t>
  </si>
  <si>
    <t>ADVANCE MEDICAL DESIGNS_03KP40</t>
  </si>
  <si>
    <t>Cover C Arm D40in Clear Plastic Dome Disposable Snap Kap</t>
  </si>
  <si>
    <t>PRODIGO1066735</t>
  </si>
  <si>
    <t>DOME COVERS 40 IN DEPTH</t>
  </si>
  <si>
    <t>COVER, EQUIPMENT, DOME, 40 IN, C-ARM, SNAP KOVER, PLASTIC, CLEAR, NON STERILE, LATEX-FREE, DISPOSABLE</t>
  </si>
  <si>
    <t>COVER, EQUIP, DOME, 40 IN, CARM, SNAP KOVER, PLAS, CLR, NS, LF, DISP</t>
  </si>
  <si>
    <t>40 IN</t>
  </si>
  <si>
    <t>03KP50</t>
  </si>
  <si>
    <t>3KP50</t>
  </si>
  <si>
    <t>03-KP50</t>
  </si>
  <si>
    <t>ADVANCE MEDICAL DESIGNS_03KP50</t>
  </si>
  <si>
    <t>Cover C Arm D50in Clear Plastic Dome Disposable Snap Kap</t>
  </si>
  <si>
    <t>PRODIGO1066736</t>
  </si>
  <si>
    <t>DOME COVERS 50 IN DEPTH</t>
  </si>
  <si>
    <t>COVER, EQUIPMENT, DOME, 50 IN, C-ARM, SNAP KOVER, PLASTIC, CLEAR, NON STERILE, LATEX-FREE, DISPOSABLE</t>
  </si>
  <si>
    <t>COVER, EQUIP, DOME, 50 IN, CARM, SNAP KOVER, PLAS, CLR, NS, LF, DISP</t>
  </si>
  <si>
    <t>50 IN</t>
  </si>
  <si>
    <t>04CC212</t>
  </si>
  <si>
    <t>4CC212</t>
  </si>
  <si>
    <t>04-CC212</t>
  </si>
  <si>
    <t>ADVANCE MEDICAL DESIGNS_04CC212</t>
  </si>
  <si>
    <t>Cover Camera And Laser W9XL96in Universal Blue Elastic Fenestration Closure</t>
  </si>
  <si>
    <t>PRODIGO1066741</t>
  </si>
  <si>
    <t>CAMERA &amp; LASER COVERS UNIVERSAL CAMERA DRAPE W/BLUE ELASTIC FENESTRATION	9 INW X 96 IN</t>
  </si>
  <si>
    <t>DRAPE, EQUIPMENT, CAMERA, UNIVERSAL, 96X9 IN, LASER, WITH ELASTIC FENESTRATION CLOSURE, BLUE, NON STERILE, LATEX-FREE</t>
  </si>
  <si>
    <t>DRAPE, EQUIP, CAM, UNIV, 96X9 IN, LASER, W/ ELASTIC FEN CLOSURE, BLU, NS, LF</t>
  </si>
  <si>
    <t>DRAPE, EQUIP, CAM, UNIV, 96X9 IN, LASER, ELASTIC FEN CLOSURE, BLU</t>
  </si>
  <si>
    <t>DRAPE</t>
  </si>
  <si>
    <t>CAMERA</t>
  </si>
  <si>
    <t>UNIVERSAL</t>
  </si>
  <si>
    <t>96X9 IN</t>
  </si>
  <si>
    <t>LASER, WITH ELASTIC FENESTRATION CLOSURE</t>
  </si>
  <si>
    <t>04CC214</t>
  </si>
  <si>
    <t>4CC214</t>
  </si>
  <si>
    <t>04-CC214</t>
  </si>
  <si>
    <t>ADVANCE MEDICAL DESIGNS_04CC214</t>
  </si>
  <si>
    <t>Cover Camera And Laser W5XL96in Universal Blue Elastic Fenestration Closure</t>
  </si>
  <si>
    <t>PRODIGO1066742</t>
  </si>
  <si>
    <t>CAMERA &amp; LASER COVERS UNIVERSAL CAMERA DRAPE W/BLUE ELASTIC FENESTRATION 5 INW X 96 INL</t>
  </si>
  <si>
    <t>DRAPE, EQUIPMENT, CAMERA, UNIVERSAL, 96X5 IN, LASER, WITH ELASTIC FENESTRATION CLOSURE, BLUE, NON STERILE, LATEX-FREE</t>
  </si>
  <si>
    <t>DRAPE, EQUIP, CAM, UNIV, 96X5 IN, LASER, W/ ELASTIC FEN CLOSURE, BLU, NS, LF</t>
  </si>
  <si>
    <t>DRAPE, EQUIP, CAM, UNIV, 96X5 IN, LASER, ELASTIC FEN CLOSURE, BLU</t>
  </si>
  <si>
    <t>96X5 IN</t>
  </si>
  <si>
    <t>04CC222</t>
  </si>
  <si>
    <t>4CC222</t>
  </si>
  <si>
    <t>04-CC222</t>
  </si>
  <si>
    <t>ADVANCE MEDICAL DESIGNS_04CC222</t>
  </si>
  <si>
    <t>Cover Camera And Laser W6XL96in Tear Away Tip</t>
  </si>
  <si>
    <t>PRODIGO1066743</t>
  </si>
  <si>
    <t>CAMERA &amp; LASER COVERS CAMERA &amp; LASER DRAPE W/ TEAR-AWAY TIP 6 INW X 96 INL</t>
  </si>
  <si>
    <t>DRAPE, EQUIPMENT, CAMERA, 96X6 IN, LASER, WITH TEAR-AWAY TIP, NON STERILE, LATEX-FREE</t>
  </si>
  <si>
    <t>DRAPE, EQUIP, CAM, 96X6 IN, LASER, W/ TEARWY TIP, NS, LF</t>
  </si>
  <si>
    <t>96X6 IN</t>
  </si>
  <si>
    <t>LASER, WITH TEAR-AWAY TIP</t>
  </si>
  <si>
    <t>04CC224</t>
  </si>
  <si>
    <t>4CC224</t>
  </si>
  <si>
    <t>04-CC224</t>
  </si>
  <si>
    <t>ADVANCE MEDICAL DESIGNS_04CC224</t>
  </si>
  <si>
    <t>Cover Camera And Laser W5XL48in Tear Away Tip</t>
  </si>
  <si>
    <t>PRODIGO1066744</t>
  </si>
  <si>
    <t>CAMERA &amp; LASER COVERS CAMERA &amp; LASER DRAPE W/TEAR-AWAY TIP 5 INW X 48 INL</t>
  </si>
  <si>
    <t>DRAPE, EQUIPMENT, CAMERA, 48X5 IN, LASER, WITH TEAR-AWAY TIP, NON STERILE, LATEX-FREE</t>
  </si>
  <si>
    <t>DRAPE, EQUIP, CAM, 48X5 IN, LASER, W/ TEARWY TIP, NS, LF</t>
  </si>
  <si>
    <t>48X5 IN</t>
  </si>
  <si>
    <t>04CC230</t>
  </si>
  <si>
    <t>4CC230</t>
  </si>
  <si>
    <t>04-CC230</t>
  </si>
  <si>
    <t>ADVANCE MEDICAL DESIGNS_04CC230</t>
  </si>
  <si>
    <t>Cover Camera And Laser W5XL96in Tear Away Tip And Sleeve</t>
  </si>
  <si>
    <t>PRODIGO1066745</t>
  </si>
  <si>
    <t>CAMERA &amp; LASER COVERS CAMERA &amp; LASER DRAPE W/ TEAR-AWAY TIP 5 INW X 96 INL</t>
  </si>
  <si>
    <t>DRAPE, EQUIPMENT, CAMERA, 96X5 IN, LASER, WITH TEAR-AWAY TIP AND SLEEVE, NON STERILE, LATEX-FREE</t>
  </si>
  <si>
    <t>DRAPE, EQUIP, CAM, 96X5 IN, LASER, W/ TEARWY TIP &amp; SL, NS, LF</t>
  </si>
  <si>
    <t>LASER, WITH TEAR-AWAY TIP AND SLEEVE</t>
  </si>
  <si>
    <t>04CC800</t>
  </si>
  <si>
    <t>4CC800</t>
  </si>
  <si>
    <t>04-CC800</t>
  </si>
  <si>
    <t>ADVANCE MEDICAL DESIGNS_04CC800</t>
  </si>
  <si>
    <t>Drape Camera W7XL96in For Closed System</t>
  </si>
  <si>
    <t>PRODIGO1066746</t>
  </si>
  <si>
    <t>CLOSED SYSTEM CAMERA DRAPE 7 INW X 96 INL</t>
  </si>
  <si>
    <t>DRAPE, EQUIPMENT, CAMERA, 96X7 IN, FOR CLOSED SYSTEM, NON STERILE, LATEX-FREE</t>
  </si>
  <si>
    <t>DRAPE, EQUIP, CAM, 96X7 IN, FOR CLOSED SYS, NS, LF</t>
  </si>
  <si>
    <t>96X7 IN</t>
  </si>
  <si>
    <t>FOR CLOSED SYSTEM</t>
  </si>
  <si>
    <t>05CD2720</t>
  </si>
  <si>
    <t>5CD2720</t>
  </si>
  <si>
    <t>05-CD2720</t>
  </si>
  <si>
    <t>ADVANCE MEDICAL DESIGNS_05CD2720</t>
  </si>
  <si>
    <t>Drape Console W27XL20in With Adhesive</t>
  </si>
  <si>
    <t>PRODIGO1066749</t>
  </si>
  <si>
    <t>ACCESSORY DRAPE  CONSOLE DRAPE W/ ADHESIVE 27 INW X 20 INL</t>
  </si>
  <si>
    <t>DRAPE, EQUIPMENT, CONSOLE, 20X27 IN, ACCESSORY, WITH ADHESIVE, NON STERILE, LATEX-FREE</t>
  </si>
  <si>
    <t>DRAPE, EQUIP, CONSOLE, 20X27 IN, ACCSRY, W/ ADH, NS, LF</t>
  </si>
  <si>
    <t>CONSOLE</t>
  </si>
  <si>
    <t>20X27 IN</t>
  </si>
  <si>
    <t>ACCESSORY, WITH ADHESIVE</t>
  </si>
  <si>
    <t>https://www.advancemedicaldesigns.com/category/accessory-drapes/accessory-drape</t>
  </si>
  <si>
    <t>05DD3948</t>
  </si>
  <si>
    <t>5DD3948</t>
  </si>
  <si>
    <t>05-DD3948</t>
  </si>
  <si>
    <t>ADVANCE MEDICAL DESIGNS_05DD3948</t>
  </si>
  <si>
    <t>Drape Drill W39XL48in</t>
  </si>
  <si>
    <t>PRODIGO1066750</t>
  </si>
  <si>
    <t>ACCESSORY DRAPE DRILL DRAPE 39 INW X 48 INL</t>
  </si>
  <si>
    <t>DRAPE, EQUIPMENT, DRILL, 48X39 IN, ACCESSORY, NON STERILE, LATEX-FREE</t>
  </si>
  <si>
    <t>DRAPE, EQUIP, DRL, 48X39 IN, ACCSRY, NS, LF</t>
  </si>
  <si>
    <t>DRILL</t>
  </si>
  <si>
    <t>48X39 IN</t>
  </si>
  <si>
    <t>ACCESSORY</t>
  </si>
  <si>
    <t>05MP1680</t>
  </si>
  <si>
    <t>5MP1680</t>
  </si>
  <si>
    <t>05-MP1680</t>
  </si>
  <si>
    <t>ADVANCE MEDICAL DESIGNS_05MP1680</t>
  </si>
  <si>
    <t>Drape Microscope Post W16XL80in</t>
  </si>
  <si>
    <t>PRODIGO1066751</t>
  </si>
  <si>
    <t>MICROSCOPE POST DRAPE 16X80 IN</t>
  </si>
  <si>
    <t>DRAPE, EQUIPMENT, MICROSCOPE, 80X16 IN, POST, NON STERILE, LATEX-FREE</t>
  </si>
  <si>
    <t>DRAPE, EQUIP, MICSCP, 80X16 IN, POST, NS, LF</t>
  </si>
  <si>
    <t>MICROSCOPE</t>
  </si>
  <si>
    <t>80X16 IN</t>
  </si>
  <si>
    <t>POST</t>
  </si>
  <si>
    <t>05RC0408</t>
  </si>
  <si>
    <t>5RC0408</t>
  </si>
  <si>
    <t>05-RC0408</t>
  </si>
  <si>
    <t>ADVANCE MEDICAL DESIGNS_05RC0408</t>
  </si>
  <si>
    <t>Drape Remote Control W4XL8in Closed End</t>
  </si>
  <si>
    <t>PRODIGO1066752</t>
  </si>
  <si>
    <t>ACCESSORY DRAPE REMOTE CONTROL DRAPE 4 INW X 8 INL</t>
  </si>
  <si>
    <t>DRAPE, EQUIPMENT, REMOTE CONTROL, 8X4 IN, ACCESSORY, CLOSED END, NON STERILE, LATEX-FREE</t>
  </si>
  <si>
    <t>DRAPE, EQUIP, REMOT CTRL, 8X4 IN, ACCSRY, CLOSED END, NS, LF</t>
  </si>
  <si>
    <t>REMOTE CONTROL</t>
  </si>
  <si>
    <t>8X4 IN</t>
  </si>
  <si>
    <t>ACCESSORY, CLOSED END</t>
  </si>
  <si>
    <t>05SD939</t>
  </si>
  <si>
    <t>5SD939</t>
  </si>
  <si>
    <t>05-SD939</t>
  </si>
  <si>
    <t>ADVANCE MEDICAL DESIGNS_05SD939</t>
  </si>
  <si>
    <t>Drape Drill Arm W9XL39in Sheath</t>
  </si>
  <si>
    <t>PRODIGO1066753</t>
  </si>
  <si>
    <t>ACCESSORY DRAPE SHEA DRILL ARM DRAPE 9 INW X 39 INL</t>
  </si>
  <si>
    <t>DRAPE, EQUIPMENT, DRILL ARM, 39X9 IN, ACCESSORY, SHEATH, NON STERILE, LATEX-FREE</t>
  </si>
  <si>
    <t>DRAPE, EQUIP, DRL ARM, 39X9 IN, ACCSRY, SHTH, NS, LF</t>
  </si>
  <si>
    <t>DRILL ARM</t>
  </si>
  <si>
    <t>39X9 IN</t>
  </si>
  <si>
    <t>ACCESSORY, SHEATH</t>
  </si>
  <si>
    <t>05TC996</t>
  </si>
  <si>
    <t>5TC996</t>
  </si>
  <si>
    <t>05-TC996</t>
  </si>
  <si>
    <t>ADVANCE MEDICAL DESIGNS_05TC996</t>
  </si>
  <si>
    <t>Cover Transducer W9XL96in Universal Transparent Plastic With Closed End</t>
  </si>
  <si>
    <t>PRODIGO1066754</t>
  </si>
  <si>
    <t>ACCESSORY DRAPE TRANSDUCER KOVER 9 INW X 96 INL</t>
  </si>
  <si>
    <t>DRAPE, EQUIPMENT, TRANSDUCER, UNIVERSAL, 96X9 IN, ACCESSORY, WITH CLOSED END, PLASTIC, TRANSPARENT</t>
  </si>
  <si>
    <t>DRAPE, EQUIP, TRANSDUCER, UNIV, 96X9 IN, ACCSRY, W/ CLOSED END, PLAS, TRANSPARENT</t>
  </si>
  <si>
    <t>DRAPE, EQUIP, TRANSDUCER, UNIV, 96X9 IN, ACCSRY, CLOSED END, PLAS</t>
  </si>
  <si>
    <t>TRANSDUCER</t>
  </si>
  <si>
    <t>ACCESSORY, WITH CLOSED END</t>
  </si>
  <si>
    <t>TRANSPARENT</t>
  </si>
  <si>
    <t>05TD1218</t>
  </si>
  <si>
    <t>5TD1218</t>
  </si>
  <si>
    <t>05-TD1218</t>
  </si>
  <si>
    <t>ADVANCE MEDICAL DESIGNS_05TD1218</t>
  </si>
  <si>
    <t>Drape Towel SM W12XL18in</t>
  </si>
  <si>
    <t>PRODIGO1066755</t>
  </si>
  <si>
    <t>SMALL TOWEL DRAPE 12 INW X 18 INL</t>
  </si>
  <si>
    <t>DRAPE, SURGICAL, TOWEL, SMALL, 18X12 IN, NON STERILE, LATEX</t>
  </si>
  <si>
    <t>DRAPE, SURG, TOWEL, SM, 18X12 IN, NS, LTX</t>
  </si>
  <si>
    <t>SURGICAL</t>
  </si>
  <si>
    <t>TOWEL</t>
  </si>
  <si>
    <t>18X12 IN</t>
  </si>
  <si>
    <t>05TD2418</t>
  </si>
  <si>
    <t>5TD2418</t>
  </si>
  <si>
    <t>05-TD2418</t>
  </si>
  <si>
    <t>ADVANCE MEDICAL DESIGNS_05TD2418</t>
  </si>
  <si>
    <t>Drape Towel L W18XL24in</t>
  </si>
  <si>
    <t>PRODIGO1066756</t>
  </si>
  <si>
    <t>LARGE TOWEL DRAPE 24 INW X 18 INL</t>
  </si>
  <si>
    <t>DRAPE, SURGICAL, TOWEL, LARGE, 24X18 IN, NON STERILE, LATEX-FREE</t>
  </si>
  <si>
    <t>DRAPE, SURG, TOWEL, LG, 24X18 IN, NS, LF</t>
  </si>
  <si>
    <t>24X18 IN</t>
  </si>
  <si>
    <t>06CLK01</t>
  </si>
  <si>
    <t>6CLK01</t>
  </si>
  <si>
    <t>06-CLK01</t>
  </si>
  <si>
    <t>ADVANCE MEDICAL DESIGNS_06CLK01</t>
  </si>
  <si>
    <t>Cover Surgical Camera Handle For Skytron Sony TV II</t>
  </si>
  <si>
    <t>PRODIGO1066757</t>
  </si>
  <si>
    <t>42182606  Medical exam or surgical headlights or headlamp accessories</t>
  </si>
  <si>
    <t xml:space="preserve">CAMERA HANDLE COVER FOR SKYTRON	</t>
  </si>
  <si>
    <t>COVER, CAMERA HANDLE, FOR SKYTRON, SONY TV II, NON STERILE, LATEX-FREE</t>
  </si>
  <si>
    <t>COVER, CAM HNDL, FOR SKYTRON, SONY TV II, NS, LF</t>
  </si>
  <si>
    <t>CAMERA HANDLE</t>
  </si>
  <si>
    <t>FOR SKYTRON, SONY TV II</t>
  </si>
  <si>
    <t>06CLK03</t>
  </si>
  <si>
    <t>6CLK03</t>
  </si>
  <si>
    <t>06-CLK03</t>
  </si>
  <si>
    <t>ADVANCE MEDICAL DESIGNS_06CLK03</t>
  </si>
  <si>
    <t>Drape Light Handle Nonfenestrated Nonreinforced Without Fluid Pouch</t>
  </si>
  <si>
    <t>PRODIGO1066758</t>
  </si>
  <si>
    <t xml:space="preserve">CAMERA HANDLE COVER FOR STRYKER	</t>
  </si>
  <si>
    <t>COVER, CAMERA HANDLE, FOR STRYKER, LIGHT, NONFENESTRATED, NONREINFORCED, WITHOUT FLUID POUCH, NON STERILE, LATEX-FREE</t>
  </si>
  <si>
    <t>COVER, CAM HNDL, FOR STRYKR, LIGHT, NONFENESTRATED, NONREINFORCED, W/O FLUID PCH, NS, LF</t>
  </si>
  <si>
    <t>COVER, CAM HNDL, FOR STRYKR, LIGHT, NONFENESTRATED, NONREINFORCED</t>
  </si>
  <si>
    <t>FOR STRYKER, LIGHT, NONFENESTRATED, NONREINFORCED, WITHOUT FLUID POUCH</t>
  </si>
  <si>
    <t>06LK301</t>
  </si>
  <si>
    <t>6LK301</t>
  </si>
  <si>
    <t>06-LK301</t>
  </si>
  <si>
    <t>ADVANCE MEDICAL DESIGNS_06LK301</t>
  </si>
  <si>
    <t>Cover Light Handle Universal Plastic For Short Handle Type Kover 1 Per Pack</t>
  </si>
  <si>
    <t>PRODIGO1066759</t>
  </si>
  <si>
    <t>42295417  Surgical light handle covers</t>
  </si>
  <si>
    <t>UNIVERSAL LIGHT HANDLE KOVER SHORT HANDLE SINGLE PACK</t>
  </si>
  <si>
    <t>COVER, LIGHT HANDLE, UNIVERSAL, FOR SHORT HANDLE, KOVER 1, SINGLE PACK, PLASTIC, NON STERILE, LATEX-FREE</t>
  </si>
  <si>
    <t>COVER, LIGHT HNDL, UNIV, FOR SHT HNDL, KOVER 1, SINGLE PK, PLAS, NS, LF</t>
  </si>
  <si>
    <t>COVER, LIGHT HNDL, UNIV, FOR SHT HNDL, KOVER 1, SINGLE PK, PLAS, NS</t>
  </si>
  <si>
    <t>LIGHT HANDLE</t>
  </si>
  <si>
    <t>FOR SHORT HANDLE, KOVER 1, SINGLE PACK</t>
  </si>
  <si>
    <t>06LK302</t>
  </si>
  <si>
    <t>6LK302</t>
  </si>
  <si>
    <t>06-LK302</t>
  </si>
  <si>
    <t>ADVANCE MEDICAL DESIGNS_06LK302</t>
  </si>
  <si>
    <t>Cover Light Handle Universal Plastic For Short Handle Type Kover 2 Per Pack</t>
  </si>
  <si>
    <t>PRODIGO1066760</t>
  </si>
  <si>
    <t>UNIVERSAL LIGHT HANDLE KOVER SHORT HANDLE TWO PACK</t>
  </si>
  <si>
    <t>COVER, LIGHT HANDLE, UNIVERSAL, FOR SHORT HANDLE, KOVER, TWO PACK, PLASTIC, NON STERILE, LATEX-FREE</t>
  </si>
  <si>
    <t>COVER, LIGHT HNDL, UNIV, FOR SHT HNDL, KOVER, TWO PK, PLAS, NS, LF</t>
  </si>
  <si>
    <t>FOR SHORT HANDLE, KOVER, TWO PACK</t>
  </si>
  <si>
    <t>06LK303</t>
  </si>
  <si>
    <t>6LK303</t>
  </si>
  <si>
    <t>06-LK303</t>
  </si>
  <si>
    <t>ADVANCE MEDICAL DESIGNS_06LK303</t>
  </si>
  <si>
    <t>Cover Light Handle Universal Plastic For Short Handle Type Kover 3 Per Pack</t>
  </si>
  <si>
    <t>PRODIGO1066761</t>
  </si>
  <si>
    <t>UNIVERSAL LIGHT HANDLE KOVER SHORT HANDLE THREE PACK</t>
  </si>
  <si>
    <t>COVER, LIGHT HANDLE, UNIVERSAL, FOR SHORT HANDLE, KOVER, THREE PACK, PLASTIC, NON STERILE, LATEX-FREE</t>
  </si>
  <si>
    <t>COVER, LIGHT HNDL, UNIV, FOR SHT HNDL, KOVER, 3 PK, PLAS, NS, LF</t>
  </si>
  <si>
    <t>FOR SHORT HANDLE, KOVER, THREE PACK</t>
  </si>
  <si>
    <t>06LK603</t>
  </si>
  <si>
    <t>6LK603</t>
  </si>
  <si>
    <t>06-LK603</t>
  </si>
  <si>
    <t>ADVANCE MEDICAL DESIGNS_06LK603</t>
  </si>
  <si>
    <t>Cover Light Handle Universal For Long Handle Kover 3 Per Pack</t>
  </si>
  <si>
    <t>PRODIGO1066762</t>
  </si>
  <si>
    <t>UNIVERSAL LIGHT HANDLE KOVER LONG HANDLE THREE PACK</t>
  </si>
  <si>
    <t>COVER, LIGHT HANDLE, UNIVERSAL, FOR LONG HANDLE, KOVER, THREE PACK, PLASTIC, NON STERILE, LATEX-FREE</t>
  </si>
  <si>
    <t>COVER, LIGHT HNDL, UNIV, FOR LNG HNDL, KOVER, 3 PK, PLAS, NS, LF</t>
  </si>
  <si>
    <t>FOR LONG HANDLE, KOVER, THREE PACK</t>
  </si>
  <si>
    <t>06LK901</t>
  </si>
  <si>
    <t>6LK901</t>
  </si>
  <si>
    <t>06-LK901</t>
  </si>
  <si>
    <t>ADVANCE MEDICAL DESIGNS_06LK901</t>
  </si>
  <si>
    <t>Cover Light Handle Universal With Elastic Band For Small Diameter Handle</t>
  </si>
  <si>
    <t>PRODIGO1066763</t>
  </si>
  <si>
    <t>UNIVERSAL LIGHT HANDLE KOVER SMALL DIAMETER HANDLE SINGLE PACK</t>
  </si>
  <si>
    <t>COVER, LIGHT HANDLE, UNIVERSAL, FOR SMALL DIAMETER HANDLE, KOVER, SINGLE PACK, NON STERILE, LATEX-FREE</t>
  </si>
  <si>
    <t>COVER, LIGHT HNDL, UNIV, FOR SM DIAMETER HNDL, KOVER, SINGLE PK, NS, LF</t>
  </si>
  <si>
    <t>COVER, LIGHT HNDL, UNIV, FOR SM DIAMETER HNDL, KOVER, SINGLE PK</t>
  </si>
  <si>
    <t>FOR SMALL DIAMETER HANDLE, KOVER, SINGLE PACK</t>
  </si>
  <si>
    <t>07CA102</t>
  </si>
  <si>
    <t>7CA102</t>
  </si>
  <si>
    <t>07-CA102</t>
  </si>
  <si>
    <t>ADVANCE MEDICAL DESIGNS_07CA102</t>
  </si>
  <si>
    <t>Drape C Arm W36XL64in With Poly Strap For Mobile Xray</t>
  </si>
  <si>
    <t>PRODIGO1066764</t>
  </si>
  <si>
    <t>C-ARM DRAPE W/POLY STRAPS	36 INW X 64 INL</t>
  </si>
  <si>
    <t>DRAPE, EQUIPMENT, C-ARM, 64X36 IN, WITH POLY STRAP, FOR MOBILE X-RAY, NON STERILE, LATEX-FREE</t>
  </si>
  <si>
    <t>DRAPE, EQUIP, CARM, 64X36 IN, W/ POLY STRP, FOR MOB XR, NS, LF</t>
  </si>
  <si>
    <t>C-ARM</t>
  </si>
  <si>
    <t>64X36 IN</t>
  </si>
  <si>
    <t>WITH POLY STRAP, FOR MOBILE X-RAY</t>
  </si>
  <si>
    <t>07CA106</t>
  </si>
  <si>
    <t>7CA106</t>
  </si>
  <si>
    <t>07-CA106</t>
  </si>
  <si>
    <t>ADVANCE MEDICAL DESIGNS_07CA106</t>
  </si>
  <si>
    <t>Drape C Arm L W27XH24XL70in Clear Polyethylene Gusseted Poly Strap Without Lens</t>
  </si>
  <si>
    <t>PRODIGO1066765</t>
  </si>
  <si>
    <t>C-ARM DRAPE W/ GUSSET W/POLY STRPS 27 INX24 INX70 IN</t>
  </si>
  <si>
    <t>DRAPE, EQUIPMENT, C-ARM, LARGE, 70X27X24 IN, WITH GUSSETED, POLY STRAP, WITHOUT LEN, POLYETHYLENE, CLEAR, NON STERILE, LATEX-FREE</t>
  </si>
  <si>
    <t>DRAPE, EQUIP, CARM, LG, 70X27X24 IN, W/ GUSSETED, POLY STRP, W/O LEN, POLYETH, CLR, NS, LF</t>
  </si>
  <si>
    <t>DRAPE, EQUIP, CARM, LG, 70X27X24 IN, GUSSETED, POLY STRP, W/O LEN</t>
  </si>
  <si>
    <t>70X27X24 IN</t>
  </si>
  <si>
    <t>WITH GUSSETED, POLY STRAP, WITHOUT LEN</t>
  </si>
  <si>
    <t>POLYETHYLENE</t>
  </si>
  <si>
    <t>07CA114</t>
  </si>
  <si>
    <t>7CA114</t>
  </si>
  <si>
    <t>07-CA114</t>
  </si>
  <si>
    <t>ADVANCE MEDICAL DESIGNS_07CA114</t>
  </si>
  <si>
    <t>Drape C Arm XL W46XL150in With Slit And Poly Strap</t>
  </si>
  <si>
    <t>PRODIGO1066767</t>
  </si>
  <si>
    <t>XL C-ARM DRAPE W/ SLIT AND POLY STRAPS 46 INW X 150 INL</t>
  </si>
  <si>
    <t>DRAPE, EQUIPMENT, C-ARM, XLARGE, 150X46 IN, WITH SLIT AND POLY STRAP, NON STERILE, LATEX-FREE</t>
  </si>
  <si>
    <t>DRAPE, EQUIP, CARM, XL, 150X46 IN, W/ SLT &amp; POLY STRP, NS, LF</t>
  </si>
  <si>
    <t>150X46 IN</t>
  </si>
  <si>
    <t>WITH SLIT AND POLY STRAP</t>
  </si>
  <si>
    <t>07CA116</t>
  </si>
  <si>
    <t>7CA116</t>
  </si>
  <si>
    <t>07-CA116</t>
  </si>
  <si>
    <t>ADVANCE MEDICAL DESIGNS_07CA116</t>
  </si>
  <si>
    <t>Drape C Arm W36XL103in Banded Bag With Rubberband And Clip</t>
  </si>
  <si>
    <t>PRODIGO1066768</t>
  </si>
  <si>
    <t xml:space="preserve">C-ARM DRAPE W/ ELASTIC OPENING &amp; ADDITIONAL BANDS 36 INW X 103 INL	</t>
  </si>
  <si>
    <t>DRAPE, EQUIPMENT, C-ARM, 103X36 IN, WITH ELASTIC OPENING &amp; ADDITIONAL RUBBERBAND, BANDED BAD, CLIP, NON STERILE, LATEX-FREE</t>
  </si>
  <si>
    <t>DRAPE, EQUIP, CARM, 103X36 IN, W/ ELASTIC OPENING &amp; ADD RUBBERBAND, BANDED BAD, CLP, NS, LF</t>
  </si>
  <si>
    <t>DRAPE, EQUIP, CARM, 103X36 IN, ELASTIC OPENING &amp; ADD RUBBERBAND</t>
  </si>
  <si>
    <t>103X36 IN</t>
  </si>
  <si>
    <t>WITH ELASTIC OPENING &amp; ADDITIONAL RUBBERBAND, BANDED BAD, CLIP</t>
  </si>
  <si>
    <t>07CA201</t>
  </si>
  <si>
    <t>7CA201</t>
  </si>
  <si>
    <t>07-CA201</t>
  </si>
  <si>
    <t>ADVANCE MEDICAL DESIGNS_07CA201</t>
  </si>
  <si>
    <t>Drape C Arm W44XL70in Mini With Elasticized Opening For FluoroScan And XiScan</t>
  </si>
  <si>
    <t>PRODIGO1066770</t>
  </si>
  <si>
    <t>MINI C-ARM DRAPE W/RUBBER BAND 44 INW X 70 INL</t>
  </si>
  <si>
    <t>DRAPE, EQUIPMENT, C-ARM, MINI, 70X44 IN, WITH RUBBER BAND, ELASTICIZED OPENING, FOR FLUOROSCAN AND XISCAN, NON STERILE, LATEX-FREE</t>
  </si>
  <si>
    <t>DRAPE, EQUIP, CARM, MINI, 70X44 IN, W/ RUBBER BND, ELASTICIZED OPENING, FOR FLROSCN &amp; XISCAN, NS, LF</t>
  </si>
  <si>
    <t>DRAPE, EQUIP, CARM, MINI, 70X44 IN, ELASTICIZED OPENING</t>
  </si>
  <si>
    <t>MINI</t>
  </si>
  <si>
    <t>70X44 IN</t>
  </si>
  <si>
    <t>WITH RUBBER BAND, ELASTICIZED OPENING, FOR FLUOROSCAN AND XISCAN</t>
  </si>
  <si>
    <t>07CA401</t>
  </si>
  <si>
    <t>7CA401</t>
  </si>
  <si>
    <t>07-CA401</t>
  </si>
  <si>
    <t>ADVANCE MEDICAL DESIGNS_07CA401</t>
  </si>
  <si>
    <t>Drape C Arm W40.5XL85in Mini With Elasticized Opening For OEC 6600</t>
  </si>
  <si>
    <t>PRODIGO1066773</t>
  </si>
  <si>
    <t xml:space="preserve">MINI C-ARM DRAPE W/ELASTICIZED OPENING RUBBERBANDS &amp; CLIPS	40.5 INW X 85 INL	</t>
  </si>
  <si>
    <t>DRAPE, EQUIPMENT, C-ARM, MINI, 85X40.5 IN, WITH ELASTICIZED OPENING, RUBBERBAND AND CLIP, FOR OEC6600, NON STERILE, LATEX-FREE</t>
  </si>
  <si>
    <t>DRAPE, EQUIP, CARM, MINI, 85X40.5 IN, W/ ELASTICIZED OPENING, RUBBERBAND &amp; CLP, FOR OEC6600, NS, LF</t>
  </si>
  <si>
    <t>DRAPE, EQUIP, CARM, MINI, 85X40.5 IN, W/ ELASTICIZED OPENING</t>
  </si>
  <si>
    <t>85X40.5 IN</t>
  </si>
  <si>
    <t>WITH ELASTICIZED OPENING, RUBBERBAND AND CLIP, FOR OEC6600</t>
  </si>
  <si>
    <t>07HK112</t>
  </si>
  <si>
    <t>7HK112</t>
  </si>
  <si>
    <t>07-HK112</t>
  </si>
  <si>
    <t>ADVANCE MEDICAL DESIGNS_07HK112</t>
  </si>
  <si>
    <t>Cover Positioning Handle W42XL72in For Microscope Zeiss MD</t>
  </si>
  <si>
    <t>PRODIGO1066774</t>
  </si>
  <si>
    <t>POSITIONING HANDLE KOVER FOR ZEISS MD TWO PACK</t>
  </si>
  <si>
    <t>COVER, POSITIONING HANDLE, 72X42 IN, FOR MICROSCOPE ZEISS MD, TWO PACK, NON STERILE, LATEX-FREE</t>
  </si>
  <si>
    <t>COVER, POS HNDL, 72X42 IN, FOR MICSCP ZEISS MD, TWO PK, NS, LF</t>
  </si>
  <si>
    <t>POSITIONING HANDLE</t>
  </si>
  <si>
    <t>72X42 IN</t>
  </si>
  <si>
    <t>FOR MICROSCOPE ZEISS MD, TWO PACK</t>
  </si>
  <si>
    <t>07HK114</t>
  </si>
  <si>
    <t>7HK114</t>
  </si>
  <si>
    <t>07-HK114</t>
  </si>
  <si>
    <t>ADVANCE MEDICAL DESIGNS_07HK114</t>
  </si>
  <si>
    <t>Cover Positioning Handle For Wild Leica Microscope</t>
  </si>
  <si>
    <t>PRODIGO1066775</t>
  </si>
  <si>
    <t>POSITIONING HANDLE KOVER FOR WILD/LEICA TWO PACK</t>
  </si>
  <si>
    <t>COVER, POSITIONING HANDLE, FOR WILD/LEICA MICROSCOPE, TWO PACK, NON STERILE, LATEX-FREE</t>
  </si>
  <si>
    <t>COVER, POS HNDL, FOR WILD/LEICA MICSCP, TWO PK, NS, LF</t>
  </si>
  <si>
    <t>FOR WILD/LEICA MICROSCOPE, TWO PACK</t>
  </si>
  <si>
    <t>CND</t>
  </si>
  <si>
    <t>07KC02</t>
  </si>
  <si>
    <t>7KC02</t>
  </si>
  <si>
    <t>07-KC02</t>
  </si>
  <si>
    <t>ADVANCE MEDICAL DESIGNS_07KC02</t>
  </si>
  <si>
    <t>Cover Microscope Knob XL Old Style One Focus Tilt And Friction NC1 Spindle For Zeiss Opmi 1 And 6</t>
  </si>
  <si>
    <t>PRODIGO1066776</t>
  </si>
  <si>
    <t>KNOB KOVER, XL, FOR ZEISS OPMI 1 &amp; 6, NC-1, TWO PACK</t>
  </si>
  <si>
    <t>DRAPE, EQUIPMENT, MICROSCOPE, XLARGE, COVER, KNOB, OLD STYLE, ONE FOCUS TILT, FRICTION NC1 SPINDLE, FOR ZEISS OPMI 1, 6, NC-1, NON STERILE, LATEX-FREE</t>
  </si>
  <si>
    <t>DRP, EQUIP, MICSCP, XL, CVR, KNOB, OLD STYL, 1 FOCUS TILT, FRIC NC1 SPINDLE, FOR ZEISS OPMI 1, 6, NC-1, NS, LF</t>
  </si>
  <si>
    <t>DRAPE, EQUIP, MICSCP, XL, CVR, KNOB, FOR ZEISS OPMI 1, 6, NC-1, NS, LF</t>
  </si>
  <si>
    <t>COVER, KNOB, OLD STYLE, ONE FOCUS TILT, FRICTION NC1 SPINDLE, FOR ZEISS OPMI 1, 6, NC-1</t>
  </si>
  <si>
    <t>https://www.advancemedicaldesigns.com/category/microscope-drapes/knob-handle-bar-covers, https://accessgudid.nlm.nih.gov/devices/00848340001963</t>
  </si>
  <si>
    <t>07KC04</t>
  </si>
  <si>
    <t>7KC04</t>
  </si>
  <si>
    <t>07-KC04</t>
  </si>
  <si>
    <t>ADVANCE MEDICAL DESIGNS_07KC04</t>
  </si>
  <si>
    <t>Cover Microscope Knob L Friction On Suspension Arm Standard Tilt Fine Focus Geared Coupling For Zeiss</t>
  </si>
  <si>
    <t>PRODIGO1066777</t>
  </si>
  <si>
    <t>KNOB KOVER, LG, FOR ZEISS, SUSPENSION ARM, STANDARD TILT, FINE FOCUS, GEARED</t>
  </si>
  <si>
    <t>DRAPE, EQUIPMENT, MICROSCOPE, LARGE, COVER, KNOB, FRICTION ON SUSPENSION ARM, STANDARD TILT, FINE FOCUS, GEARED COUPLING, FOR ZEISS, NON STERILE, LATEX-FREE</t>
  </si>
  <si>
    <t>DRP, EQUIP, MICSCP, LG, CVR, KNOB, FRIC ON SUSP ARM, STD TILT, FN FOCUS, GEARED CPL, FOR ZEISS, NS, LF</t>
  </si>
  <si>
    <t>DRAPE, EQUIP, MICSCP, LG, CVR, KNOB, FRIC, STD TILT, FOR ZEISS, NS, LF</t>
  </si>
  <si>
    <t>COVER, KNOB, FRICTION ON SUSPENSION ARM, STANDARD TILT, FINE FOCUS, GEARED COUPLING, FOR ZEISS</t>
  </si>
  <si>
    <t>https://www.advancemedicaldesigns.com/category/microscope-drapes/knob-handle-bar-covers, https://accessgudid.nlm.nih.gov/devices/00848340001970</t>
  </si>
  <si>
    <t>07KC06</t>
  </si>
  <si>
    <t>7KC06</t>
  </si>
  <si>
    <t>07-KC06</t>
  </si>
  <si>
    <t>ADVANCE MEDICAL DESIGNS_07KC06</t>
  </si>
  <si>
    <t>Cover Microscope Knob M 0deg And 8deg Assistant Focus Tilt And Zoom For Zeiss Opmi And MDM Magnification Changer</t>
  </si>
  <si>
    <t>PRODIGO1066778</t>
  </si>
  <si>
    <t>KNOB KOVER, MED, FOR ZEISS OPMI &amp; MDM MAGNIFICATION CHANGER, TWO PACK</t>
  </si>
  <si>
    <t>DRAPE, EQUIPMENT, MICROSCOPE, MEDIUM, COVER, KNOB, 0-8 DEGREE ASSISTANT FOCUS TILT, ZOOM, FOR ZEISS OPMI, MDM MAGNIFICATION CHANGER, NON STERILE, LATEX-FREE</t>
  </si>
  <si>
    <t>DRP, EQUIP, MICSCP, MED, CVR, KNOB, 0-8 DEG ASST FOCUS TILT, ZOOM, FOR ZEISS OPMI, MDM MAG CHNGR, NS, LF</t>
  </si>
  <si>
    <t>DRAPE, EQUIP, MICSCP, MED, CVR, KNOB, 0-8 DEG TILT, ZEISS OPMI, MDM</t>
  </si>
  <si>
    <t>MEDIUM</t>
  </si>
  <si>
    <t>COVER, KNOB, 0-8 DEGREE ASSISTANT FOCUS TILT, ZOOM, FOR ZEISS OPMI, MDM MAGNIFICATION CHANGER</t>
  </si>
  <si>
    <t>https://www.advancemedicaldesigns.com/category/microscope-drapes/knob-handle-bar-covers, https://accessgudid.nlm.nih.gov/devices/00848340001987</t>
  </si>
  <si>
    <t>07KC08</t>
  </si>
  <si>
    <t>7KC08</t>
  </si>
  <si>
    <t>07-KC08</t>
  </si>
  <si>
    <t>ADVANCE MEDICAL DESIGNS_07KC08</t>
  </si>
  <si>
    <t>Cover Microscope SM 0-60deg Binocular Tilt Illumination MDO MDU For Zeiss Opmi</t>
  </si>
  <si>
    <t>PRODIGO1066779</t>
  </si>
  <si>
    <t>KNOB KOVER, SM, FOR ZEISS OPMI, MDO, MDU, BINOCULAR TILT, ILLUMINATION</t>
  </si>
  <si>
    <t>DRAPE, EQUIPMENT, MICROSCOPE, SMALL, COVER, KNOB, 0-60 DEGREE BINOCULAR TILT, ILLUMINATION MDO, MDU, FOR ZEISS OPMI, NON STERILE, LATEX-FREE</t>
  </si>
  <si>
    <t>DRP, EQUIP, MICSCP, SM, CVR, KNOB, 0-60 DEG BINOC TILT, ILLUMINATION MDO, MDU, FOR ZEISS OPMI, NS, LF</t>
  </si>
  <si>
    <t>DRAPE, EQUIP, MICSCP, SM, CVR, KNOB, 0-60 DEG BINOC, ZEISS OPMI, LF</t>
  </si>
  <si>
    <t>COVER, KNOB, 0-60 DEGREE BINOCULAR TILT, ILLUMINATION MDO, MDU, FOR ZEISS OPMI</t>
  </si>
  <si>
    <t>https://www.advancemedicaldesigns.com/category/microscope-drapes/knob-handle-bar-covers, https://accessgudid.nlm.nih.gov/devices/00848340001994</t>
  </si>
  <si>
    <t>07PK800</t>
  </si>
  <si>
    <t>7PK800</t>
  </si>
  <si>
    <t>07-PK800</t>
  </si>
  <si>
    <t>ADVANCE MEDICAL DESIGNS_07PK800</t>
  </si>
  <si>
    <t>Drape C Arm With Footswitch Keyboard Cover Pack For OEC/GE 6600</t>
  </si>
  <si>
    <t>PRODIGO1066780</t>
  </si>
  <si>
    <t>A4550</t>
  </si>
  <si>
    <t>SURGICAL TRAYS</t>
  </si>
  <si>
    <t>OEC/GE 6600 C-ARM PACK (07-CA400, FS1430NS, CD2720)</t>
  </si>
  <si>
    <t>SURGICAL PROCEDURE PACK, C-ARM DRAPE, WITH FOOTSWITCH, KEYBOARD COVER, FOR OEC/GE 6600, NON STERILE, LATEX-FREE</t>
  </si>
  <si>
    <t>SURG PROC PK, CARM DRP, W/ FOOTSWITCH, KEYBOARD CVR, FOR OEC/GE 6600, NS, LF</t>
  </si>
  <si>
    <t>SURGICAL PROCEDURE PACK, CARM DRP, FOOTSWITCH, FOR OEC/GE 6600</t>
  </si>
  <si>
    <t>SURGICAL PROCEDURE PACK</t>
  </si>
  <si>
    <t>C-ARM DRAPE, WITH FOOTSWITCH, KEYBOARD COVER, FOR OEC/GE 6600</t>
  </si>
  <si>
    <t>https://www.advancemedicaldesigns.com/category/c-arm-drapes/c-arm-packs, https://accessgudid.nlm.nih.gov/devices/00848340003578</t>
  </si>
  <si>
    <t>07PK801</t>
  </si>
  <si>
    <t>7PK801</t>
  </si>
  <si>
    <t>07-PK801</t>
  </si>
  <si>
    <t>ADVANCE MEDICAL DESIGNS_07PK801</t>
  </si>
  <si>
    <t>Drape C Arm With Footswitch Cover Banded Bag Pack For OEC/GE 6600</t>
  </si>
  <si>
    <t>PRODIGO1066781</t>
  </si>
  <si>
    <t xml:space="preserve">OEC/GE 6600 C-ARM PACK (07-CA400, FS1430NS, 01-2812) </t>
  </si>
  <si>
    <t>SURGICAL PROCEDURE PACK, C-ARM DRAPE, WITH FOOTSWITCH, BANDED BAG, FOR OEC/GE 6600, NON STERILE, LATEX-FREE</t>
  </si>
  <si>
    <t>SURG PROC PK, CARM DRP, W/ FOOTSWITCH, BANDED BG, FOR OEC/GE 6600, NS, LF</t>
  </si>
  <si>
    <t>SURGICAL PROCEDURE PACK, CARM DRP, BANDED BG, FOR OEC/GE 6600</t>
  </si>
  <si>
    <t>C-ARM DRAPE, WITH FOOTSWITCH, BANDED BAG, FOR OEC/GE 6600</t>
  </si>
  <si>
    <t>https://www.advancemedicaldesigns.com/category/c-arm-drapes/c-arm-packs, https://accessgudid.nlm.nih.gov/devices/00848340003585</t>
  </si>
  <si>
    <t>07PK805UB</t>
  </si>
  <si>
    <t>7PK805UB</t>
  </si>
  <si>
    <t>07-PK805-UB</t>
  </si>
  <si>
    <t>ADVANCE MEDICAL DESIGNS_07PK805UB</t>
  </si>
  <si>
    <t>Pack Surgical Drainage Drape With Under Buttock Flap For GE/OEC UroView 2800</t>
  </si>
  <si>
    <t>PRODIGO1066782</t>
  </si>
  <si>
    <t>GE/OEC UROVIEW 2800 PACK W/ UNDERBUTTOCKS FLAP STERILE</t>
  </si>
  <si>
    <t>SURGICAL PROCEDURE PACK, DRAINAGE DRAPE, WITH UNDER BUTTOCK FLAP, FOR GE/OEC UROVIEW 2800, STERILE, LATEX-FREE</t>
  </si>
  <si>
    <t>SURG PROC PK, DRAINAGE DRP, W/ UNDER BUTT FLAP, FOR GE/OEC UROVIEW 2800, STRL, LF</t>
  </si>
  <si>
    <t>SURGICAL PROCEDURE PACK, DRAINAGE DRP, FLAP, GE/OEC UROVIEW2800</t>
  </si>
  <si>
    <t>DRAINAGE DRAPE, WITH UNDER BUTTOCK FLAP, FOR GE/OEC UROVIEW 2800</t>
  </si>
  <si>
    <t>https://www.advancemedicaldesigns.com/category/urological-drain-bags/urological-drain-bags, https://accessgudid.nlm.nih.gov/devices/00848340002106</t>
  </si>
  <si>
    <t>07PK806</t>
  </si>
  <si>
    <t>7PK806</t>
  </si>
  <si>
    <t>07-PK806</t>
  </si>
  <si>
    <t>ADVANCE MEDICAL DESIGNS_07PK806</t>
  </si>
  <si>
    <t>Pack Surgical Drainage Drape For GE/OEC UroView 2600</t>
  </si>
  <si>
    <t>PRODIGO1066783</t>
  </si>
  <si>
    <t>DRAPE SURGICAL EQUIPMENT F/UROVIEW OEC/GE C-ARM LATEX-FREE STERILE</t>
  </si>
  <si>
    <t>SURGICAL PROCEDURE PACK, DRAINAGE DRAPE, SURGICAL EQUIPMENT, FOR GE/OEC UROVIEW 2600, C-ARM, STERILE, LATEX-FREE</t>
  </si>
  <si>
    <t>SURG PROC PK, DRAINAGE DRP, SURG EQUIP, FOR GE/OEC UROVIEW 2600, CARM, STRL, LF</t>
  </si>
  <si>
    <t>SURGICAL PROCEDURE PACK, DRAINAGE DRP, FOR GE/OEC UROVIEW 2600</t>
  </si>
  <si>
    <t>DRAINAGE DRAPE, SURGICAL EQUIPMENT, FOR GE/OEC UROVIEW 2600, C-ARM</t>
  </si>
  <si>
    <t>https://www.advancemedicaldesigns.com/category/urological-drain-bags/urological-drain-bags</t>
  </si>
  <si>
    <t>UNSOURCED</t>
  </si>
  <si>
    <t>07PK806UB</t>
  </si>
  <si>
    <t>7PK806UB</t>
  </si>
  <si>
    <t>07-PK806-UB</t>
  </si>
  <si>
    <t>ADVANCE MEDICAL DESIGNS_07PK806UB</t>
  </si>
  <si>
    <t>Pack Surgical Drainage Portable Battery With Under Buttock Flap For GE/OEC UroView 2600</t>
  </si>
  <si>
    <t>PRODIGO1066784</t>
  </si>
  <si>
    <t>SURGICAL PROCEDURE PACK, DRAINAGE, PORTABLE BATTERY, WITH UNDER BUTTOCK FLAP, FOR GE/OEC UROVIEW 2600</t>
  </si>
  <si>
    <t>SURG PROC PK, DRAINAGE, PORTABLE BATTERY, W/ UNDER BUTT FLAP, FOR GE/OEC UROVIEW 2600</t>
  </si>
  <si>
    <t>SURGICAL PROCEDURE PACK, DRAINAGE, FLAP, FOR GE/OEC UROVIEW2600</t>
  </si>
  <si>
    <t>DRAINAGE, PORTABLE BATTERY, WITH UNDER BUTTOCK FLAP, FOR GE/OEC UROVIEW 2600</t>
  </si>
  <si>
    <t>07PK808</t>
  </si>
  <si>
    <t>7PK808</t>
  </si>
  <si>
    <t>07-PK808</t>
  </si>
  <si>
    <t>ADVANCE MEDICAL DESIGNS_07PK808</t>
  </si>
  <si>
    <t>Pack C Arm Plastic Snap Drape For OEC/GE Super 9900</t>
  </si>
  <si>
    <t>PRODIGO1066785</t>
  </si>
  <si>
    <t>OEC/GE SUPER C-ARM PACK</t>
  </si>
  <si>
    <t>SURGICAL PROCEDURE PACK, C-ARM PLASTIC SNAP DRAPE, FOR OEC/GE SUPER 9900, NON STERILE, LATEX-FREE</t>
  </si>
  <si>
    <t>SURG PROC PK, CARM PLAS SNAP DRP, FOR OEC/GE SUPER 9900, NS, LF</t>
  </si>
  <si>
    <t>SURGICAL PROCEDURE PACK, CARM SNAP DRP, FOR OEC/GE SUPER 9900</t>
  </si>
  <si>
    <t>C-ARM PLASTIC SNAP DRAPE, FOR OEC/GE SUPER 9900</t>
  </si>
  <si>
    <t>https://www.advancemedicaldesigns.com/category/c-arm-drapes/c-arm-packs, https://accessgudid.nlm.nih.gov/devices/00848340006982</t>
  </si>
  <si>
    <t>08CC124</t>
  </si>
  <si>
    <t>8CC124</t>
  </si>
  <si>
    <t>08-CC124</t>
  </si>
  <si>
    <t>ADVANCE MEDICAL DESIGNS_08CC124</t>
  </si>
  <si>
    <t>Drape Keyboard W10XL20in With Tape Custom Sheet</t>
  </si>
  <si>
    <t>PRODIGO1066786</t>
  </si>
  <si>
    <t>CUSTOM DRAPE SHEET W/TAPE 10"W X 20"L</t>
  </si>
  <si>
    <t>DRAPE, EQUIPMENT, KEYBOARD, 20X10 IN, CUSTOM, SHEET, WITH TAPE</t>
  </si>
  <si>
    <t>DRP, EQUIP, KEYBOARD, 20X10 IN, CUST, SHT, W/ TAPE</t>
  </si>
  <si>
    <t>DRAPE, EQUIP, KEYBOARD, 20X10 IN, CUST, SHT, W/ TAPE</t>
  </si>
  <si>
    <t>KEYBOARD</t>
  </si>
  <si>
    <t>CUSTOM, SHEET, WITH TAPE</t>
  </si>
  <si>
    <t>https://www.advancemedicaldesigns.com/category/accessory-drapes/drape-sheets</t>
  </si>
  <si>
    <t>08CC134</t>
  </si>
  <si>
    <t>8CC134</t>
  </si>
  <si>
    <t>08-CC134</t>
  </si>
  <si>
    <t>ADVANCE MEDICAL DESIGNS_08CC134</t>
  </si>
  <si>
    <t>Cover Ultrasound Probe W9XL75in Polyethylene IVUS With Auto Pullback Device With Closed End</t>
  </si>
  <si>
    <t>PRODIGO1066787</t>
  </si>
  <si>
    <t>42201705  Medical ultrasound or doppler or echocardiograph probe covers</t>
  </si>
  <si>
    <t>AUTOMATIC PULL BACK DEVICE IVUS DRAPE W/CLOSED END</t>
  </si>
  <si>
    <t>COVER, PROBE, IVUS, 75X9 IN, ULTRASOUND, AUTOMATIC PULL BACK DEVICE, WITH CLOSED END, POLYETHYLENE</t>
  </si>
  <si>
    <t>CVR, PRB, IVUS, 75X9 IN, ULTRASOUND, AUTO PUL BK DEV, W/ CLOSED END, POLYETH</t>
  </si>
  <si>
    <t>COVER, PRB, IVUS, 75X9 IN, ULTRASOUND, AUTO PUL BK, CLOSED, POLYETH</t>
  </si>
  <si>
    <t>PROBE</t>
  </si>
  <si>
    <t>IVUS</t>
  </si>
  <si>
    <t>75X9 IN</t>
  </si>
  <si>
    <t>ULTRASOUND, AUTOMATIC PULL BACK DEVICE, WITH CLOSED END</t>
  </si>
  <si>
    <t>08CC137</t>
  </si>
  <si>
    <t>8CC137</t>
  </si>
  <si>
    <t>08-CC137</t>
  </si>
  <si>
    <t>ADVANCE MEDICAL DESIGNS_08CC137</t>
  </si>
  <si>
    <t>Cover Probe W7XL39in With Closed End And Elasticized Opening Kover</t>
  </si>
  <si>
    <t>PRODIGO1066788</t>
  </si>
  <si>
    <t>PROBE COVER W/ELASTICIZED OPENING 7"W X 54"L</t>
  </si>
  <si>
    <t>COVER, PROBE, 54X7 IN, WITH ELASTICIZED OPENING, CLOSED END, POLYURETHANE</t>
  </si>
  <si>
    <t>CVR, PRB, 54X7 IN, W/ ELASTICIZED OPENING, CLOSED END, POLYURETHANE</t>
  </si>
  <si>
    <t>COVER, PRB, 54X7 IN, W/ ELASTICIZED OPENING, CLOSED, POLYURETHANE</t>
  </si>
  <si>
    <t>54X7 IN</t>
  </si>
  <si>
    <t>WITH ELASTICIZED OPENING, CLOSED END</t>
  </si>
  <si>
    <t>39IN</t>
  </si>
  <si>
    <t>https://www.advancemedicaldesigns.com/category/ultrasound-probe-covers/other-probe-covers</t>
  </si>
  <si>
    <t>08CC139</t>
  </si>
  <si>
    <t>8CC139</t>
  </si>
  <si>
    <t>08-CC139</t>
  </si>
  <si>
    <t>ADVANCE MEDICAL DESIGNS_08CC139</t>
  </si>
  <si>
    <t>Cover Probe W5XL48in Polyurethane With Closed End Tapered And No Perforation Custom</t>
  </si>
  <si>
    <t>PRODIGO1066789</t>
  </si>
  <si>
    <t>COVER, PROBE, 48X5 IN, WITH CLOSED END TAPERED, NO PERFORATION, CUSTOM, POLYURETHANE</t>
  </si>
  <si>
    <t>CVR, PRB, 48X5 IN, W/ CLOSED END TAPR, NO PERF, CUST, POLYURETHANE</t>
  </si>
  <si>
    <t>COVER, PRB, 48X5 IN, W/ CLOSED END TAPR, NO PERF, POLYURETHANE</t>
  </si>
  <si>
    <t>WITH CLOSED END TAPERED, NO PERFORATION, CUSTOM</t>
  </si>
  <si>
    <t>08CC140</t>
  </si>
  <si>
    <t>8CC140</t>
  </si>
  <si>
    <t>08-CC140</t>
  </si>
  <si>
    <t>ADVANCE MEDICAL DESIGNS_08CC140</t>
  </si>
  <si>
    <t>Cover Probe W2XL84in Polyurethane Pencil With Closed End And Elasticized Opening Kover</t>
  </si>
  <si>
    <t>PRODIGO1066790</t>
  </si>
  <si>
    <t>PROBE COVER W/ELASTICIZED OPENING 2"W X 84"L</t>
  </si>
  <si>
    <t>COVER, PROBE, 84X2 IN, WITH ELASTICIZED OPENING, CLOSED END, PENCIL, POLYURETHANE</t>
  </si>
  <si>
    <t>CVR, PRB, 84X2 IN, W/ ELASTICIZED OPENING, CLOSED END, PENCIL, POLYURETHANE</t>
  </si>
  <si>
    <t>COVER, PRB, 84X2 IN, W/ ELASTICIZED OPENING, CLOSED, POLYURETHANE</t>
  </si>
  <si>
    <t>84X2 IN</t>
  </si>
  <si>
    <t>WITH ELASTICIZED OPENING, CLOSED END, PENCIL</t>
  </si>
  <si>
    <t>08CC143</t>
  </si>
  <si>
    <t>8CC143</t>
  </si>
  <si>
    <t>08-CC143</t>
  </si>
  <si>
    <t>ADVANCE MEDICAL DESIGNS_08CC143</t>
  </si>
  <si>
    <t>Cover Probe W7XL55in Polyurethane With Closed End Tapered And No Perforation Kover</t>
  </si>
  <si>
    <t>PRODIGO1066791</t>
  </si>
  <si>
    <t>COVER, PROBE, 55X7 IN, WITH CLOSED END TAPERED, NO PERFORATION, COVER, POLYURETHANE</t>
  </si>
  <si>
    <t>CVR, PRB, 55X7 IN, W/ CLOSED END TAPR, NO PERF, CVR, POLYURETHANE</t>
  </si>
  <si>
    <t>COVER, PRB, 55X7 IN, W/ CLOSED END TAPR, NO PERF, POLYURETHANE</t>
  </si>
  <si>
    <t>55X7 IN</t>
  </si>
  <si>
    <t>WITH CLOSED END TAPERED, NO PERFORATION, COVER</t>
  </si>
  <si>
    <t>08CC160UB</t>
  </si>
  <si>
    <t>8CC160UB</t>
  </si>
  <si>
    <t>08-CC160-UB</t>
  </si>
  <si>
    <t>ADVANCE MEDICAL DESIGNS_08CC160UB</t>
  </si>
  <si>
    <t>Bag Drainage With Under Buttock Flap For GE/OEC Uroview 2600/2800</t>
  </si>
  <si>
    <t>PRODIGO1066793</t>
  </si>
  <si>
    <t>42142704  Urinary drainage bags or meters</t>
  </si>
  <si>
    <t>DRAIN BAG FOR GE/OEC UROVIEW 2600/2800, STERILE W/ UNDERBUTTOCKS FLAP</t>
  </si>
  <si>
    <t>BAG, DRAINAGE, WITH UNDER BUTTOCK FLAP, FOR GE/OEC UROVIEW 2600/2800, STERILE, LATEX-FREE</t>
  </si>
  <si>
    <t>BG, DRAINAGE, W/ UNDER BUTT FLAP, FOR GE/OEC UROVIEW 2600/2800, STRL, LF</t>
  </si>
  <si>
    <t>BAG, DRAINAGE, W/ FLAP, FOR GE/OEC UROVIEW 2600/2800, STRL, LF</t>
  </si>
  <si>
    <t>BAG</t>
  </si>
  <si>
    <t>DRAINAGE</t>
  </si>
  <si>
    <t>WITH UNDER BUTTOCK FLAP, FOR GE/OEC UROVIEW 2600/2800</t>
  </si>
  <si>
    <t>https://www.advancemedicaldesigns.com/category/urological-drain-bags/urological-drain-bags, https://accessgudid.nlm.nih.gov/devices/00848340002120</t>
  </si>
  <si>
    <t>08CC160UBA</t>
  </si>
  <si>
    <t>8CC160UBA</t>
  </si>
  <si>
    <t>08-CC160-UBA</t>
  </si>
  <si>
    <t>ADVANCE MEDICAL DESIGNS_08CC160UBA</t>
  </si>
  <si>
    <t>Bag Drainage 8mm Adapter With Under Buttock Flap For GE/OEC Uroview 2600/2800</t>
  </si>
  <si>
    <t>PRODIGO1066794</t>
  </si>
  <si>
    <t>DRAIN BAG FOR GE/OEC UROVIEW 2600/2800, STERILE W/ UNDERBUTTOCKS FLAP, 8MM ADAPTER</t>
  </si>
  <si>
    <t>BAG, DRAINAGE, WITH UNDER BUTTOCK FLAP, 8 MM ADAPTER, FOR GE/OEC UROVIEW 2600/2800, STERILE, LATEX-FREE</t>
  </si>
  <si>
    <t>BG, DRAINAGE, W/ UNDER BUTT FLAP, 8 MM ADPT, FOR GE/OEC UROVIEW 2600/2800, STRL, LF</t>
  </si>
  <si>
    <t>BAG, DRAINAGE, W/ FLAP, 8 MM ADPT, FOR GE/OEC UROVIEW 2600/2800</t>
  </si>
  <si>
    <t>WITH UNDER BUTTOCK FLAP, 8 MM ADAPTER, FOR GE/OEC UROVIEW 2600/2800</t>
  </si>
  <si>
    <t>https://www.advancemedicaldesigns.com/category/urological-drain-bags/urological-drain-bags, https://accessgudid.nlm.nih.gov/devices/00848340008856</t>
  </si>
  <si>
    <t>THIRD PARTY</t>
  </si>
  <si>
    <t>08CC161</t>
  </si>
  <si>
    <t>8CC161</t>
  </si>
  <si>
    <t>08-CC161</t>
  </si>
  <si>
    <t>ADVANCE MEDICAL DESIGNS_08CC161</t>
  </si>
  <si>
    <t>Cover Image Intensifier W30XL30in D9in Banded Bag II With Additional Rubberband</t>
  </si>
  <si>
    <t>PRODIGO1066795</t>
  </si>
  <si>
    <t>Probe Drapes - 9" Image Intensifier Cover and 30" x 30" Banded Bag with Rubber Bands</t>
  </si>
  <si>
    <t>DRAPE, EQUIPMENT, IMAGE INTENSIFIER, 30X30 IN, 9 IN, BANDED BAG II, WITH ADDITIONAL RUBBERBAND, NON STERILE, LATEX-FREE, DISPOSABLE</t>
  </si>
  <si>
    <t>DRP, EQUIP, IMAGE INTENS, 30X30 IN, 9 IN, BANDED BG II, W/ ADD RUBBERBAND, NS, LF, DISP</t>
  </si>
  <si>
    <t>DRAPE, EQUIP, IMAGE INTENS, 30X30 IN, 9 IN, BANDED BG II, NS, DISP</t>
  </si>
  <si>
    <t>IMAGE INTENSIFIER</t>
  </si>
  <si>
    <t>30X30 IN</t>
  </si>
  <si>
    <t>9 IN</t>
  </si>
  <si>
    <t>BANDED BAG II, WITH ADDITIONAL RUBBERBAND</t>
  </si>
  <si>
    <t>https://www.graylinemedical.com/products/advanced-medical-probe-drapes-9-image-intensifier-cover-and-30-x-30-banded-bag-with-rubber-bands-08-cc161, https://accessgudid.nlm.nih.gov/devices/00848340002304</t>
  </si>
  <si>
    <t>08CC162</t>
  </si>
  <si>
    <t>8CC162</t>
  </si>
  <si>
    <t>08-CC162</t>
  </si>
  <si>
    <t>ADVANCE MEDICAL DESIGNS_08CC162</t>
  </si>
  <si>
    <t>Cover Image Intensifier W36XL36in D12in Bag Banded II With Additional Rubberband</t>
  </si>
  <si>
    <t>PRODIGO1066796</t>
  </si>
  <si>
    <t xml:space="preserve">Cover II: Image Intensifier Snap Kover 12" </t>
  </si>
  <si>
    <t>DRAPE, EQUIPMENT, IMAGE INTENSIFIER, 36X36 IN, 12 IN, BANDED BAG II, WITH ADDITIONAL RUBBERBAND, NON STERILE, LATEX-FREE, DISPOSABLE</t>
  </si>
  <si>
    <t>DRP, EQUIP, IMAGE INTENS, 36X36 IN, 12 IN, BANDED BG II, W/ ADD RUBBERBAND, NS, LF, DISP</t>
  </si>
  <si>
    <t>DRAPE, EQUIP, IMAGE INTENS, 36X36 IN, 12 IN, BANDED BG II, NS, DISP</t>
  </si>
  <si>
    <t>36X36 IN</t>
  </si>
  <si>
    <t>12 IN</t>
  </si>
  <si>
    <t>https://www.graylinemedical.com/products/advanced-medical-designs-cover-ii-image-intensifier-snap-kover-12-20-ca</t>
  </si>
  <si>
    <t>08CC164A</t>
  </si>
  <si>
    <t>8CC164A</t>
  </si>
  <si>
    <t>08-CC164-A</t>
  </si>
  <si>
    <t>ADVANCE MEDICAL DESIGNS_08CC164A</t>
  </si>
  <si>
    <t>Bag Drainage With 8mm Adapter For Siemens/Dornier</t>
  </si>
  <si>
    <t>PRODIGO1066797</t>
  </si>
  <si>
    <t>DRAIN BAG FOR SIEMANS/DORNIER</t>
  </si>
  <si>
    <t>BAG, DRAINAGE, WITH 8 MM ADAPTER, FOR SIEMENS/DORNIER</t>
  </si>
  <si>
    <t>BG, DRAINAGE, W/ 8 MM ADPT, FOR SIEMENS/DORNIER</t>
  </si>
  <si>
    <t>BAG, DRAINAGE, W/ 8 MM ADPT, FOR SIEMENS/DORNIER</t>
  </si>
  <si>
    <t>WITH 8 MM ADAPTER, FOR SIEMENS/DORNIER</t>
  </si>
  <si>
    <t>08CC164D</t>
  </si>
  <si>
    <t>8CC164D</t>
  </si>
  <si>
    <t>08-CC164-D</t>
  </si>
  <si>
    <t>ADVANCE MEDICAL DESIGNS_08CC164D</t>
  </si>
  <si>
    <t>Bag Drainage Deep For Siemens/Dornier</t>
  </si>
  <si>
    <t>PRODIGO1066798</t>
  </si>
  <si>
    <t>DRAIN BAG FOR SIEMANS DEEP</t>
  </si>
  <si>
    <t>BAG, DRAINAGE, DEEP, FOR SIEMENS/DORNIER, NON STERILE, LATEX-FREE</t>
  </si>
  <si>
    <t>BG, DRAINAGE, DP, FOR SIEMENS/DORNIER, NS, LF</t>
  </si>
  <si>
    <t>BAG, DRAINAGE, DP, FOR SIEMENS/DORNIER, NS, LF</t>
  </si>
  <si>
    <t>DEEP, FOR SIEMENS/DORNIER</t>
  </si>
  <si>
    <t>https://www.advancemedicaldesigns.com/category/urological-drain-bags/urological-drain-bags, https://accessgudid.nlm.nih.gov/devices/00848340008887</t>
  </si>
  <si>
    <t>08CC165</t>
  </si>
  <si>
    <t>8CC165</t>
  </si>
  <si>
    <t>08-CC165</t>
  </si>
  <si>
    <t>ADVANCE MEDICAL DESIGNS_08CC165</t>
  </si>
  <si>
    <t>Bag Drainage For Liebel Flarsheim UroView GE2000</t>
  </si>
  <si>
    <t>PRODIGO1066799</t>
  </si>
  <si>
    <t>DRAIN BAG FOR LIEBEL-FLARSHEIM / GE2000</t>
  </si>
  <si>
    <t>BAG, DRAINAGE, FOR LIEBEL FLARSHEIM UROVIEW GE2000, NON STERILE, LATEX-FREE</t>
  </si>
  <si>
    <t>BG, DRAINAGE, FOR LIEBEL FLARSHEIM UROVIEW GE2000, NS, LF</t>
  </si>
  <si>
    <t>BAG, DRAINAGE, FOR LIEBEL FLARSHEIM UROVIEW GE2000, NS, LF</t>
  </si>
  <si>
    <t>FOR LIEBEL FLARSHEIM UROVIEW GE2000</t>
  </si>
  <si>
    <t>https://www.advancemedicaldesigns.com/category/urological-drain-bags/urological-drain-bags, https://accessgudid.nlm.nih.gov/devices/00848340002144</t>
  </si>
  <si>
    <t>08CC165A</t>
  </si>
  <si>
    <t>8CC165A</t>
  </si>
  <si>
    <t>08-CC165-A</t>
  </si>
  <si>
    <t>ADVANCE MEDICAL DESIGNS_08CC165A</t>
  </si>
  <si>
    <t>Bag Drainage 8mm Adapter Sterile For Liebel Flarsheim GE2000</t>
  </si>
  <si>
    <t>PRODIGO1066800</t>
  </si>
  <si>
    <t>BAG, DRAINAGE, WITH 8 MM ADAPTER, FOR LIEBEL FLARSHEIM GE2000, STERILE</t>
  </si>
  <si>
    <t>BG, DRAINAGE, W/ 8 MM ADPT, FOR LIEBEL FLARSHEIM GE2000, STRL</t>
  </si>
  <si>
    <t>BAG, DRAINAGE, W/ 8 MM ADPT, FOR LIEBEL FLARSHEIM GE2000, STRL</t>
  </si>
  <si>
    <t>WITH 8 MM ADAPTER, FOR LIEBEL FLARSHEIM GE2000</t>
  </si>
  <si>
    <t>08CC167A</t>
  </si>
  <si>
    <t>8CC167A</t>
  </si>
  <si>
    <t>08-CC167-A</t>
  </si>
  <si>
    <t>ADVANCE MEDICAL DESIGNS_08CC167A</t>
  </si>
  <si>
    <t>Bag Drainage With 8mm Adapter For Skytron Castle</t>
  </si>
  <si>
    <t>PRODIGO1066801</t>
  </si>
  <si>
    <t>DRAIN BAG W/8MM ADAPTER FOR SKYTRON/CASTLE</t>
  </si>
  <si>
    <t>BAG, DRAINAGE, WITH 8 MM ADAPTER, FOR SKYTRON CASTLE, NON STERILE, LATEX-FREE</t>
  </si>
  <si>
    <t>BG, DRAINAGE, W/ 8 MM ADPT, FOR SKYTRON CASTLE, NS, LF</t>
  </si>
  <si>
    <t>BAG, DRAINAGE, W/ 8 MM ADPT, FOR SKYTRON CASTLE, NS, LF</t>
  </si>
  <si>
    <t>WITH 8 MM ADAPTER, FOR SKYTRON CASTLE</t>
  </si>
  <si>
    <t>https://www.advancemedicaldesigns.com/category/urological-drain-bags/urological-drain-bags, https://accessgudid.nlm.nih.gov/devices/00848340002168</t>
  </si>
  <si>
    <t>08CC190</t>
  </si>
  <si>
    <t>8CC190</t>
  </si>
  <si>
    <t>08-CC190</t>
  </si>
  <si>
    <t>ADVANCE MEDICAL DESIGNS_08CC190</t>
  </si>
  <si>
    <t>Cover Probe W7XL96in With Gel And Easy Insert Flexi-Feel</t>
  </si>
  <si>
    <t>PRODIGO1066802</t>
  </si>
  <si>
    <t>COVER, PROBE, 96X7 IN, WITH GEL, EASY INSERT, FLEXI-FEEL</t>
  </si>
  <si>
    <t>CVR, PRB, 96X7 IN, W/ GEL, EZ INSRT, FLEXI-FEEL</t>
  </si>
  <si>
    <t>COVER, PRB, 96X7 IN, W/ GEL, EZ INSRT, FLEXI-FEEL</t>
  </si>
  <si>
    <t>WITH GEL, EASY INSERT</t>
  </si>
  <si>
    <t>FLEXI-FEEL</t>
  </si>
  <si>
    <t>08CU1561</t>
  </si>
  <si>
    <t>8CU1561</t>
  </si>
  <si>
    <t>08-CU1561</t>
  </si>
  <si>
    <t>ADVANCE MEDICAL DESIGNS_08CU1561</t>
  </si>
  <si>
    <t>Drape Positioning Arm W15XL61in</t>
  </si>
  <si>
    <t>PRODIGO1066803</t>
  </si>
  <si>
    <t>POSITIONING ARM DRAPE 15"W X 61"L</t>
  </si>
  <si>
    <t>DRAPE, EQUIPMENT, POSITIONING ARM, 61X15 IN</t>
  </si>
  <si>
    <t>DRP, EQUIP, POS ARM, 61X15 IN</t>
  </si>
  <si>
    <t>DRAPE, EQUIP, POS ARM, 61X15 IN</t>
  </si>
  <si>
    <t>POSITIONING ARM</t>
  </si>
  <si>
    <t>61X15 IN</t>
  </si>
  <si>
    <t>08MK102</t>
  </si>
  <si>
    <t>8MK102</t>
  </si>
  <si>
    <t>08-MK102</t>
  </si>
  <si>
    <t>ADVANCE MEDICAL DESIGNS_08MK102</t>
  </si>
  <si>
    <t>Drape Microscope And Laser W43XL120in And W9XL96in Micro Zeiss MD</t>
  </si>
  <si>
    <t>PRODIGO1066804</t>
  </si>
  <si>
    <t>DRAPE, EQUIPMENT, MICROSCOPE, LASER, 120X43 IN, 96X9 IN, FOR MICRO ZEISS MD</t>
  </si>
  <si>
    <t>DRP, EQUIP, MICSCP, LASER, 120X43 IN, 96X9 IN, FOR MIC ZEISS MD</t>
  </si>
  <si>
    <t>DRAPE, EQUIP, MICSCP, LASER, 120X43 IN, 96X9 IN, FOR MIC ZEISS MD</t>
  </si>
  <si>
    <t>MICROSCOPE, LASER</t>
  </si>
  <si>
    <t>120X43 IN, 96X9 IN</t>
  </si>
  <si>
    <t>FOR MICRO ZEISS MD</t>
  </si>
  <si>
    <t>09GL801</t>
  </si>
  <si>
    <t>9GL801</t>
  </si>
  <si>
    <t>09-GL801</t>
  </si>
  <si>
    <t>ADVANCE MEDICAL DESIGNS_09GL801</t>
  </si>
  <si>
    <t>Drape Microscope W54XL150in Glass Lens For Wild And Leica</t>
  </si>
  <si>
    <t>PRODIGO1066805</t>
  </si>
  <si>
    <t>GLASS LENS MICROSCOPE DRAPE FOR LEICA/WILD 54"W X 150"L</t>
  </si>
  <si>
    <t>DRAPE, EQUIPMENT, MICROSCOPE, 150X54 IN, GLASS LENS, FOR LEICA/WILD, NON STERILE, LATEX-FREE</t>
  </si>
  <si>
    <t>DRP, EQUIP, MICSCP, 150X54 IN, GLS LENS, FOR LEICA/WILD, NS, LF</t>
  </si>
  <si>
    <t>DRAPE, EQUIP, MICSCP, 150X54 IN, GLS LENS, FOR LEICA/WILD, NS, LF</t>
  </si>
  <si>
    <t>150X54 IN</t>
  </si>
  <si>
    <t>GLASS LENS, FOR LEICA/WILD</t>
  </si>
  <si>
    <t>https://www.advancemedicaldesigns.com/category/microscope-drapes/glass-lens-microscope-covers, https://accessgudid.nlm.nih.gov/devices/00848340000843</t>
  </si>
  <si>
    <t>09GL901S</t>
  </si>
  <si>
    <t>9GL901S</t>
  </si>
  <si>
    <t>09-GL901S</t>
  </si>
  <si>
    <t>ADVANCE MEDICAL DESIGNS_09GL901S</t>
  </si>
  <si>
    <t>Drape Microscope W54XL105in Glass Lens Shallow Housing For Zeiss MD</t>
  </si>
  <si>
    <t>PRODIGO1066806</t>
  </si>
  <si>
    <t>GLASS LENS MICROSCOPE DRAPE FOR ZEISS MD SHALLOW HOUSING 54"W X 150"L</t>
  </si>
  <si>
    <t>DRAPE, EQUIPMENT, MICROSCOPE, 150X54 IN, GLASS LENS, FOR ZEISS MD SHALLOW HOUSING, NON STERILE, LATEX-FREE</t>
  </si>
  <si>
    <t>DRP, EQUIP, MICSCP, 150X54 IN, GLS LENS, FOR ZEISS MD SHALLOW HSNG, NS, LF</t>
  </si>
  <si>
    <t>DRAPE, EQUIP, MICSCP, 150X54 IN, GLS LENS, FOR ZEISS MD HSNG, LF</t>
  </si>
  <si>
    <t>GLASS LENS, FOR ZEISS MD SHALLOW HOUSING</t>
  </si>
  <si>
    <t>https://www.advancemedicaldesigns.com/category/microscope-drapes/glass-lens-microscope-covers, https://accessgudid.nlm.nih.gov/devices/00848340000898</t>
  </si>
  <si>
    <t>PUS</t>
  </si>
  <si>
    <t>09MK3937</t>
  </si>
  <si>
    <t>9MK3937</t>
  </si>
  <si>
    <t>09-MK3937</t>
  </si>
  <si>
    <t>ADVANCE MEDICAL DESIGNS_09MK3937</t>
  </si>
  <si>
    <t>Drape Microscope W48XL120in Universal Housing With Removable Lense For Zeiss</t>
  </si>
  <si>
    <t>PRODIGO1066809</t>
  </si>
  <si>
    <t>MICROSCOPE DRAPE UNIVERSAL HOUSING 48 W X 120 L</t>
  </si>
  <si>
    <t>DRAPE, EQUIPMENT, MICROSCOPE, UNIVERSAL, 120X48 IN, HOUSING, WITH REMOVABLE LENS, FOR ZEISS, NON STERILE, LATEX-FREE</t>
  </si>
  <si>
    <t>DRP, EQUIP, MICSCP, UNIV, 120X48 IN, HSNG, W/ REMOVABLE LENS, FOR ZEISS, NS, LF</t>
  </si>
  <si>
    <t>DRAPE, EQUIP, MICSCP, UNIV, 120X48 IN, HSNG, LENS, FOR ZEISS, NS, LF</t>
  </si>
  <si>
    <t>120X48 IN</t>
  </si>
  <si>
    <t>HOUSING, WITH REMOVABLE LENS, FOR ZEISS</t>
  </si>
  <si>
    <t>https://www.advancemedicaldesigns.com/category/microscope-drapes/universal-housing, https://accessgudid.nlm.nih.gov/devices/00848340000935</t>
  </si>
  <si>
    <t>09MK900</t>
  </si>
  <si>
    <t>9MK900</t>
  </si>
  <si>
    <t>09-MK900</t>
  </si>
  <si>
    <t>ADVANCE MEDICAL DESIGNS_09MK900</t>
  </si>
  <si>
    <t>Drape Microscope W20XL30in Without Observer Tube For Zeiss OPMI 1</t>
  </si>
  <si>
    <t>PRODIGO1066810</t>
  </si>
  <si>
    <t>MICROSCOPE DRAPE FOR ZEISS OPMI W/OUT OBSERVER TUBES</t>
  </si>
  <si>
    <t>DRAPE, EQUIPMENT, MICROSCOPE, 30X20 IN, PLASTIC LENS, WITHOUT OBSERVER TUBE, FOR ZEISS OPMI, NON STERILE, LATEX-FREE</t>
  </si>
  <si>
    <t>DRP, EQUIP, MICSCP, 30X20 IN, PLAS LENS, W/O OBSERVER TUBE, FOR ZEISS OPMI, NS, LF</t>
  </si>
  <si>
    <t>DRAPE, EQUIP, MICSCP, 30X20 IN, PLAS LENS, FOR ZEISS OPMI, NS, LF</t>
  </si>
  <si>
    <t>30X20 IN</t>
  </si>
  <si>
    <t>PLASTIC LENS, WITHOUT OBSERVER TUBE, FOR ZEISS OPMI</t>
  </si>
  <si>
    <t>https://www.advancemedicaldesigns.com/category/microscope-drapes/plastic-lens-microscope-drape, https://accessgudid.nlm.nih.gov/devices/00848340000959</t>
  </si>
  <si>
    <t>09MK903</t>
  </si>
  <si>
    <t>9MK903</t>
  </si>
  <si>
    <t>09-MK903</t>
  </si>
  <si>
    <t>ADVANCE MEDICAL DESIGNS_09MK903</t>
  </si>
  <si>
    <t>Drape Microscope W40.5XL62in Extended Or Stereo Observe And Large Monocular Tube Contour Cut Body With Photographic System For Zeiss OPMI 1</t>
  </si>
  <si>
    <t>PRODIGO1066811</t>
  </si>
  <si>
    <t>MICROSCOPE DRAPE FOR ZEISS OPMI 1 EXTENDED OBSERVER TUBES CONTOURED BODY</t>
  </si>
  <si>
    <t>DRAPE, EQUIPMENT, MICROSCOPE, 62X40.5 IN, PLASTIC LENS, EXTENDED OR STEREO OBSERVER AND LARGE MONOCULAR TUBE, CONTOUR CUT BODY, WITH PHOTOGRAPHIC SYSTEM, FOR ZEISS OPMI 1, NON STERILE, LATEX-FREE</t>
  </si>
  <si>
    <t>DRP, EQUIP, MICSCP, 62X40.5 IN, PLAS LENS, EXT OR STEREO OBSERVER &amp; LG MONOCULAR TUBE, CNTOUR CUT BODY, W/ PHOTOGRAPHIC SYS, FOR ZEISS OPMI 1, NS, LF</t>
  </si>
  <si>
    <t>DRAPE, EQUIP, MICSCP, 62X40.5 IN, PLAS LENS, FOR ZEISS OPMI 1, LF</t>
  </si>
  <si>
    <t>62X40.5 IN</t>
  </si>
  <si>
    <t>PLASTIC LENS, EXTENDED OR STEREO OBSERVER AND LARGE MONOCULAR TUBE, CONTOUR CUT BODY, WITH PHOTOGRAPHIC SYSTEM, FOR ZEISS OPMI 1</t>
  </si>
  <si>
    <t>https://www.advancemedicaldesigns.com/category/microscope-drapes/plastic-lens-microscope-drape, https://accessgudid.nlm.nih.gov/devices/00848340000980</t>
  </si>
  <si>
    <t>09MK904</t>
  </si>
  <si>
    <t>9MK904</t>
  </si>
  <si>
    <t>09-MK904</t>
  </si>
  <si>
    <t>ADVANCE MEDICAL DESIGNS_09MK904</t>
  </si>
  <si>
    <t>Drape Microscope W40.5XL62in Monocular Or Stereo Observer Tube Contour Cut Body And Photographic System For Zeiss OPMI 6</t>
  </si>
  <si>
    <t>PRODIGO1066812</t>
  </si>
  <si>
    <t>MICROSCOPE DRAPE FOR ZEISS OPMI 6</t>
  </si>
  <si>
    <t>DRAPE, EQUIPMENT, MICROSCOPE, 62X40.5 IN, PLASTIC LENS, MONOCULAR OR STEREO OBSERVER TUBE, CONTOUR CUT BODY, PHOTOGRAPHIC SYSTEM, FOR ZEISS OPMI 6, NON STERILE, LATEX-FREE</t>
  </si>
  <si>
    <t>DRP, EQUIP, MICSCP, 62X40.5 IN, PLAS LENS, MONOCULAR OR STEREO OBSERVER TUBE, CNTOUR CUT BODY, PHOTOGRAPHIC SYS, FOR ZEISS OPMI 6, NS, LF</t>
  </si>
  <si>
    <t>DRAPE, EQUIP, MICSCP, 62X40.5 IN, PLAS LENS, FOR ZEISS OPMI 6, LF</t>
  </si>
  <si>
    <t>PLASTIC LENS, MONOCULAR OR STEREO OBSERVER TUBE, CONTOUR CUT BODY, PHOTOGRAPHIC SYSTEM, FOR ZEISS OPMI 6</t>
  </si>
  <si>
    <t>https://www.advancemedicaldesigns.com/category/microscope-drapes/plastic-lens-microscope-drape, https://accessgudid.nlm.nih.gov/devices/00848340000997</t>
  </si>
  <si>
    <t>09MK906</t>
  </si>
  <si>
    <t>9MK906</t>
  </si>
  <si>
    <t>09-MK906</t>
  </si>
  <si>
    <t>ADVANCE MEDICAL DESIGNS_09MK906</t>
  </si>
  <si>
    <t>Drape Microscope W40.5XL120in Monocular Or Stereo Observer Tube For Zeiss OPMI 1</t>
  </si>
  <si>
    <t>PRODIGO1066813</t>
  </si>
  <si>
    <t>MICROSCOPE DRAPE FOR ZEISS OPMI 1</t>
  </si>
  <si>
    <t>DRAPE, EQUIPMENT, MICROSCOPE, 120X40.5 IN, PLASTIC LENS, MONOCULAR OR STEREO OBSERVER TUBE, FOR ZEISS OPMI 1, NON STERILE, LATEX-FREE</t>
  </si>
  <si>
    <t>DRP, EQUIP, MICSCP, 120X40.5 IN, PLAS LENS, MONOCULAR OR STEREO OBSERVER TUBE, FOR ZEISS OPMI 1, NS, LF</t>
  </si>
  <si>
    <t>DRAPE, EQUIP, MICSCP, 120X40.5 IN, PLAS LENS, FOR ZEISS OPMI 1, LF</t>
  </si>
  <si>
    <t>120X40.5 IN</t>
  </si>
  <si>
    <t>PLASTIC LENS, MONOCULAR OR STEREO OBSERVER TUBE, FOR ZEISS OPMI 1</t>
  </si>
  <si>
    <t>https://www.advancemedicaldesigns.com/category/microscope-drapes/plastic-lens-microscope-drape, https://accessgudid.nlm.nih.gov/devices/00848340001017</t>
  </si>
  <si>
    <t>09MK920</t>
  </si>
  <si>
    <t>9MK920</t>
  </si>
  <si>
    <t>09-MK920</t>
  </si>
  <si>
    <t>ADVANCE MEDICAL DESIGNS_09MK920</t>
  </si>
  <si>
    <t>Drape Microscope W48XH20XL62in Monocular Or Stereo Observer Tube With Contour Cut Body For Zeiss OPMI And House Urban</t>
  </si>
  <si>
    <t>PRODIGO1066814</t>
  </si>
  <si>
    <t>MICROSCOPE DRAPE FOR ZEISS OPMI EXTENDED OBSERVER TUBES W CONTOUR BODY</t>
  </si>
  <si>
    <t>DRAPE, EQUIPMENT, MICROSCOPE, 62X48X20 IN, PLASTIC LENS, MONOCULAR OR STEREO OBSERVER TUBE, WITH CONTOUR CUT BODY, FOR ZEISS OPMI AND HOUSE URBAN, NON STERILE, LATEX-FREE</t>
  </si>
  <si>
    <t>DRP, EQUIP, MICSCP, 62X48X20 IN, PLAS LENS, MONOCULAR OR STEREO OBSERVER TUBE, W/ CNTOUR CUT BODY, FOR ZEISS OPMI &amp; HOUSE URBAN, NS, LF</t>
  </si>
  <si>
    <t>DRAPE, EQUIP, MICSCP, 62X48X20 IN, PLAS LENS, ZEISS OPMI &amp; HOUSE</t>
  </si>
  <si>
    <t>62X48X20 IN</t>
  </si>
  <si>
    <t>PLASTIC LENS, MONOCULAR OR STEREO OBSERVER TUBE, WITH CONTOUR CUT BODY, FOR ZEISS OPMI AND HOUSE URBAN</t>
  </si>
  <si>
    <t>https://www.advancemedicaldesigns.com/category/microscope-drapes/plastic-lens-microscope-drape, https://accessgudid.nlm.nih.gov/devices/00848340001048</t>
  </si>
  <si>
    <t>09MK932</t>
  </si>
  <si>
    <t>9MK932</t>
  </si>
  <si>
    <t>09-MK932</t>
  </si>
  <si>
    <t>ADVANCE MEDICAL DESIGNS_09MK932</t>
  </si>
  <si>
    <t>Drape Microscope W40.5XL102in Monocular Stereo Observer For Zeiss MD</t>
  </si>
  <si>
    <t>PRODIGO1066815</t>
  </si>
  <si>
    <t>MICROSCOPE DRAPE FOR ZEISS MD</t>
  </si>
  <si>
    <t>DRAPE, EQUIPMENT, MICROSCOPE, 102X40.5 IN, PLASTIC LENS, MONOCULAR STEREO OBSERVER, FOR ZEISS MD, NON STERILE, LATEX-FREE</t>
  </si>
  <si>
    <t>DRP, EQUIP, MICSCP, 102X40.5 IN, PLAS LENS, MONOCULAR STEREO OBSERVER, FOR ZEISS MD, NS, LF</t>
  </si>
  <si>
    <t>DRAPE, EQUIP, MICSCP, 102X40.5 IN, PLAS LENS, FOR ZEISS MD, NS, LF</t>
  </si>
  <si>
    <t>102X40.5 IN</t>
  </si>
  <si>
    <t>PLASTIC LENS, MONOCULAR STEREO OBSERVER, FOR ZEISS MD</t>
  </si>
  <si>
    <t>https://www.advancemedicaldesigns.com/category/microscope-drapes/plastic-lens-microscope-drape, https://accessgudid.nlm.nih.gov/devices/00848340001086</t>
  </si>
  <si>
    <t>09MK935</t>
  </si>
  <si>
    <t>9MK935</t>
  </si>
  <si>
    <t>09-MK935</t>
  </si>
  <si>
    <t>ADVANCE MEDICAL DESIGNS_09MK935</t>
  </si>
  <si>
    <t>Drape Microscope W48XL62in Monocular Stereo Observer Tube With Photographic Systems For Zeiss MD</t>
  </si>
  <si>
    <t>PRODIGO1066816</t>
  </si>
  <si>
    <t>DRAPE, EQUIPMENT, MICROSCOPE, 62X48 IN, PLASTIC LENS, MONOCULAR STEREO OBSERVER TUBE, WITH PHOTOGRAPHIC SYSTEM, FOR ZEISS MD, NON STERILE, LATEX-FREE</t>
  </si>
  <si>
    <t>DRP, EQUIP, MICSCP, 62X48 IN, PLAS LENS, MONOCULAR STEREO OBSERVER TUBE, W/ PHOTOGRAPHIC SYS, FOR ZEISS MD, NS, LF</t>
  </si>
  <si>
    <t>DRAPE, EQUIP, MICSCP, 62X48 IN, PLAS LENS, FOR ZEISS MD, NS, LF</t>
  </si>
  <si>
    <t>62X48 IN</t>
  </si>
  <si>
    <t>PLASTIC LENS, MONOCULAR STEREO OBSERVER TUBE, WITH PHOTOGRAPHIC SYSTEM, FOR ZEISS MD</t>
  </si>
  <si>
    <t>https://www.advancemedicaldesigns.com/category/microscope-drapes/plastic-lens-microscope-drape, https://accessgudid.nlm.nih.gov/devices/00848340001109</t>
  </si>
  <si>
    <t>09MK944</t>
  </si>
  <si>
    <t>9MK944</t>
  </si>
  <si>
    <t>09-MK944</t>
  </si>
  <si>
    <t>ADVANCE MEDICAL DESIGNS_09MK944</t>
  </si>
  <si>
    <t>Drape Microscope W54XL150in For Zeiss MD</t>
  </si>
  <si>
    <t>PRODIGO1066817</t>
  </si>
  <si>
    <t>DRAPE, EQUIPMENT, MICROSCOPE, 150X54 IN, PLASTIC LENS, FOR ZEISS MD, NON STERILE, LATEX-FREE</t>
  </si>
  <si>
    <t>DRP, EQUIP, MICSCP, 150X54 IN, PLAS LENS, FOR ZEISS MD, NS, LF</t>
  </si>
  <si>
    <t>DRAPE, EQUIP, MICSCP, 150X54 IN, PLAS LENS, FOR ZEISS MD, NS, LF</t>
  </si>
  <si>
    <t>PLASTIC LENS, FOR ZEISS MD</t>
  </si>
  <si>
    <t>https://www.advancemedicaldesigns.com/category/microscope-drapes/plastic-lens-microscope-drape, https://accessgudid.nlm.nih.gov/devices/00848340001178</t>
  </si>
  <si>
    <t>09MK945</t>
  </si>
  <si>
    <t>9MK945</t>
  </si>
  <si>
    <t>09-MK945</t>
  </si>
  <si>
    <t>ADVANCE MEDICAL DESIGNS_09MK945</t>
  </si>
  <si>
    <t>Drape Microscope W54XL120in For Zeiss MD</t>
  </si>
  <si>
    <t>PRODIGO1066818</t>
  </si>
  <si>
    <t>DRAPE, EQUIPMENT, MICROSCOPE, 120X54 IN, PLASTIC LENS, FOR ZEISS MD, NON STERILE, LATEX-FREE</t>
  </si>
  <si>
    <t>DRP, EQUIP, MICSCP, 120X54 IN, PLAS LENS, FOR ZEISS MD, NS, LF</t>
  </si>
  <si>
    <t>DRAPE, EQUIP, MICSCP, 120X54 IN, PLAS LENS, FOR ZEISS MD, NS, LF</t>
  </si>
  <si>
    <t>120X54 IN</t>
  </si>
  <si>
    <t>https://www.advancemedicaldesigns.com/category/microscope-drapes/plastic-lens-microscope-drape, https://accessgudid.nlm.nih.gov/devices/00848340000829</t>
  </si>
  <si>
    <t>09MK947</t>
  </si>
  <si>
    <t>9MK947</t>
  </si>
  <si>
    <t>09-MK947</t>
  </si>
  <si>
    <t>ADVANCE MEDICAL DESIGNS_09MK947</t>
  </si>
  <si>
    <t>Drape Microscope W54XL102in For Zeiss MD</t>
  </si>
  <si>
    <t>PRODIGO1066819</t>
  </si>
  <si>
    <t>DRAPE, EQUIPMENT, MICROSCOPE, 102X54 IN, PLASTIC LENS, FOR ZEISS MD, NON STERILE, LATEX-FREE</t>
  </si>
  <si>
    <t>DRP, EQUIP, MICSCP, 102X54 IN, PLAS LENS, FOR ZEISS MD, NS, LF</t>
  </si>
  <si>
    <t>DRAPE, EQUIP, MICSCP, 102X54 IN, PLAS LENS, FOR ZEISS MD, NS, LF</t>
  </si>
  <si>
    <t>102X54 IN</t>
  </si>
  <si>
    <t>https://www.advancemedicaldesigns.com/category/microscope-drapes/plastic-lens-microscope-drape, https://accessgudid.nlm.nih.gov/devices/00848340001185</t>
  </si>
  <si>
    <t>09MK950</t>
  </si>
  <si>
    <t>9MK950</t>
  </si>
  <si>
    <t>09-MK950</t>
  </si>
  <si>
    <t>ADVANCE MEDICAL DESIGNS_09MK950</t>
  </si>
  <si>
    <t>Drape Microscope W40.5XL62in With Monocular Or Stereo Observer Tube And Photographic System For Wild Leica</t>
  </si>
  <si>
    <t>PRODIGO1066820</t>
  </si>
  <si>
    <t>MICROSCOPE DRAPE FOR WILD</t>
  </si>
  <si>
    <t>DRAPE, EQUIPMENT, MICROSCOPE, 62X40.5 IN, PLASTIC LENS, WITH MONOCULAR OR STEREO OBSERVER TUBE, AND PHOTOGRAPHIC SYSTEM, FOR WILD LEICA, NON STERILE, LATEX-FREE</t>
  </si>
  <si>
    <t>DRP, EQUIP, MICSCP, 62X40.5 IN, PLAS LENS, W/ MONOCULAR OR STEREO OBSERVER TUBE, &amp; PHOTOGRAPHIC SYS, FOR WILD LEICA, NS, LF</t>
  </si>
  <si>
    <t>DRAPE, EQUIP, MICSCP, 62X40.5 IN, PLAS LENS, FOR WILD LEICA, NS, LF</t>
  </si>
  <si>
    <t>PLASTIC LENS, WITH MONOCULAR OR STEREO OBSERVER TUBE, AND PHOTOGRAPHIC SYSTEM, FOR WILD LEICA</t>
  </si>
  <si>
    <t>https://www.advancemedicaldesigns.com/category/microscope-drapes/plastic-lens-microscope-drape, https://accessgudid.nlm.nih.gov/devices/00848340005497</t>
  </si>
  <si>
    <t>09MK952</t>
  </si>
  <si>
    <t>9MK952</t>
  </si>
  <si>
    <t>09-MK952</t>
  </si>
  <si>
    <t>ADVANCE MEDICAL DESIGNS_09MK952</t>
  </si>
  <si>
    <t>Drape Microscope W40.5XL120in Extended Monocular Observer Or Stereo Tube And Photographic System For Wild Leica</t>
  </si>
  <si>
    <t>PRODIGO1066821</t>
  </si>
  <si>
    <t>MICROSCOPE DRAPE FOR WILD W EXTENDED OBSERVER TUBES</t>
  </si>
  <si>
    <t>DRAPE, EQUIPMENT, MICROSCOPE, 120X40.5 IN, PLASTIC LENS, EXTENDED MONOCULAR OBSERVER OR STEREO TUBE, AND PHOTOGRAPHIC SYSTEM, FOR WILD LEICA, NON STERILE, LATEX-FREE</t>
  </si>
  <si>
    <t>DRP, EQUIP, MICSCP, 120X40.5 IN, PLAS LENS, EXT MONOCULAR OBSERVER OR STEREO TUBE, &amp; PHOTOGRAPHIC SYS, FOR WILD LEICA, NS, LF</t>
  </si>
  <si>
    <t>DRAPE, EQUIP, MICSCP, 120X40.5 IN, PLAS LENS, FOR WILD LEICA, LF</t>
  </si>
  <si>
    <t>PLASTIC LENS, EXTENDED MONOCULAR OBSERVER OR STEREO TUBE, AND PHOTOGRAPHIC SYSTEM, FOR WILD LEICA</t>
  </si>
  <si>
    <t>https://www.advancemedicaldesigns.com/category/microscope-drapes/plastic-lens-microscope-drape, https://accessgudid.nlm.nih.gov/devices/00848340001215</t>
  </si>
  <si>
    <t>09MK956</t>
  </si>
  <si>
    <t>9MK956</t>
  </si>
  <si>
    <t>09-MK956</t>
  </si>
  <si>
    <t>ADVANCE MEDICAL DESIGNS_09MK956</t>
  </si>
  <si>
    <t>Drape Microscope W54XL102in With Extended Monocular Stereo Observer Tube And Photographic System For Wild Leica</t>
  </si>
  <si>
    <t>PRODIGO1066822</t>
  </si>
  <si>
    <t>DRAPE, EQUIPMENT, MICROSCOPE, 102X54 IN, PLASTIC LENS, WITH EXTENDED MONOCULAR STEREO OBSERVER TUBE, AND PHOTOGRAPHIC SYSTEM, FOR WILD LEICA, NON STERILE, LATEX-FREE</t>
  </si>
  <si>
    <t>DRP, EQUIP, MICSCP, 102X54 IN, PLAS LENS, W/ EXT MONOCULAR STEREO OBSERVER TUBE, &amp; PHOTOGRAPHIC SYS, FOR WILD LEICA, NS, LF</t>
  </si>
  <si>
    <t>DRAPE, EQUIP, MICSCP, 102X54 IN, PLAS LENS, FOR WILD LEICA, NS, LF</t>
  </si>
  <si>
    <t>PLASTIC LENS, WITH EXTENDED MONOCULAR STEREO OBSERVER TUBE, AND PHOTOGRAPHIC SYSTEM, FOR WILD LEICA</t>
  </si>
  <si>
    <t>https://www.advancemedicaldesigns.com/category/microscope-drapes/plastic-lens-microscope-drape, https://accessgudid.nlm.nih.gov/devices/00848340001239</t>
  </si>
  <si>
    <t>09MK959</t>
  </si>
  <si>
    <t>9MK959</t>
  </si>
  <si>
    <t>09-MK959</t>
  </si>
  <si>
    <t>ADVANCE MEDICAL DESIGNS_09MK959</t>
  </si>
  <si>
    <t>Drape Microscope W54XL90in Extended Monocular Observer With Foam Ring And Photographic System For Wild Leica M840</t>
  </si>
  <si>
    <t>PRODIGO1066823</t>
  </si>
  <si>
    <t>MICROSCOPE DRAPE LEICA/WILD W FOAM RING FOR M840</t>
  </si>
  <si>
    <t>DRAPE, EQUIPMENT, MICROSCOPE, 90X54 IN, PLASTIC LENS, EXTENDED MONOCULAR OBSERVER, WITH FOAM RING AND PHOTOGRAPHIC SYSTEM, FOR WILD LEICA M840, NON STERILE, LATEX-FREE</t>
  </si>
  <si>
    <t>DRP, EQUIP, MICSCP, 90X54 IN, PLAS LENS, EXT MONOCULAR OBSERVER, W/ FOAM RNG &amp; PHOTOGRAPHIC SYS, FOR WILD LEICA M840, NS, LF</t>
  </si>
  <si>
    <t>DRAPE, EQUIP, MICSCP, 90X54 IN, PLAS LENS, FOR WILD LEICA M840, LF</t>
  </si>
  <si>
    <t>PLASTIC LENS, EXTENDED MONOCULAR OBSERVER, WITH FOAM RING AND PHOTOGRAPHIC SYSTEM, FOR WILD LEICA M840</t>
  </si>
  <si>
    <t>https://www.advancemedicaldesigns.com/category/microscope-drapes/plastic-lens-microscope-drape, https://accessgudid.nlm.nih.gov/devices/00848340001253</t>
  </si>
  <si>
    <t>09MK961</t>
  </si>
  <si>
    <t>9MK961</t>
  </si>
  <si>
    <t>09-MK961</t>
  </si>
  <si>
    <t>ADVANCE MEDICAL DESIGNS_09MK961</t>
  </si>
  <si>
    <t>Drape Microscope W20XL62in Basic Without Observer Tube For Wild Leica</t>
  </si>
  <si>
    <t>PRODIGO1066824</t>
  </si>
  <si>
    <t>MICROSCOPE DRAPE LEICA/WILD BASIC DRAPE</t>
  </si>
  <si>
    <t>DRAPE, EQUIPMENT, MICROSCOPE, 62X20 IN, PLASTIC LENS, BASIC, WITHOUT OBSERVER TUBE, FOR WILD LEICA, NON STERILE, LATEX-FREE</t>
  </si>
  <si>
    <t>DRP, EQUIP, MICSCP, 62X20 IN, PLAS LENS, BASIC, W/O OBSERVER TUBE, FOR WILD LEICA, NS, LF</t>
  </si>
  <si>
    <t>DRAPE, EQUIP, MICSCP, 62X20 IN, PLAS LENS, BASIC, FOR WILD LEICA</t>
  </si>
  <si>
    <t>62X20 IN</t>
  </si>
  <si>
    <t>PLASTIC LENS, BASIC, WITHOUT OBSERVER TUBE, FOR WILD LEICA</t>
  </si>
  <si>
    <t>https://www.advancemedicaldesigns.com/category/microscope-drapes/plastic-lens-microscope-drape, https://accessgudid.nlm.nih.gov/devices/00848340001277</t>
  </si>
  <si>
    <t>09MK971</t>
  </si>
  <si>
    <t>9MK971</t>
  </si>
  <si>
    <t>09-MK971</t>
  </si>
  <si>
    <t>ADVANCE MEDICAL DESIGNS_09MK971</t>
  </si>
  <si>
    <t>Drape Microscope 18in Dome For Head And Objective Lens Zeiss MD</t>
  </si>
  <si>
    <t>PRODIGO1066825</t>
  </si>
  <si>
    <t>HEAD &amp; OBJECTIVE LENS KOVER FOR ZEISS MD</t>
  </si>
  <si>
    <t>DRAPE, EQUIPMENT, MICROSCOPE, 18 IN, PLASTIC LENS, DOME, FOR HEAD AND OBJECTIVE LENS, ZEISS MD, NON STERILE, LATEX-FREE</t>
  </si>
  <si>
    <t>DRP, EQUIP, MICSCP, 18 IN, PLAS LENS, DOME, FOR HD &amp; OBJECTIVE LENS, ZEISS MD, NS, LF</t>
  </si>
  <si>
    <t>DRAPE, EQUIP, MICSCP, 18 IN, PLAS LENS, FOR HD &amp; OBJECTIVE LENS</t>
  </si>
  <si>
    <t>PLASTIC LENS, DOME, FOR HEAD AND OBJECTIVE LENS, ZEISS MD</t>
  </si>
  <si>
    <t>https://www.advancemedicaldesigns.com/category/microscope-drapes/plastic-lens-microscope-drape, https://accessgudid.nlm.nih.gov/devices/00848340001307</t>
  </si>
  <si>
    <t>09MK975</t>
  </si>
  <si>
    <t>9MK975</t>
  </si>
  <si>
    <t>09-MK975</t>
  </si>
  <si>
    <t>ADVANCE MEDICAL DESIGNS_09MK975</t>
  </si>
  <si>
    <t>Drape Microscope 22in Dome For Head And Objective Lens Wild Leica</t>
  </si>
  <si>
    <t>PRODIGO1066827</t>
  </si>
  <si>
    <t xml:space="preserve">HEAD &amp; OBJECTIVE LENS KOVER FOR WILD </t>
  </si>
  <si>
    <t>DRAPE, EQUIPMENT, MICROSCOPE, 22 IN, PLASTIC LENS, DOME, FOR HEAD AND OBJECTIVE LENS, WILD LEICA, NON STERILE, LATEX-FREE</t>
  </si>
  <si>
    <t>DRP, EQUIP, MICSCP, 22 IN, PLAS LENS, DOME, FOR HD &amp; OBJECTIVE LENS, WILD LEICA, NS, LF</t>
  </si>
  <si>
    <t>DRAPE, EQUIP, MICSCP, 22 IN, PLAS LENS, FOR HD &amp; OBJECTIVE LENS</t>
  </si>
  <si>
    <t>22 IN</t>
  </si>
  <si>
    <t>PLASTIC LENS, DOME, FOR HEAD AND OBJECTIVE LENS, WILD LEICA</t>
  </si>
  <si>
    <t>https://www.advancemedicaldesigns.com/category/microscope-drapes/plastic-lens-microscope-drape, https://accessgudid.nlm.nih.gov/devices/00848340001338</t>
  </si>
  <si>
    <t>09MK982</t>
  </si>
  <si>
    <t>9MK982</t>
  </si>
  <si>
    <t>09-MK982</t>
  </si>
  <si>
    <t>ADVANCE MEDICAL DESIGNS_09MK982</t>
  </si>
  <si>
    <t>Drape Microscope W40.5XL62in With Extended Observer Tube For Urban</t>
  </si>
  <si>
    <t>PRODIGO1066828</t>
  </si>
  <si>
    <t>MICROSCOPE DRAPE EXTENDED MONOCULAR OBS/PHOT</t>
  </si>
  <si>
    <t>DRAPE, EQUIPMENT, MICROSCOPE, 62X40.5 IN, PLASTIC LENS, WITH EXTENDED OBSERVER TUBE, FOR URBAN, NON STERILE, LATEX-FREE</t>
  </si>
  <si>
    <t>DRP, EQUIP, MICSCP, 62X40.5 IN, PLAS LENS, W/ EXT OBSERVER TUBE, FOR URBAN, NS, LF</t>
  </si>
  <si>
    <t>DRAPE, EQUIP, MICSCP, 62X40.5 IN, PLAS LENS, TUBE, FOR URBAN, NS, LF</t>
  </si>
  <si>
    <t>PLASTIC LENS, WITH EXTENDED OBSERVER TUBE, FOR URBAN</t>
  </si>
  <si>
    <t>https://www.advancemedicaldesigns.com/category/microscope-drapes/plastic-lens-microscope-drape, https://accessgudid.nlm.nih.gov/devices/00848340001352</t>
  </si>
  <si>
    <t>10104</t>
  </si>
  <si>
    <t>10-104</t>
  </si>
  <si>
    <t>ADVANCE MEDICAL DESIGNS_10104</t>
  </si>
  <si>
    <t>Decanter Bottle Needleless Withdrawal Vial Filtered Vented With Valve For Aseptic Transfer Of Fluid</t>
  </si>
  <si>
    <t>PRODIGO1066687</t>
  </si>
  <si>
    <t>42222202  Needleless vial or bag withdrawal cannulas or adapters or decanters</t>
  </si>
  <si>
    <t>BAG DECANTER FOR ASEPTIC TRANSFER OF FLUIDS FROM BOTTLES</t>
  </si>
  <si>
    <t>BAG, DECANTER, FOR ASEPTIC TRANSFER OF FLUID FROM BOTTLE, NEEDLELESS, WITHDRAWAL VIAL, FILTERED, VENTED, WITH VALVE, NON STERILE, LATEX-FREE</t>
  </si>
  <si>
    <t>BAG, DECANT, FOR ASEP TRANSFER OF FLUID FR BTL, NEEDLELESS, WITHDRAWAL VI, FILTERED, VENTED, W/ VLV, NS, LF</t>
  </si>
  <si>
    <t>BAG, DECANT, FOR ASEP TRANSFER OF FLUID FR BTL, WITHDRAWAL VI</t>
  </si>
  <si>
    <t>DECANTER</t>
  </si>
  <si>
    <t>FOR ASEPTIC TRANSFER OF FLUID FROM BOTTLE, NEEDLELESS, WITHDRAWAL VIAL, FILTERED, VENTED, WITH VALVE</t>
  </si>
  <si>
    <t>https://www.advancemedicaldesigns.com/category/decanting-devices/decanting-devices, https://accessgudid.nlm.nih.gov/devices/00848340000010</t>
  </si>
  <si>
    <t>20P3D324</t>
  </si>
  <si>
    <t>20-P3D324</t>
  </si>
  <si>
    <t>ADVANCE MEDICAL DESIGNS_20P3D324</t>
  </si>
  <si>
    <t>Cover Ultrasound Probe W3XL24in Gusseted Closed End With Gel</t>
  </si>
  <si>
    <t>PRODIGO1066711</t>
  </si>
  <si>
    <t>PROBE COVER W BANDS TAPE &amp; 20ML STERILE GEL</t>
  </si>
  <si>
    <t>COVER, PROBE, 24X3 IN, 20 CC, GUSSETED CLOSED END, GENERAL PURPOSE, WITH BAND, TAPE, STERILE GEL, ULTRASOUND, NON STERILE, LATEX-FREE</t>
  </si>
  <si>
    <t>CVR, PRB, 24X3 IN, 20 CC, GUSSETED CLOSED END, GEN PURP, W/ BND, TAPE, STRL GEL, ULTRASOUND, NS, LF</t>
  </si>
  <si>
    <t>COVER, PRB, 24X3 IN, 20 CC, GUSSETED CLOSED END, ULTRASOUND, NS, LF</t>
  </si>
  <si>
    <t>24X3 IN</t>
  </si>
  <si>
    <t>20 CC</t>
  </si>
  <si>
    <t>GUSSETED CLOSED END, GENERAL PURPOSE, WITH BAND, TAPE, STERILE GEL, ULTRASOUND</t>
  </si>
  <si>
    <t>https://www.advancemedicaldesigns.com/category/ultrasound-probe-covers/general-purpose-probe-covers, https://accessgudid.nlm.nih.gov/devices/00848340000621</t>
  </si>
  <si>
    <t>20P3D348</t>
  </si>
  <si>
    <t>20-P3D348</t>
  </si>
  <si>
    <t>ADVANCE MEDICAL DESIGNS_20P3D348</t>
  </si>
  <si>
    <t>Cover Ultrasound Probe W3XL48in Gusseted Closed End With Gel</t>
  </si>
  <si>
    <t>PRODIGO1066712</t>
  </si>
  <si>
    <t>COVER, PROBE, 48X3 IN, 20 CC, GUSSETED CLOSED END, GENERAL PURPOSE, WITH BAND, TAPE, STERILE GEL, ULTRASOUND, NON STERILE, LATEX-FREE</t>
  </si>
  <si>
    <t>CVR, PRB, 48X3 IN, 20 CC, GUSSETED CLOSED END, GEN PURP, W/ BND, TAPE, STRL GEL, ULTRASOUND, NS, LF</t>
  </si>
  <si>
    <t>COVER, PRB, 48X3 IN, 20 CC, GUSSETED CLOSED END, ULTRASOUND, NS, LF</t>
  </si>
  <si>
    <t>48X3 IN</t>
  </si>
  <si>
    <t>https://www.advancemedicaldesigns.com/category/ultrasound-probe-covers/general-purpose-probe-covers, https://accessgudid.nlm.nih.gov/devices/00848340000638</t>
  </si>
  <si>
    <t>20P3D448</t>
  </si>
  <si>
    <t>20-P3D448</t>
  </si>
  <si>
    <t>ADVANCE MEDICAL DESIGNS_20P3D448</t>
  </si>
  <si>
    <t>Cover Ultrasound Probe W4XL48in Gusseted Closed End With Gel</t>
  </si>
  <si>
    <t>PRODIGO1066714</t>
  </si>
  <si>
    <t>COVER, PROBE, 48X4 IN, 20 CC, GUSSETED CLOSED END, GENERAL PURPOSE, WITH BAND, TAPE, STERILE GEL, ULTRASOUND, NON STERILE, LATEX-FREE</t>
  </si>
  <si>
    <t>CVR, PRB, 48X4 IN, 20 CC, GUSSETED CLOSED END, GEN PURP, W/ BND, TAPE, STRL GEL, ULTRASOUND, NS, LF</t>
  </si>
  <si>
    <t>COVER, PRB, 48X4 IN, 20 CC, GUSSETED CLOSED END, ULTRASOUND, NS, LF</t>
  </si>
  <si>
    <t>48X4 IN</t>
  </si>
  <si>
    <t>https://www.advancemedicaldesigns.com/category/ultrasound-probe-covers/general-purpose-probe-covers, https://accessgudid.nlm.nih.gov/devices/00848340000669</t>
  </si>
  <si>
    <t>20P3D596NG</t>
  </si>
  <si>
    <t>20-P3D596NG</t>
  </si>
  <si>
    <t>ADVANCE MEDICAL DESIGNS_20P3D596NG</t>
  </si>
  <si>
    <t>Cover Ultrasound Probe W5XL96in 3D Without Gel</t>
  </si>
  <si>
    <t>PRODIGO1066716</t>
  </si>
  <si>
    <t>PROBE COVER W BANDS &amp; TAPE NO GEL</t>
  </si>
  <si>
    <t>COVER, PROBE, 96X5 IN, 3D, GENERAL PURPOSE, WITH BAND, TAPE, WITHOUT GEL, ULTRASOUND, NON STERILE, LATEX-FREE</t>
  </si>
  <si>
    <t>CVR, PRB, 96X5 IN, 3D, GEN PURP, W/ BND, TAPE, W/O GEL, ULTRASOUND, NS, LF</t>
  </si>
  <si>
    <t>COVER, PRB, 96X5 IN, 3D, GEN PURP, W/ BND, TAPE, ULTRASOUND, NS, LF</t>
  </si>
  <si>
    <t>3D, GENERAL PURPOSE, WITH BAND, TAPE, WITHOUT GEL, ULTRASOUND</t>
  </si>
  <si>
    <t>https://www.advancemedicaldesigns.com/category/ultrasound-probe-covers/general-purpose-probe-covers, https://accessgudid.nlm.nih.gov/devices/00848340000713</t>
  </si>
  <si>
    <t>20P3D624</t>
  </si>
  <si>
    <t>20-P3D624</t>
  </si>
  <si>
    <t>ADVANCE MEDICAL DESIGNS_20P3D624</t>
  </si>
  <si>
    <t>Cover Ultrasound Probe W6XL24in Gusseted Closed End With Gel</t>
  </si>
  <si>
    <t>PRODIGO1066717</t>
  </si>
  <si>
    <t>COVER, PROBE, 24X6 IN, 20 CC, GUSSETED CLOSED END, GENERAL PURPOSE, WITH BAND, TAPE, STERILE GEL, ULTRASOUND, NON STERILE, LATEX-FREE</t>
  </si>
  <si>
    <t>CVR, PRB, 24X6 IN, 20 CC, GUSSETED CLOSED END, GEN PURP, W/ BND, TAPE, STRL GEL, ULTRASOUND, NS, LF</t>
  </si>
  <si>
    <t>COVER, PRB, 24X6 IN, 20 CC, GUSSETED CLOSED END, BND, ULTRASOUND</t>
  </si>
  <si>
    <t>24X6 IN</t>
  </si>
  <si>
    <t>https://www.advancemedicaldesigns.com/category/ultrasound-probe-covers/general-purpose-probe-covers, https://accessgudid.nlm.nih.gov/devices/00848340000720</t>
  </si>
  <si>
    <t>20PC448</t>
  </si>
  <si>
    <t>20-PC448</t>
  </si>
  <si>
    <t>ADVANCE MEDICAL DESIGNS_20PC448</t>
  </si>
  <si>
    <t>Cover Ultrasound Probe W4XL48in Polyurethane Gusseted Closed End Easy Insert Gel And Band Soft Flex</t>
  </si>
  <si>
    <t>PRODIGO1066718</t>
  </si>
  <si>
    <t>SOFTFLEX PROBE COVER W EASY INSERT BANDS TAPE &amp; 20ML STERILE GEL</t>
  </si>
  <si>
    <t>COVER, PROBE, EASY INSERT, 48X4 IN, 20 CC, GUSSETED CLOSED END, WITH BAND, TAPE, STERILE GEL, ULTRASOUND, POLYURETHANE, NON STERILE, SOFT FLEX, LATEX-FREE</t>
  </si>
  <si>
    <t>CVR, PRB, EZ INSRT, 48X4 IN, 20 CC, GUSSETED CLOSED END, W/ BND, TAPE, STRL GEL, ULTRASOUND, POLYURETHANE, NS, SFT FLX, LF</t>
  </si>
  <si>
    <t>COVER, PRB, EZ INSRT, 48X4 IN, 20 CC, CLOSED, POLYURETHANE, SFT FLX</t>
  </si>
  <si>
    <t>EASY INSERT</t>
  </si>
  <si>
    <t>GUSSETED CLOSED END, WITH BAND, TAPE, STERILE GEL, ULTRASOUND</t>
  </si>
  <si>
    <t>SOFT FLEX</t>
  </si>
  <si>
    <t>https://www.advancemedicaldesigns.com/category/ultrasound-probe-covers/soft-flex-probe-covers, https://accessgudid.nlm.nih.gov/devices/00848340000768</t>
  </si>
  <si>
    <t>20PC596</t>
  </si>
  <si>
    <t>20-PC596</t>
  </si>
  <si>
    <t>ADVANCE MEDICAL DESIGNS_20PC596</t>
  </si>
  <si>
    <t>Cover Ultrasound Probe W5XL96in Polyurethane Gusseted Closed End Easy Insert Gel And Band Soft Flex</t>
  </si>
  <si>
    <t>PRODIGO1066719</t>
  </si>
  <si>
    <t>COVER, PROBE, EASY INSERT, 96X5 IN, 20 CC, GUSSETED CLOSED END, WITH BAND, TAPE, STERILE GEL, ULTRASOUND, POLYURETHANE, NON STERILE, SOFT FLEX, LATEX-FREE</t>
  </si>
  <si>
    <t>CVR, PRB, EZ INSRT, 96X5 IN, 20 CC, GUSSETED CLOSED END, W/ BND, TAPE, STRL GEL, ULTRASOUND, POLYURETHANE, NS, SFT FLX, LF</t>
  </si>
  <si>
    <t>COVER, PRB, EZ INSRT, 96X5 IN, 20 CC, CLOSED, POLYURETHANE, SFT FLX</t>
  </si>
  <si>
    <t>https://www.advancemedicaldesigns.com/category/ultrasound-probe-covers/soft-flex-probe-covers, https://accessgudid.nlm.nih.gov/devices/00848340000782</t>
  </si>
  <si>
    <t>20PMT04</t>
  </si>
  <si>
    <t>20-PMT04</t>
  </si>
  <si>
    <t>ADVANCE MEDICAL DESIGNS_20PMT04</t>
  </si>
  <si>
    <t>Cover Ultrasound Probe W5XL96in Small T Shaped Molded Tip Gel</t>
  </si>
  <si>
    <t>PRODIGO1066720</t>
  </si>
  <si>
    <t>PROBE COVER W LARGE T SHAPED MOLDED TIP</t>
  </si>
  <si>
    <t>COVER, PROBE, 96X5 IN, LARGE T SHAPED MOLDED TIP, GEL, ULTRASOUND</t>
  </si>
  <si>
    <t>CVR, PRB, 96X5 IN, LG T SHP MOLD TIP, GEL, ULTRASOUND</t>
  </si>
  <si>
    <t>COVER, PRB, 96X5 IN, LG T SHP MOLD TIP, GEL, ULTRASOUND</t>
  </si>
  <si>
    <t>LARGE T SHAPED MOLDED TIP, GEL, ULTRASOUND</t>
  </si>
  <si>
    <t>https://www.advancemedicaldesigns.com/category/ultrasound-probe-covers/molded-tip-probe-covers</t>
  </si>
  <si>
    <t>221704</t>
  </si>
  <si>
    <t>2217-04</t>
  </si>
  <si>
    <t>ADVANCE MEDICAL DESIGNS_221704</t>
  </si>
  <si>
    <t>Drape Fluoroscope W17XL22in With Adhesive Strip</t>
  </si>
  <si>
    <t>PRODIGO1066721</t>
  </si>
  <si>
    <t>DRAPE SHEETS FLUORO DRAPE W/ADHESIVE 22 INW X 17 INL</t>
  </si>
  <si>
    <t>DRAPE, EQUIPMENT, FLUOROSCOPE, 22X17 IN, SHEET, WITH ADHESIVE STRIP, NON STERILE, LATEX-FREE</t>
  </si>
  <si>
    <t>DRAPE, EQUIP, FLROSCP, 22X17 IN, SHT, W/ ADH STRP, NS, LF</t>
  </si>
  <si>
    <t>FLUOROSCOPE</t>
  </si>
  <si>
    <t>22X17 IN</t>
  </si>
  <si>
    <t>SHEET, WITH ADHESIVE STRIP</t>
  </si>
  <si>
    <t>25FF324</t>
  </si>
  <si>
    <t>25-FF324</t>
  </si>
  <si>
    <t>ADVANCE MEDICAL DESIGNS_25FF324</t>
  </si>
  <si>
    <t>Cover Ultrasound Probe W3XL24in Tapered With Sterile Gel Without Band Flexi-Feel</t>
  </si>
  <si>
    <t>PRODIGO1066722</t>
  </si>
  <si>
    <t>FLEXI FEEL PROBE COVER W BANDS TAPE &amp; 20ML STERILE GEL</t>
  </si>
  <si>
    <t>COVER, PROBE, 24X3 IN, 20 CC, TAPERED, WITH BAND, TAPE, STERILE GEL, ULTRASOUND, NON STERILE, FLEXI-FEEL, LATEX-FREE</t>
  </si>
  <si>
    <t>CVR, PRB, 24X3 IN, 20 CC, TAPR, W/ BND, TAPE, STRL GEL, ULTRASOUND, NS, FLEXI-FEEL, LF</t>
  </si>
  <si>
    <t>COVER, PRB, 24X3 IN, 20 CC, TAPR, W/ BND, TAPE, GEL, NS, FLEXI-FEEL</t>
  </si>
  <si>
    <t>TAPERED, WITH BAND, TAPE, STERILE GEL, ULTRASOUND</t>
  </si>
  <si>
    <t>https://www.advancemedicaldesigns.com/category/ultrasound-probe-covers/flexi-feel-probe-covers, https://accessgudid.nlm.nih.gov/devices/00848340007378</t>
  </si>
  <si>
    <t>25FF336</t>
  </si>
  <si>
    <t>25-FF336</t>
  </si>
  <si>
    <t>ADVANCE MEDICAL DESIGNS_25FF336</t>
  </si>
  <si>
    <t>Cover Ultrasound Probe W3XL36in Tapered With Sterile Gel Without Band Flexi-Feel</t>
  </si>
  <si>
    <t>PRODIGO1066723</t>
  </si>
  <si>
    <t>COVER, PROBE, 36X3 IN, 20 CC, TAPERED, WITH BAND, TAPE, STERILE GEL, ULTRASOUND, NON STERILE, FLEXI-FEEL, LATEX-FREE</t>
  </si>
  <si>
    <t>CVR, PRB, 36X3 IN, 20 CC, TAPR, W/ BND, TAPE, STRL GEL, ULTRASOUND, NS, FLEXI-FEEL, LF</t>
  </si>
  <si>
    <t>COVER, PRB, 36X3 IN, 20 CC, TAPR, W/ BND, TAPE, GEL, NS, FLEXI-FEEL</t>
  </si>
  <si>
    <t>36X3 IN</t>
  </si>
  <si>
    <t>https://www.advancemedicaldesigns.com/category/ultrasound-probe-covers/flexi-feel-probe-covers, https://accessgudid.nlm.nih.gov/devices/00848340007392</t>
  </si>
  <si>
    <t>25FF348</t>
  </si>
  <si>
    <t>25-FF348</t>
  </si>
  <si>
    <t>ADVANCE MEDICAL DESIGNS_25FF348</t>
  </si>
  <si>
    <t>Cover Ultrasound Probe W3XL48in Tapered With Sterile Gel Without Band Flexi-Feel</t>
  </si>
  <si>
    <t>PRODIGO1066724</t>
  </si>
  <si>
    <t>COVER, PROBE, 48X3 IN, 20 CC, TAPERED, WITH BAND, TAPE, STERILE GEL, ULTRASOUND, NON STERILE, FLEXI-FEEL, LATEX-FREE</t>
  </si>
  <si>
    <t>CVR, PRB, 48X3 IN, 20 CC, TAPR, W/ BND, TAPE, STRL GEL, ULTRASOUND, NS, FLEXI-FEEL, LF</t>
  </si>
  <si>
    <t>COVER, PRB, 48X3 IN, 20 CC, TAPR, W/ BND, TAPE, GEL, NS, FLEXI-FEEL</t>
  </si>
  <si>
    <t>https://www.advancemedicaldesigns.com/category/ultrasound-probe-covers/flexi-feel-probe-covers, https://accessgudid.nlm.nih.gov/devices/00848340007408</t>
  </si>
  <si>
    <t>25FF396</t>
  </si>
  <si>
    <t>25-FF396</t>
  </si>
  <si>
    <t>ADVANCE MEDICAL DESIGNS_25FF396</t>
  </si>
  <si>
    <t>Cover Ultrasound Probe W3XL96in Tapered With Sterile Gel Without Band Flexi-Feel</t>
  </si>
  <si>
    <t>PRODIGO1066725</t>
  </si>
  <si>
    <t>COVER, PROBE, 96X3 IN, 20 CC, TAPERED, WITH BAND, TAPE, STERILE GEL, ULTRASOUND, NON STERILE, FLEXI-FEEL, LATEX-FREE</t>
  </si>
  <si>
    <t>CVR, PRB, 96X3 IN, 20 CC, TAPR, W/ BND, TAPE, STRL GEL, ULTRASOUND, NS, FLEXI-FEEL, LF</t>
  </si>
  <si>
    <t>COVER, PRB, 96X3 IN, 20 CC, TAPR, W/ BND, TAPE, GEL, NS, FLEXI-FEEL</t>
  </si>
  <si>
    <t>96X3 IN</t>
  </si>
  <si>
    <t>https://www.advancemedicaldesigns.com/category/ultrasound-probe-covers/flexi-feel-probe-covers, https://accessgudid.nlm.nih.gov/devices/00848340007415</t>
  </si>
  <si>
    <t>25FF424</t>
  </si>
  <si>
    <t>25-FF424</t>
  </si>
  <si>
    <t>ADVANCE MEDICAL DESIGNS_25FF424</t>
  </si>
  <si>
    <t>Cover Ultrasound Probe W4XL24in Tapered With Sterile Gel Without Band Flexi-Feel</t>
  </si>
  <si>
    <t>PRODIGO1066726</t>
  </si>
  <si>
    <t>COVER, PROBE, 24X4 IN, 20 CC, TAPERED, WITH BAND, TAPE, STERILE GEL, ULTRASOUND, NON STERILE, FLEXI-FEEL, LATEX-FREE</t>
  </si>
  <si>
    <t>CVR, PRB, 24X4 IN, 20 CC, TAPR, W/ BND, TAPE, STRL GEL, ULTRASOUND, NS, FLEXI-FEEL, LF</t>
  </si>
  <si>
    <t>COVER, PRB, 24X4 IN, 20 CC, TAPR, W/ BND, TAPE, GEL, NS, FLEXI-FEEL</t>
  </si>
  <si>
    <t>24X4 IN</t>
  </si>
  <si>
    <t>https://www.advancemedicaldesigns.com/category/ultrasound-probe-covers/flexi-feel-probe-covers, https://accessgudid.nlm.nih.gov/devices/00848340007422</t>
  </si>
  <si>
    <t>25FF496</t>
  </si>
  <si>
    <t>25-FF496</t>
  </si>
  <si>
    <t>ADVANCE MEDICAL DESIGNS_25FF496</t>
  </si>
  <si>
    <t>Cover Ultrasound Probe W4XL96in Tapered With Sterile Gel Without Band Flexi Feel</t>
  </si>
  <si>
    <t>PRODIGO1066727</t>
  </si>
  <si>
    <t>COVER, PROBE, 96X4 IN, 20 CC, TAPERED, WITH BAND, TAPE, STERILE GEL, ULTRASOUND, NON STERILE, FLEXI-FEEL, LATEX-FREE</t>
  </si>
  <si>
    <t>CVR, PRB, 96X4 IN, 20 CC, TAPR, W/ BND, TAPE, STRL GEL, ULTRASOUND, NS, FLEXI-FEEL, LF</t>
  </si>
  <si>
    <t>COVER, PRB, 96X4 IN, 20 CC, TAPR, W/ BND, TAPE, GEL, NS, FLEXI-FEEL</t>
  </si>
  <si>
    <t>96X4 IN</t>
  </si>
  <si>
    <t>https://www.advancemedicaldesigns.com/category/ultrasound-probe-covers/flexi-feel-probe-covers, https://accessgudid.nlm.nih.gov/devices/00848340007460</t>
  </si>
  <si>
    <t>25FF6396</t>
  </si>
  <si>
    <t>25-FF6396</t>
  </si>
  <si>
    <t>ADVANCE MEDICAL DESIGNS_25FF6396</t>
  </si>
  <si>
    <t>Cover Ultrasound Probe W3XL96in 6in Tapered With Sterile Gel Flexi Feel</t>
  </si>
  <si>
    <t>PRODIGO1066728</t>
  </si>
  <si>
    <t>COVER, PROBE, 96X6-3 IN, 20 CC, TAPERED, WITH BAND, TAPE, STERILE GEL, ULTRASOUND, NON STERILE, FLEXI-FEEL, LATEX-FREE</t>
  </si>
  <si>
    <t>CVR, PRB, 96X6-3 IN, 20 CC, TAPR, W/ BND, TAPE, STRL GEL, ULTRASOUND, NS, FLEXI-FEEL, LF</t>
  </si>
  <si>
    <t>COVER, PRB, 96X6-3 IN, 20 CC, TAPR, W/ BND, TAPE, GEL, NS, FLEXI-FEEL</t>
  </si>
  <si>
    <t>96X6-3 IN</t>
  </si>
  <si>
    <t>https://www.advancemedicaldesigns.com/category/ultrasound-probe-covers/flexi-feel-probe-covers, https://accessgudid.nlm.nih.gov/devices/00848340007965</t>
  </si>
  <si>
    <t>25FF6396NG</t>
  </si>
  <si>
    <t>25-FF6396NG</t>
  </si>
  <si>
    <t>ADVANCE MEDICAL DESIGNS_25FF6396NG</t>
  </si>
  <si>
    <t>Cover Ultrasound Probe W3XL96in 6in Tapered Without Gel Flexi-Feel</t>
  </si>
  <si>
    <t>PRODIGO1066729</t>
  </si>
  <si>
    <t>Cover Ultrasound Probe W3XL96in 6in Tapered Without Gel Flexi Feel</t>
  </si>
  <si>
    <t>COVER, PROBE, 96X6-3 IN, TAPERED, WITH BAND, TAPE, WITHOUT GEL, ULTRASOUND, FLEXI-FEEL</t>
  </si>
  <si>
    <t>CVR, PRB, 96X6-3 IN, TAPR, W/ BND, TAPE, W/O GEL, ULTRASOUND, FLEXI-FEEL</t>
  </si>
  <si>
    <t>COVER, PRB, 96X6-3 IN, TAPR, W/ BND, TAPE, W/O GEL, FLEXI-FEEL</t>
  </si>
  <si>
    <t>TAPERED, WITH BAND, TAPE, WITHOUT GEL, ULTRASOUND</t>
  </si>
  <si>
    <t>https://www.advancemedicaldesigns.com/category/ultrasound-probe-covers/flexi-feel-probe-covers</t>
  </si>
  <si>
    <t>25FF924</t>
  </si>
  <si>
    <t>25-FF924</t>
  </si>
  <si>
    <t>ADVANCE MEDICAL DESIGNS_25FF924</t>
  </si>
  <si>
    <t>Cover Ultrasound Probe W9XL24in Tapered With Sterile Gel Without Band Flexi Feel</t>
  </si>
  <si>
    <t>PRODIGO1066731</t>
  </si>
  <si>
    <t>COVER, PROBE, 24X9 IN, TAPERED, WITH STERILE GEL, WITHOUT BAND, ULTRASOUND, NON STERILE, FLEXI-FEEL, LATEX-FREE</t>
  </si>
  <si>
    <t>CVR, PRB, 24X9 IN, TAPR, W/ STRL GEL, W/O BND, ULTRASOUND, NS, FLEXI-FEEL, LF</t>
  </si>
  <si>
    <t>COVER, PRB, 24X9 IN, TAPR, W/ GEL, W/O BND, NS, FLEXI-FEEL</t>
  </si>
  <si>
    <t>24X9 IN</t>
  </si>
  <si>
    <t>TAPERED, WITH STERILE GEL, WITHOUT BAND, ULTRASOUND</t>
  </si>
  <si>
    <t>https://accessgudid.nlm.nih.gov/devices/00848340007545</t>
  </si>
  <si>
    <t>364004</t>
  </si>
  <si>
    <t>3640-04</t>
  </si>
  <si>
    <t>ADVANCE MEDICAL DESIGNS_364004</t>
  </si>
  <si>
    <t>Drape Fluoroscope W36XL40in Long Clear Plastic Adhesive Sheet Disposable</t>
  </si>
  <si>
    <t>PRODIGO1066732</t>
  </si>
  <si>
    <t>DRAPE SHEETS FLUORO DRAPE W/ADHESIVE 36 INW X 40 INL</t>
  </si>
  <si>
    <t>DRAPE, EQUIPMENT, FLUOROSCOPE, LONG, 40X36 IN, SHEET, WITH ADHESIVE STRIP, PLASTIC, CLEAR, NON STERILE, LATEX-FREE, DISPOSABLE</t>
  </si>
  <si>
    <t>DRAPE, EQUIP, FLROSCP, LNG, 40X36 IN, SHT, W/ ADH STRP, PLAS, CLR, NS, LF, DISP</t>
  </si>
  <si>
    <t>DRAPE, EQUIP, FLROSCP, LNG, 40X36 IN, SHT, W/ ADH STRP, PLAS, CLR, NS</t>
  </si>
  <si>
    <t>364404</t>
  </si>
  <si>
    <t>3644-04</t>
  </si>
  <si>
    <t>ADVANCE MEDICAL DESIGNS_364404</t>
  </si>
  <si>
    <t>Drape Fluoroscope W36XL44in Long Sterile Clear Plastic Adhesive Sheet Disposable</t>
  </si>
  <si>
    <t>PRODIGO1066733</t>
  </si>
  <si>
    <t>DRAPE SHEETS FLUORO DRAPE W/ADHESIVE 36 INW X 44 INL</t>
  </si>
  <si>
    <t>DRAPE, EQUIPMENT, FLUOROSCOPE, LONG, 44X36 IN, SHEET, WITH ADHESIVE STRIP, PLASTIC, CLEAR, NON STERILE, LATEX-FREE, DISPOSABLE</t>
  </si>
  <si>
    <t>DRAPE, EQUIP, FLROSCP, LNG, 44X36 IN, SHT, W/ ADH STRP, PLAS, CLR, NS, LF, DISP</t>
  </si>
  <si>
    <t>DRAPE, EQUIP, FLROSCP, LNG, 44X36 IN, SHT, W/ ADH STRP, PLAS, CLR, NS</t>
  </si>
  <si>
    <t>44X36 IN</t>
  </si>
  <si>
    <t>40SD120</t>
  </si>
  <si>
    <t>40-SD120</t>
  </si>
  <si>
    <t>ADVANCE MEDICAL DESIGNS_40SD120</t>
  </si>
  <si>
    <t>Drape Slush Machine W52XL66in Polyurethane With Disk Without Lens For Round Basin</t>
  </si>
  <si>
    <t>PRODIGO1066738</t>
  </si>
  <si>
    <t>DRAPE, EQUIPMENT, SLUSH MACHINE, 66X52 IN, WITH DISK, WITHOUT LENS, FOR ROUND BASIN, POLYURETHANE, NON STERILE, LATEX-FREE, DISPOSABLE</t>
  </si>
  <si>
    <t>DRP, EQUIP, SLUSH MACH, 66X52 IN, W/ DISK, W/O LENS, FOR RND BASIN, POLYURETHANE, NS, LF, DISP</t>
  </si>
  <si>
    <t>DRAPE, EQUIP, SLUSH MACH, 66X52 IN, W/ DISK, POLYURETHANE, NS, DISP</t>
  </si>
  <si>
    <t>SLUSH MACHINE</t>
  </si>
  <si>
    <t>66X52 IN</t>
  </si>
  <si>
    <t>WITH DISK, WITHOUT LENS, FOR ROUND BASIN</t>
  </si>
  <si>
    <t>https://accessgudid.nlm.nih.gov/devices/00848340008269</t>
  </si>
  <si>
    <t>40SD300</t>
  </si>
  <si>
    <t>40-SD300</t>
  </si>
  <si>
    <t>ADVANCE MEDICAL DESIGNS_40SD300</t>
  </si>
  <si>
    <t>Drape Fluid Warmer W44XL44in Polyurethane</t>
  </si>
  <si>
    <t>PRODIGO1066739</t>
  </si>
  <si>
    <t>FLUID WARMER DRAPE</t>
  </si>
  <si>
    <t>DRAPE, EQUIPMENT, FLUID WARMER, 44X44 IN, POLYURETHANE, NON STERILE, LATEX-FREE</t>
  </si>
  <si>
    <t>DRP, EQUIP, FLUID WARMER, 44X44 IN, POLYURETHANE, NS, LF</t>
  </si>
  <si>
    <t>DRAPE, EQUIP, FLUID WARMER, 44X44 IN, POLYURETHANE, NS, LF</t>
  </si>
  <si>
    <t>FLUID WARMER</t>
  </si>
  <si>
    <t>44X44 IN</t>
  </si>
  <si>
    <t>https://www.advancemedicaldesigns.com/category/fluid-warmer-drapes/fluid-warmer-drapes, https://accessgudid.nlm.nih.gov/devices/00848340004933</t>
  </si>
  <si>
    <t>40SD320</t>
  </si>
  <si>
    <t>40-SD320</t>
  </si>
  <si>
    <t>ADVANCE MEDICAL DESIGNS_40SD320</t>
  </si>
  <si>
    <t>Drape Slush Machine W48XL48in Polyurethane With Disk Without Lens For Round Basin</t>
  </si>
  <si>
    <t>PRODIGO1066740</t>
  </si>
  <si>
    <t>DRAPE, EQUIPMENT, SLUSH MACHINE, 48X48 IN, WITH DISK, WITHOUT LENS, FOR ROUND BASIN, POLYURETHANE, NON STERILE, LATEX-FREE, DISPOSABLE</t>
  </si>
  <si>
    <t>DRP, EQUIP, SLUSH MACH, 48X48 IN, W/ DISK, W/O LENS, FOR RND BASIN, POLYURETHANE, NS, LF, DISP</t>
  </si>
  <si>
    <t>DRAPE, EQUIP, SLUSH MACH, 48X48 IN, W/ DISK, POLYURETHANE, NS, DISP</t>
  </si>
  <si>
    <t>48X48 IN</t>
  </si>
  <si>
    <t>https://accessgudid.nlm.nih.gov/devices/00848340008597</t>
  </si>
  <si>
    <t>5454C</t>
  </si>
  <si>
    <t>ADVANCE MEDICAL DESIGNS_5454C</t>
  </si>
  <si>
    <t>Drape Slush Machine W54XL54in Table Setup</t>
  </si>
  <si>
    <t>PRODIGO1066747</t>
  </si>
  <si>
    <t>SET UP KOVER</t>
  </si>
  <si>
    <t>DRAPE, EQUIPMENT, TABLE SET UP COVER, 54X54 IN, SLUSH MACHINE, NON STERILE, LATEX-FREE</t>
  </si>
  <si>
    <t>DRP, EQUIP, TBL SET UP CVR, 54X54 IN, SLUSH MACH, NS, LF</t>
  </si>
  <si>
    <t>DRAPE, EQUIP, TBL SET UP CVR, 54X54 IN, SLUSH MACH, NS, LF</t>
  </si>
  <si>
    <t>TABLE SET UP COVER</t>
  </si>
  <si>
    <t>54X54 IN</t>
  </si>
  <si>
    <t>https://www.advancemedicaldesigns.com/category/accessory-drapes/set-up-covers, https://accessgudid.nlm.nih.gov/devices/00848340002021</t>
  </si>
  <si>
    <t>ALMCFF</t>
  </si>
  <si>
    <t>ADVANCE MEDICAL DESIGNS_ALMCFF</t>
  </si>
  <si>
    <t>Cover Camera Handle For Maquet Fixed Focus CFF</t>
  </si>
  <si>
    <t>PRODIGO1066829</t>
  </si>
  <si>
    <t>CAMERA HANDLE COVER FOR CFF</t>
  </si>
  <si>
    <t>DRAPE, EQUIPMENT, CAMERA HANDLE, COVER, FOR MAQUET FIXED FOCUS CFF, NON STERILE, LATEX-FREE</t>
  </si>
  <si>
    <t>DRP, EQUIP, CAM HNDL, CVR, FOR MAQUET FIX FOCUS CFF, NS, LF</t>
  </si>
  <si>
    <t>DRAPE, EQUIP, CAM HNDL, CVR, FOR MAQUET FIX FOCUS CFF, NS, LF</t>
  </si>
  <si>
    <t>COVER, FOR MAQUET FIXED FOCUS CFF</t>
  </si>
  <si>
    <t>https://www.advancemedicaldesigns.com/category/light-handle-covers-camera-handle-covers/camera-handle-cover, https://accessgudid.nlm.nih.gov/devices/00848340000607</t>
  </si>
  <si>
    <t>ALMVZ</t>
  </si>
  <si>
    <t>ADVANCE MEDICAL DESIGNS_ALMVZ</t>
  </si>
  <si>
    <t>Cover Camera Handle For Maquet Zoom VZ</t>
  </si>
  <si>
    <t>PRODIGO1066830</t>
  </si>
  <si>
    <t>CAMERA HANDLE COVER FOR VZ</t>
  </si>
  <si>
    <t>DRAPE, EQUIPMENT, CAMERA HANDLE, COVER, FOR MAQUET ZOOM VZ, NON STERILE, LATEX-FREE</t>
  </si>
  <si>
    <t>DRP, EQUIP, CAM HNDL, CVR, FOR MAQUET ZOOM VZ, NS, LF</t>
  </si>
  <si>
    <t>DRAPE, EQUIP, CAM HNDL, CVR, FOR MAQUET ZOOM VZ, NS, LF</t>
  </si>
  <si>
    <t>COVER, FOR MAQUET ZOOM VZ</t>
  </si>
  <si>
    <t>https://www.advancemedicaldesigns.com/category/light-handle-covers-camera-handle-covers/camera-handle-cover, https://accessgudid.nlm.nih.gov/devices/00848340000614</t>
  </si>
  <si>
    <t>CC160NSA</t>
  </si>
  <si>
    <t>CC160NS-A</t>
  </si>
  <si>
    <t>ADVANCE MEDICAL DESIGNS_CC160NSA</t>
  </si>
  <si>
    <t>Bag Drainage 8mm Adapter</t>
  </si>
  <si>
    <t>PRODIGO1066831</t>
  </si>
  <si>
    <t>Urologic Drain Bag</t>
  </si>
  <si>
    <t>BAG, DRAINAGE, 8 MM, ADAPTER, NON STERILE, LATEX-FREE</t>
  </si>
  <si>
    <t>BG, DRAINAGE, 8 MM, ADPT, NS, LF</t>
  </si>
  <si>
    <t>BAG, DRAINAGE, 8 MM, ADPT, NS, LF</t>
  </si>
  <si>
    <t>8 MM</t>
  </si>
  <si>
    <t>ADAPTER</t>
  </si>
  <si>
    <t>https://accessgudid.nlm.nih.gov/devices/00848340009082</t>
  </si>
  <si>
    <t>CC160NSUB</t>
  </si>
  <si>
    <t>CC160NS-UB</t>
  </si>
  <si>
    <t>ADVANCE MEDICAL DESIGNS_CC160NSUB</t>
  </si>
  <si>
    <t>Bag Drainage Under Buttocks Flap For GE/OEC UroView 2600/2800</t>
  </si>
  <si>
    <t>PRODIGO1066832</t>
  </si>
  <si>
    <t>DRAIN BAG FOR GE/OEC UROVIEW 2600/2800 NON STERILE W UNDERBUTTOCKS FLAP</t>
  </si>
  <si>
    <t>BAG, DRAINAGE, WITH UNDERBUTTOCKS FLAP, FOR GE/OEC UROVIEW 2600/2800, NON STERILE, LATEX-FREE</t>
  </si>
  <si>
    <t>BG, DRAINAGE, W/ UNDERBUTTOCKS FLAP, FOR GE/OEC UROVIEW 2600/2800, NS, LF</t>
  </si>
  <si>
    <t>BAG, DRAINAGE, W/ UNDERBUTTOCKS FLAP, GE/OEC UROVIEW 2600/2800</t>
  </si>
  <si>
    <t>WITH UNDERBUTTOCKS FLAP, FOR GE/OEC UROVIEW 2600/2800</t>
  </si>
  <si>
    <t>https://www.advancemedicaldesigns.com/category/urological-drain-bags/urological-drain-bags, https://accessgudid.nlm.nih.gov/devices/00848340009099</t>
  </si>
  <si>
    <t>CC160NSUB10</t>
  </si>
  <si>
    <t>ADVANCE MEDICAL DESIGNS_CC160NSUB10</t>
  </si>
  <si>
    <t>Bag Drainage 10mm Adapter Under Buttocks Flap For GE/OEC Uroview 2600/2800</t>
  </si>
  <si>
    <t>PRODIGO1066833</t>
  </si>
  <si>
    <t>BAG, DRAINAGE, 10 MM, ADAPTER, WITH UNDERBUTTOCKS FLAP, FOR GE/OEC UROVIEW 2600/2800</t>
  </si>
  <si>
    <t>BG, DRAINAGE, 10 MM, ADPT, W/ UNDERBUTTOCKS FLAP, FOR GE/OEC UROVIEW 2600/2800</t>
  </si>
  <si>
    <t>BAG, DRAINAGE, 10 MM, ADPT, FLAP, FOR GE/OEC UROVIEW 2600/2800</t>
  </si>
  <si>
    <t>10 MM</t>
  </si>
  <si>
    <t>ADAPTER, WITH UNDERBUTTOCKS FLAP, FOR GE/OEC UROVIEW 2600/2800</t>
  </si>
  <si>
    <t>CC160NSUBA</t>
  </si>
  <si>
    <t>CC160NS-UBA</t>
  </si>
  <si>
    <t>ADVANCE MEDICAL DESIGNS_CC160NSUBA</t>
  </si>
  <si>
    <t>Bag Drainage 8mm Adapter Under Buttocks Flap For GE/OEC Uroview 2600/2800</t>
  </si>
  <si>
    <t>PRODIGO1066834</t>
  </si>
  <si>
    <t>DRAIN BAG FOR GE/OEC UROVIEW 2600/2800 NON STERILE W UNDERBUTTOCKS FLAP W 8MM ADAPTER</t>
  </si>
  <si>
    <t>BAG, DRAINAGE, 8 MM, ADAPTER, WITH UNDERBUTTOCKS FLAP, FOR GE/OEC UROVIEW 2600/2800, NON STERILE, LATEX-FREE</t>
  </si>
  <si>
    <t>BG, DRAINAGE, 8 MM, ADPT, W/ UNDERBUTTOCKS FLAP, FOR GE/OEC UROVIEW 2600/2800, NS, LF</t>
  </si>
  <si>
    <t>BAG, DRAINAGE, 8 MM, ADPT, FLAP, FOR GE/OEC UROVIEW 2600/2800, NS</t>
  </si>
  <si>
    <t>https://www.advancemedicaldesigns.com/category/urological-drain-bags/urological-drain-bags, https://accessgudid.nlm.nih.gov/devices/00848340009105</t>
  </si>
  <si>
    <t>CC164NSA</t>
  </si>
  <si>
    <t>CC164NS-A</t>
  </si>
  <si>
    <t>ADVANCE MEDICAL DESIGNS_CC164NSA</t>
  </si>
  <si>
    <t>Bag Drainage 8mm Adapter ABAP For Siemens/Dornier</t>
  </si>
  <si>
    <t>PRODIGO1066835</t>
  </si>
  <si>
    <t>DRAIN BAG FOR SIEMANS/DORNIER NON STERILE W 8MM ADAPTER</t>
  </si>
  <si>
    <t>BAG, DRAINAGE, 8 MM, ADAPTER, FOR SIEMANS/DORNIER, NON STERILE, LATEX-FREE</t>
  </si>
  <si>
    <t>BG, DRAINAGE, 8 MM, ADPT, FOR SIEMANS/DORNIER, NS, LF</t>
  </si>
  <si>
    <t>BAG, DRAINAGE, 8 MM, ADPT, FOR SIEMANS/DORNIER, NS, LF</t>
  </si>
  <si>
    <t>ADAPTER, FOR SIEMANS/DORNIER</t>
  </si>
  <si>
    <t>https://www.advancemedicaldesigns.com/category/urological-drain-bags/urological-drain-bags, https://accessgudid.nlm.nih.gov/devices/00848340009143</t>
  </si>
  <si>
    <t>CC164NSA10</t>
  </si>
  <si>
    <t>CC164NS-A10</t>
  </si>
  <si>
    <t>ADVANCE MEDICAL DESIGNS_CC164NSA10</t>
  </si>
  <si>
    <t>Bag Drainage 10mm Adapter For Siemens/Dornier</t>
  </si>
  <si>
    <t>PRODIGO1066836</t>
  </si>
  <si>
    <t>DRAIN BAG FOR SIEMANS/DORNIER NON STERILE W 10MM ADAPTER</t>
  </si>
  <si>
    <t>BAG, DRAINAGE, 10 MM, ADAPTER, FOR SIEMANS/DORNIER, NON STERILE, LATEX-FREE</t>
  </si>
  <si>
    <t>BG, DRAINAGE, 10 MM, ADPT, FOR SIEMANS/DORNIER, NS, LF</t>
  </si>
  <si>
    <t>BAG, DRAINAGE, 10 MM, ADPT, FOR SIEMANS/DORNIER, NS, LF</t>
  </si>
  <si>
    <t>https://www.advancemedicaldesigns.com/category/urological-drain-bags/urological-drain-bags, https://accessgudid.nlm.nih.gov/devices/00848340009150</t>
  </si>
  <si>
    <t>LATEX INFO BASED ON SERIES</t>
  </si>
  <si>
    <t>CC165NSA</t>
  </si>
  <si>
    <t>CC165NS-A</t>
  </si>
  <si>
    <t>ADVANCE MEDICAL DESIGNS_CC165NSA</t>
  </si>
  <si>
    <t>Bag Drainage 8mm Adapter Nonsterile For Liebel Flarsheim GE2000</t>
  </si>
  <si>
    <t>PRODIGO1066837</t>
  </si>
  <si>
    <t>BAG, DRAINAGE, 8 MM, ADAPTER, FOR LIEBEL FLARSHEIM GE2000, NON STERILE, LATEX-FREE</t>
  </si>
  <si>
    <t>BG, DRAINAGE, 8 MM, ADPT, FOR LIEBEL FLARSHEIM GE2000, NS, LF</t>
  </si>
  <si>
    <t>BAG, DRAINAGE, 8 MM, ADPT, FOR LIEBEL FLARSHEIM GE2000, NS, LF</t>
  </si>
  <si>
    <t>ADAPTER, FOR LIEBEL FLARSHEIM GE2000</t>
  </si>
  <si>
    <t>CC166NSA</t>
  </si>
  <si>
    <t>CC166NS-A</t>
  </si>
  <si>
    <t>ADVANCE MEDICAL DESIGNS_CC166NSA</t>
  </si>
  <si>
    <t>Bag Drainage 8mm Adapter For GE/OEC UroView 2500</t>
  </si>
  <si>
    <t>PRODIGO1066839</t>
  </si>
  <si>
    <t>BAG, DRAINAGE, 8 MM, ADAPTER, FOR GE/OEC UROVIEW 2500, NON STERILE, LATEX-FREE</t>
  </si>
  <si>
    <t>BG, DRAINAGE, 8 MM, ADPT, FOR GE/OEC UROVIEW 2500, NS, LF</t>
  </si>
  <si>
    <t>BAG, DRAINAGE, 8 MM, ADPT, FOR GE/OEC UROVIEW 2500, NS, LF</t>
  </si>
  <si>
    <t>ADAPTER, FOR GE/OEC UROVIEW 2500</t>
  </si>
  <si>
    <t>CC167NSA10</t>
  </si>
  <si>
    <t>CC167NS-A10</t>
  </si>
  <si>
    <t>ADVANCE MEDICAL DESIGNS_CC167NSA10</t>
  </si>
  <si>
    <t>Bag Drainage 10mm Adapter For Skytron/Castle</t>
  </si>
  <si>
    <t>PRODIGO1066840</t>
  </si>
  <si>
    <t>DRAIN BAG FOR SKYTRON / CASTLE NON STERILE W 10MM ADAPTER</t>
  </si>
  <si>
    <t>BAG, DRAINAGE, 10 MM, ADAPTER, FOR SKYTRON / CASTLE, NON STERILE, LATEX-FREE</t>
  </si>
  <si>
    <t>BG, DRAINAGE, 10 MM, ADPT, FOR SKYTRON / CASTLE, NS, LF</t>
  </si>
  <si>
    <t>BAG, DRAINAGE, 10 MM, ADPT, FOR SKYTRON / CASTLE, NS, LF</t>
  </si>
  <si>
    <t>ADAPTER, FOR SKYTRON / CASTLE</t>
  </si>
  <si>
    <t>https://www.advancemedicaldesigns.com/category/urological-drain-bags/urological-drain-bags, https://accessgudid.nlm.nih.gov/devices/00848340009044</t>
  </si>
  <si>
    <t>CC168NSA</t>
  </si>
  <si>
    <t>CC168NS-A</t>
  </si>
  <si>
    <t>ADVANCE MEDICAL DESIGNS_CC168NSA</t>
  </si>
  <si>
    <t>Bag Drainage 8mm Adapter Custom For Skytron</t>
  </si>
  <si>
    <t>PRODIGO1066841</t>
  </si>
  <si>
    <t>DRAIN BAG FOR SKYTRON W 8MM ADAPTER NON STERILE CUSTOM</t>
  </si>
  <si>
    <t>BAG, DRAINAGE, 8 MM, ADAPTER, FOR SKYTRON, CUSTOM, NON STERILE, LATEX-FREE</t>
  </si>
  <si>
    <t>BG, DRAINAGE, 8 MM, ADPT, FOR SKYTRON, CUST, NS, LF</t>
  </si>
  <si>
    <t>BAG, DRAINAGE, 8 MM, ADPT, FOR SKYTRON, CUST, NS, LF</t>
  </si>
  <si>
    <t>ADAPTER, FOR SKYTRON, CUSTOM</t>
  </si>
  <si>
    <t>https://www.advancemedicaldesigns.com/category/urological-drain-bags/urological-drain-bags, https://accessgudid.nlm.nih.gov/devices/00848340009198</t>
  </si>
  <si>
    <t>DFC100</t>
  </si>
  <si>
    <t>ADVANCE MEDICAL DESIGNS_DFC100</t>
  </si>
  <si>
    <t>Drape Doppler W5XL48in Flow Wire With Opened End</t>
  </si>
  <si>
    <t>PRODIGO1066842</t>
  </si>
  <si>
    <t>DOPPLER FLOW WIRE KOVER W OPEN END</t>
  </si>
  <si>
    <t>COVER, DOPPLER, 48X5 IN, FLOW WIRE, WITH OPEN END</t>
  </si>
  <si>
    <t>CVR, DOPPLER, 48X5 IN, FLO WIRE, W/ OPN END</t>
  </si>
  <si>
    <t>COVER, DOPPLER, 48X5 IN, FLO WIRE, W/ OPN END</t>
  </si>
  <si>
    <t>DOPPLER</t>
  </si>
  <si>
    <t>FLOW WIRE, WITH OPEN END</t>
  </si>
  <si>
    <t>DFC101</t>
  </si>
  <si>
    <t>ADVANCE MEDICAL DESIGNS_DFC101</t>
  </si>
  <si>
    <t>Drape Doppler W5XL48in Flow Wire With Closed End</t>
  </si>
  <si>
    <t>PRODIGO1066843</t>
  </si>
  <si>
    <t>DOPPLER FLOW WIRE KOVER W CLOSED END</t>
  </si>
  <si>
    <t>COVER, DOPPLER, 48X5 IN, FLOW WIRE, WITH CLOSED END</t>
  </si>
  <si>
    <t>CVR, DOPPLER, 48X5 IN, FLO WIRE, W/ CLOSED END</t>
  </si>
  <si>
    <t>COVER, DOPPLER, 48X5 IN, FLO WIRE, W/ CLOSED END</t>
  </si>
  <si>
    <t>FLOW WIRE, WITH CLOSED END</t>
  </si>
  <si>
    <t>FF5224NGNS</t>
  </si>
  <si>
    <t>ADVANCE MEDICAL DESIGNS_FF5224NGNS</t>
  </si>
  <si>
    <t>Cover Ultrasound Probe W2XL24in 5in Tapered No Gel Without Band Flexi-Feel</t>
  </si>
  <si>
    <t>PRODIGO1066844</t>
  </si>
  <si>
    <t>Cover Ultrasound Probe W2XL24in 5in Tapered No Gel Without Band Flexi Feel</t>
  </si>
  <si>
    <t>COVER, PROBE, 24X5-2 IN, TAPERED, WITHOUT GEL, WITHOUT BAND, ULTRASOUND, FLEXI-FEEL</t>
  </si>
  <si>
    <t>CVR, PRB, 24X5-2 IN, TAPR, W/O GEL, W/O BND, ULTRASOUND, FLEXI-FEEL</t>
  </si>
  <si>
    <t>COVER, PRB, 24X5-2 IN, TAPR, W/O GEL, W/O BND, FLEXI-FEEL</t>
  </si>
  <si>
    <t>24X5-2 IN</t>
  </si>
  <si>
    <t>TAPERED, WITHOUT GEL, WITHOUT BAND, ULTRASOUND</t>
  </si>
  <si>
    <t>FS1430NS</t>
  </si>
  <si>
    <t>ADVANCE MEDICAL DESIGNS_FS1430NS</t>
  </si>
  <si>
    <t>SURGICAL EQUIPMENT COVERS</t>
  </si>
  <si>
    <t>Drape Footswitch W14XL26in Poly With Draw String Disposable</t>
  </si>
  <si>
    <t>PRODIGO1066845</t>
  </si>
  <si>
    <t>FOOT SWITCH DRAPE W DRAW STRING NON STERILE</t>
  </si>
  <si>
    <t>DRAPE, EQUIPMENT, FOOT SWITCH, 26X14 IN, WITH DRAW STRING CLOSURE, NON STERILE, LATEX-FREE, DISPOSABLE</t>
  </si>
  <si>
    <t>DRP, EQUIP, FT SWITCH, 26X14 IN, W/ DRAW STRNG CLOSURE, NS, LF, DISP</t>
  </si>
  <si>
    <t>DRAPE, EQUIP, FT SWITCH, 26X14 IN, W/ DRAW STRNG CLOSURE, NS, DISP</t>
  </si>
  <si>
    <t>FOOT SWITCH</t>
  </si>
  <si>
    <t>26X14 IN</t>
  </si>
  <si>
    <t>WITH DRAW STRING CLOSURE</t>
  </si>
  <si>
    <t>https://www.advancemedicaldesigns.com/category/c-arm-drapes/footswitch-cover, https://accessgudid.nlm.nih.gov/devices/00848340006067</t>
  </si>
  <si>
    <t>FS1515NS</t>
  </si>
  <si>
    <t>ADVANCE MEDICAL DESIGNS_FS1515NS</t>
  </si>
  <si>
    <t>Drape Footswitch W15XL15in Polyethylene Draw String Closure Disposable</t>
  </si>
  <si>
    <t>PRODIGO1066846</t>
  </si>
  <si>
    <t>DRAPE, EQUIPMENT, FOOT SWITCH, 15X15 IN, WITH DRAW STRING CLOSURE, NON STERILE, LATEX-FREE, DISPOSABLE</t>
  </si>
  <si>
    <t>DRP, EQUIP, FT SWITCH, 15X15 IN, W/ DRAW STRNG CLOSURE, NS, LF, DISP</t>
  </si>
  <si>
    <t>DRAPE, EQUIP, FT SWITCH, 15X15 IN, W/ DRAW STRNG CLOSURE, NS, DISP</t>
  </si>
  <si>
    <t>15X15 IN</t>
  </si>
  <si>
    <t>https://www.advancemedicaldesigns.com/category/c-arm-drapes/footswitch-cover, https://accessgudid.nlm.nih.gov/devices/00848340006074</t>
  </si>
  <si>
    <t>DIMENSION VARIED</t>
  </si>
  <si>
    <t>IPC100</t>
  </si>
  <si>
    <t>ADVANCE MEDICAL DESIGNS_IPC100</t>
  </si>
  <si>
    <t>Cover Intravascular Probe W5XL48in Tapered Closed End With Gel Without Band Flexi-Feel</t>
  </si>
  <si>
    <t>PRODIGO1066847</t>
  </si>
  <si>
    <t>INTRAVASCULAR PROBE COVER W OPEN END</t>
  </si>
  <si>
    <t>COVER, PROBE, 96X6 IN, INTRAVASCULAR, WITH OPEN END</t>
  </si>
  <si>
    <t>CVR, PRB, 96X6 IN, INTVASC, W/ OPN END</t>
  </si>
  <si>
    <t>COVER, PRB, 96X6 IN, INTVASC, W/ OPN END</t>
  </si>
  <si>
    <t>INTRAVASCULAR, WITH OPEN END</t>
  </si>
  <si>
    <t>TAPERED, CLOSED END, WITH GEL, WITHOUT BAND, FLEXI-FEEL</t>
  </si>
  <si>
    <t>NT1862NS</t>
  </si>
  <si>
    <t>ADVANCE MEDICAL DESIGNS_NT1862NS</t>
  </si>
  <si>
    <t>Cover Nitrogen Tank W15.5XL62in Kover</t>
  </si>
  <si>
    <t>PRODIGO1066848</t>
  </si>
  <si>
    <t>NITROGEN TANK COVER NON STERILE</t>
  </si>
  <si>
    <t>DRAPE, EQUIPMENT, NITROGEN TANK, 62X15.5 IN, COVER, NON STERILE</t>
  </si>
  <si>
    <t>DRP, EQUIP, N TK, 62X15.5 IN, CVR, NS</t>
  </si>
  <si>
    <t>DRAPE, EQUIP, N TK, 62X15.5 IN, CVR, NS</t>
  </si>
  <si>
    <t>NITROGEN TANK</t>
  </si>
  <si>
    <t>62X15.5 IN</t>
  </si>
  <si>
    <t>ABC</t>
  </si>
  <si>
    <t>ok</t>
  </si>
  <si>
    <t>PK805NS</t>
  </si>
  <si>
    <t>ADVANCE MEDICAL DESIGNS_PK805NS</t>
  </si>
  <si>
    <t>Pack C Arm For OEC GE Uroview 2800 System</t>
  </si>
  <si>
    <t>PRODIGO1066849</t>
  </si>
  <si>
    <t>42142706  Urological procedure trays or packs or kits</t>
  </si>
  <si>
    <t>Drain Bag Pack For Ge/oec Uroview 2800 Pack Non Sterile</t>
  </si>
  <si>
    <t>PACK, DRAINAGE BAG, C ARM, FOR OEC GE UROVIEW 2800 SYSTEM, NON STERILE, LATEX FREE</t>
  </si>
  <si>
    <t>PACK, DRAINAGE BG, C ARM, FOR OEC GE UROVIEW 2800 SYS, NS, LTX FREE</t>
  </si>
  <si>
    <t>PACK, DRAINAGE BG, C ARM, FOR OEC GE UROVIEW 2800 SYS, NS</t>
  </si>
  <si>
    <t>DRAINAGE BAG PACK</t>
  </si>
  <si>
    <t>C ARM, FOR OEC GE UROVIEW 2800 SYSTEM</t>
  </si>
  <si>
    <t>LATEX FREE</t>
  </si>
  <si>
    <t>https://www.advancemedicaldesigns.com/category/urological-drain-bags/urological-drain-bags, https://accessgudid.nlm.nih.gov/devices/00848340006326</t>
  </si>
  <si>
    <t>PK805NSUB</t>
  </si>
  <si>
    <t>PK805NS-UB</t>
  </si>
  <si>
    <t>ADVANCE MEDICAL DESIGNS_PK805NSUB</t>
  </si>
  <si>
    <t>Pack Surgical Drainage Drape With Underbuttock Flap For OEC GE Uroview 2800 System</t>
  </si>
  <si>
    <t>PRODIGO1066850</t>
  </si>
  <si>
    <t>Drain Bag Pack For Ge/oec Uroview 2800 Pack W/ Underbuttocks Flap Non-sterile</t>
  </si>
  <si>
    <t>PACK, DRAINAGE BAG, SURGICAL DRAPE, WITH UNDERBUTTOCKS FLAP, FOR GE/OEC UROVIEW 2800 SYSTEM, NON STERILE, LATEX FREE</t>
  </si>
  <si>
    <t>PACK, DRAINAGE BG, SURG DRP, W/ UNDERBUTTOCKS FLAP, FOR GE/OEC UROVIEW 2800 SYS, NS, LTX FREE</t>
  </si>
  <si>
    <t>PACK, DRAINAGE BG, SURG DRP, W/ UNDERBUTTOCKS FLAP, NS, LTX FREE</t>
  </si>
  <si>
    <t>SURGICAL DRAPE, WITH UNDERBUTTOCKS FLAP, FOR GE/OEC UROVIEW 2800 SYSTEM</t>
  </si>
  <si>
    <t>https://www.advancemedicaldesigns.com/category/urological-drain-bags/urological-drain-bags, https://accessgudid.nlm.nih.gov/devices/00848340009372</t>
  </si>
  <si>
    <t>PK806NS</t>
  </si>
  <si>
    <t>ADVANCE MEDICAL DESIGNS_PK806NS</t>
  </si>
  <si>
    <t>Pack Surgical Drainage Drape For OEC GE Uroview 2600 System</t>
  </si>
  <si>
    <t>PRODIGO1066851</t>
  </si>
  <si>
    <t>Pack Surgical Drainage Drape For Oec Ge Uroview 2600 System</t>
  </si>
  <si>
    <t>PACK, DRAINAGE BAG, SURGICAL DRAPE, FOR OEC GE UROVIEW 2600 SYSTEM</t>
  </si>
  <si>
    <t>PACK, DRAINAGE BG, SURG DRP, FOR OEC GE UROVIEW 2600 SYS</t>
  </si>
  <si>
    <t>SURGICAL DRAPE, FOR OEC GE UROVIEW 2600 SYSTEM</t>
  </si>
  <si>
    <t>URL NORT FOUND</t>
  </si>
  <si>
    <t>PK806NSUB</t>
  </si>
  <si>
    <t>PK806NS-UB</t>
  </si>
  <si>
    <t>ADVANCE MEDICAL DESIGNS_PK806NSUB</t>
  </si>
  <si>
    <t>Pack Surgical Drainage Drape With Underbuttock Flap For OEC GE Uroview 2600 System</t>
  </si>
  <si>
    <t>PRODIGO1066852</t>
  </si>
  <si>
    <t>Pack Surgical Drainage Drape With Underbuttock Flap For Oec Ge Uroview 2600 System</t>
  </si>
  <si>
    <t>PACK, DRAINAGE BAG, SURGICAL DRAPE, WITH UNDERBUTTOCK FLAP, FOR OEC GE UROVIEW 2600 SYSTEM</t>
  </si>
  <si>
    <t>PACK, DRAINAGE BG, SURG DRAPE, W/ UNDERBUTTOCK FLAP, FOR OEC GE UROVIEW 2600 SYS</t>
  </si>
  <si>
    <t>PACK, DRAINAGE BG, SURG DRP, W/ UNDERBUTTOCK FLAP</t>
  </si>
  <si>
    <t>SURGICAL DRAPE. WITH UNDERBUTTOCK FLAP, FOR OEC GE UROVIEW 2600 SYSTEM</t>
  </si>
  <si>
    <t>PK809NS</t>
  </si>
  <si>
    <t>ADVANCE MEDICAL DESIGNS_PK809NS</t>
  </si>
  <si>
    <t>Pack Surgical Drainage Drape For OEC GE Uroview 2500 System</t>
  </si>
  <si>
    <t>PRODIGO1066853</t>
  </si>
  <si>
    <t>Pack Surgical Drainage Drape For Oec Ge Uroview 2500 System</t>
  </si>
  <si>
    <t>PACK, DRAINAGE BAG, SURGICAL DRAPE, FOR OEC GE UROVIEW 2500 SYSTEM</t>
  </si>
  <si>
    <t>PACK, DRAINAGE BG, SURG DRP, FOR OEC GE UROVIEW 2500 SYS</t>
  </si>
  <si>
    <t>SURGICAL DRAPE, FOR OEC GE UROVIEW 2500 SYSTEM</t>
  </si>
  <si>
    <t>PK811NS</t>
  </si>
  <si>
    <t>ADVANCE MEDICAL DESIGNS_PK811NS</t>
  </si>
  <si>
    <t>Pack Cystoscope For Liebel Flarsheim GE2000</t>
  </si>
  <si>
    <t>PRODIGO1066854</t>
  </si>
  <si>
    <t>Drain Bag Pack For Liebel-flarsheim / Ge2000 Cysto Pack Non-sterile</t>
  </si>
  <si>
    <t>PACK, DRAINAGE BAG, FOR LIEBEL FLARSHEIM / GE2000 CYSTO, NON STERILE</t>
  </si>
  <si>
    <t>PACK, DRAINAGE BG, FOR LIEBEL FLARSHEIM / GE2000 CYSTO, NS</t>
  </si>
  <si>
    <t>FOR LIEBEL FLARSHEIM / GE2000 CYSTO</t>
  </si>
  <si>
    <t>PK812NS</t>
  </si>
  <si>
    <t>ADVANCE MEDICAL DESIGNS_PK812NS</t>
  </si>
  <si>
    <t>Pack Cystoscope For Siemens/Dornier</t>
  </si>
  <si>
    <t>PRODIGO1066855</t>
  </si>
  <si>
    <t>Drain Bag Pack For Siemans/dornier Cysto Pack Non-sterile</t>
  </si>
  <si>
    <t>PACK, DRAINAGE BAG, FOR SIEMANS/DORNIER CYSTO, NON STERILE</t>
  </si>
  <si>
    <t>PACK, DRAINAGE BG, FOR SIEMANS/DORNIER CYSTO, NS</t>
  </si>
  <si>
    <t>FOR SIEMANS/DORNIER CYSTO</t>
  </si>
  <si>
    <t>PSH108NSDS</t>
  </si>
  <si>
    <t>PSH108NS-DS</t>
  </si>
  <si>
    <t>ADVANCE MEDICAL DESIGNS_PSH108NSDS</t>
  </si>
  <si>
    <t>Cover Probe W1XL8in Rolled With Debris Shield</t>
  </si>
  <si>
    <t>PRODIGO1066856</t>
  </si>
  <si>
    <t>Probe Cover Rolled With Debris Shield</t>
  </si>
  <si>
    <t>COVER, PROBE, ROLLED, 8X1 IN, WITH DEBRIS SHIELD</t>
  </si>
  <si>
    <t>COVER, PRB, ROLLED, 8X1 IN, W/ DEBRIS SHLD</t>
  </si>
  <si>
    <t>ROLLED</t>
  </si>
  <si>
    <t>8X1 IN</t>
  </si>
  <si>
    <t>WITH DEBRIS SHIELD</t>
  </si>
  <si>
    <t>NUVASIVE INC</t>
  </si>
  <si>
    <t>NUVASIVE</t>
  </si>
  <si>
    <t>1720201</t>
  </si>
  <si>
    <t>NUVASIVE_1720201</t>
  </si>
  <si>
    <t>Ethocel XTR Cellular Bone Matrix Small</t>
  </si>
  <si>
    <t>PRODIGO1066857</t>
  </si>
  <si>
    <t>42295545  Bone graft extender or void fillers or substitutes</t>
  </si>
  <si>
    <t>ETHOCEL XTR CELLULAR BONE MATRIX SMALL</t>
  </si>
  <si>
    <t>GRAFT, BONE, SMALL, CELLULAR, ETHOCEL XTR</t>
  </si>
  <si>
    <t>GRAFT, BNE, SM, CELLULAR, ETHOCEL XTR</t>
  </si>
  <si>
    <t>GRAFT</t>
  </si>
  <si>
    <t>BONE</t>
  </si>
  <si>
    <t>CELLULAR</t>
  </si>
  <si>
    <t>ETHOCEL XTR</t>
  </si>
  <si>
    <t>1720205</t>
  </si>
  <si>
    <t>NUVASIVE_1720205</t>
  </si>
  <si>
    <t>Ethocel XTR Cellular Bone Matrix Med</t>
  </si>
  <si>
    <t>PRODIGO1066858</t>
  </si>
  <si>
    <t>ETHOCEL XTR CELLULAR BONE MATRIX MED</t>
  </si>
  <si>
    <t>GRAFT, BONE, MEDIUM, CELLULAR, ETHOCEL XTR</t>
  </si>
  <si>
    <t>GRAFT, BNE, MED, CELLULAR, ETHOCEL XTR</t>
  </si>
  <si>
    <t>1720210</t>
  </si>
  <si>
    <t>NUVASIVE_1720210</t>
  </si>
  <si>
    <t>Ethocel XTR Cellular Bone Matrix Large</t>
  </si>
  <si>
    <t>PRODIGO1066859</t>
  </si>
  <si>
    <t>ETHOCEL XTR CELLULAR BONE MATRIX LARGE</t>
  </si>
  <si>
    <t>GRAFT, BONE, LARGE, CELLULAR, ETHOCEL XTR</t>
  </si>
  <si>
    <t>GRAFT, BNE, LG, CELLULAR, ETHOCEL XTR</t>
  </si>
  <si>
    <t>016-244</t>
  </si>
  <si>
    <t>ForGhria_Output_2023-08-14</t>
  </si>
  <si>
    <t>CAREFUSION 2200 V MUELLER</t>
  </si>
  <si>
    <t>CAREFUSION</t>
  </si>
  <si>
    <t>CAREFUSION CORP</t>
  </si>
  <si>
    <t>SP8301</t>
  </si>
  <si>
    <t>BD</t>
  </si>
  <si>
    <t>BD_SP8301</t>
  </si>
  <si>
    <t>SCISSORS INSERT CVD METZ 36CM 10/BOX</t>
  </si>
  <si>
    <t>PRODIGO1060049</t>
  </si>
  <si>
    <t>42294981  Endoscopic monopolar or bipolar hand instrument accessories</t>
  </si>
  <si>
    <t>Curved Metz Scissors Insert</t>
  </si>
  <si>
    <t>INSERT, SCISSOR, METZ, 5 MMX36 CM, CURVED, DOUBLE ACTION, STERILE, LATEX, DISPOSABLE</t>
  </si>
  <si>
    <t>INSERT, SCISSOR, METZ, 5 MMX36 CM, CRV, DBL ACT, STRL, LTX, DISP</t>
  </si>
  <si>
    <t>INSERT</t>
  </si>
  <si>
    <t>SCISSOR</t>
  </si>
  <si>
    <t>METZ</t>
  </si>
  <si>
    <t>5 MMX36 CM</t>
  </si>
  <si>
    <t>CURVED, DOUBLE ACTION</t>
  </si>
  <si>
    <t>10/BOX</t>
  </si>
  <si>
    <t>https://www.bd.com/en-us/products-and-solutions/products/product-page.sp8301, https://accessgudid.nlm.nih.gov/devices/10885403184130</t>
  </si>
  <si>
    <t>DEVICOR MED PRODUCTS MAMMOTOME</t>
  </si>
  <si>
    <t>DEVICOR MEDICAL</t>
  </si>
  <si>
    <t>MCN1210</t>
  </si>
  <si>
    <t>JNJ</t>
  </si>
  <si>
    <t>JNJ_MCN1210</t>
  </si>
  <si>
    <t>DualCore Biopsy System - 12g x 10cm</t>
  </si>
  <si>
    <t>PRODIGO1066642</t>
  </si>
  <si>
    <t>42142518  Biopsy aspirator products</t>
  </si>
  <si>
    <t>Dualcore Biopsy System 12g X 10cm</t>
  </si>
  <si>
    <t>SYSTEM, BIOPSY, 12 GAX10 CM, STERILE, DUALCORE, LATEX</t>
  </si>
  <si>
    <t>SYSTEM, BX, 12 GAX10 CM, STRL, DUALCORE, LTX</t>
  </si>
  <si>
    <t>SYSTEM</t>
  </si>
  <si>
    <t>BIOPSY</t>
  </si>
  <si>
    <t>12 GAX10 CM</t>
  </si>
  <si>
    <t>DUALCORE</t>
  </si>
  <si>
    <t>https://www.mammotome.com/us/en/products/mammotome-canada-product-catalog.pdf, https://accessgudid.nlm.nih.gov/devices/00815212026249</t>
  </si>
  <si>
    <t>mammotome-canada-product-catalog.pdf</t>
  </si>
  <si>
    <t>MCN1216</t>
  </si>
  <si>
    <t>JNJ_MCN1216</t>
  </si>
  <si>
    <t>DualCore Biopsy System - 12g x 16cm</t>
  </si>
  <si>
    <t>PRODIGO1066643</t>
  </si>
  <si>
    <t>Dualcore Biopsy System 12g X 16cm</t>
  </si>
  <si>
    <t>SYSTEM, BIOPSY, 12 GAX16 CM, STERILE, DUALCORE, LATEX</t>
  </si>
  <si>
    <t>SYSTEM, BX, 12 GAX16 CM, STRL, DUALCORE, LTX</t>
  </si>
  <si>
    <t>12 GAX16 CM</t>
  </si>
  <si>
    <t>https://www.mammotome.com/us/en/products/mammotome-canada-product-catalog.pdf, https://accessgudid.nlm.nih.gov/devices/00815212026256</t>
  </si>
  <si>
    <t>MCN1410</t>
  </si>
  <si>
    <t>JNJ_MCN1410</t>
  </si>
  <si>
    <t>DualCore Biopsy System - 14g x 10cm</t>
  </si>
  <si>
    <t>PRODIGO1066644</t>
  </si>
  <si>
    <t>Dualcore Biopsy System 14g X 10cm</t>
  </si>
  <si>
    <t>SYSTEM, BIOPSY, 14 GAX10 CM, STERILE, DUALCORE, LATEX</t>
  </si>
  <si>
    <t>SYSTEM, BX, 14 GAX10 CM, STRL, DUALCORE, LTX</t>
  </si>
  <si>
    <t>14 GAX10 CM</t>
  </si>
  <si>
    <t>https://www.mammotome.com/us/en/products/mammotome-canada-product-catalog.pdf, https://accessgudid.nlm.nih.gov/devices/00815212026263</t>
  </si>
  <si>
    <t>MCN1416</t>
  </si>
  <si>
    <t>JNJ_MCN1416</t>
  </si>
  <si>
    <t>DualCore Biopsy System - 14g x 16cm</t>
  </si>
  <si>
    <t>PRODIGO1066645</t>
  </si>
  <si>
    <t>Dualcore Biopsy System 14g X 16cm</t>
  </si>
  <si>
    <t>SYSTEM, BIOPSY, 14 GAX16 CM, STERILE, DUALCORE, LATEX</t>
  </si>
  <si>
    <t>SYSTEM, BX, 14 GAX16 CM, STRL, DUALCORE, LTX</t>
  </si>
  <si>
    <t>14 GAX16 CM</t>
  </si>
  <si>
    <t>https://www.mammotome.com/us/en/products/mammotome-canada-product-catalog.pdf, https://accessgudid.nlm.nih.gov/devices/00815212026270</t>
  </si>
  <si>
    <t>MCN1610</t>
  </si>
  <si>
    <t>JNJ_MCN1610</t>
  </si>
  <si>
    <t>DualCore Biopsy System - 16g x 10cm</t>
  </si>
  <si>
    <t>PRODIGO1066646</t>
  </si>
  <si>
    <t>Dualcore Biopsy System 16g X 10cm</t>
  </si>
  <si>
    <t>SYSTEM, BIOPSY, 16 GAX10 CM, STERILE, DUALCORE, LATEX</t>
  </si>
  <si>
    <t>SYSTEM, BX, 16 GAX10 CM, STRL, DUALCORE, LTX</t>
  </si>
  <si>
    <t>16 GAX10 CM</t>
  </si>
  <si>
    <t>https://www.mammotome.com/us/en/products/mammotome-canada-product-catalog.pdf, https://accessgudid.nlm.nih.gov/devices/00815212026287</t>
  </si>
  <si>
    <t>MCN1616</t>
  </si>
  <si>
    <t>JNJ_MCN1616</t>
  </si>
  <si>
    <t>DualCore Biopsy System - 16g x 16cm</t>
  </si>
  <si>
    <t>PRODIGO1066647</t>
  </si>
  <si>
    <t>Dualcore Biopsy System 16g X 16cm</t>
  </si>
  <si>
    <t>SYSTEM, BIOPSY, 16 GAX16 CM, STERILE, DUALCORE, LATEX</t>
  </si>
  <si>
    <t>SYSTEM, BX, 16 GAX16 CM, STRL, DUALCORE, LTX</t>
  </si>
  <si>
    <t>16 GAX16 CM</t>
  </si>
  <si>
    <t>https://www.mammotome.com/us/en/products/mammotome-canada-product-catalog.pdf, https://accessgudid.nlm.nih.gov/devices/00815212026294</t>
  </si>
  <si>
    <t>MCNX1210</t>
  </si>
  <si>
    <t>JNJ_MCNX1210</t>
  </si>
  <si>
    <t>DualCore Biopsy System w/Coax -12g x 10cm</t>
  </si>
  <si>
    <t>PRODIGO1066648</t>
  </si>
  <si>
    <t>Dualcore Biopsy System  With Coaxial Introducer Set 12g X 10cm</t>
  </si>
  <si>
    <t>SYSTEM, BIOPSY, 12 GAX10 CM, WITH COAXIAL INTRODUCER SET, STERILE, DUALCORE, LATEX</t>
  </si>
  <si>
    <t>SYSTEM, BX, 12 GAX10 CM, W/ COAX INTRO SET, STRL, DUALCORE, LTX</t>
  </si>
  <si>
    <t>WITH COAXIAL INTRODUCER SET</t>
  </si>
  <si>
    <t>https://www.mammotome.com/us/en/products/mammotome-canada-product-catalog.pdf, https://accessgudid.nlm.nih.gov/devices/00815212026126</t>
  </si>
  <si>
    <t>MCNX1216</t>
  </si>
  <si>
    <t>JNJ_MCNX1216</t>
  </si>
  <si>
    <t>DualCore Biopsy System w/Coax -12g x 16cm</t>
  </si>
  <si>
    <t>PRODIGO1066649</t>
  </si>
  <si>
    <t>Dualcore Biopsy System  With Coaxial Introducer Set 12g X 16cm</t>
  </si>
  <si>
    <t>SYSTEM, BIOPSY, 12 GAX16 CM, WITH COAXIAL INTRODUCER SET, STERILE, DUALCORE, LATEX</t>
  </si>
  <si>
    <t>SYSTEM, BX, 12 GAX16 CM, W/ COAX INTRO SET, STRL, DUALCORE, LTX</t>
  </si>
  <si>
    <t>https://www.mammotome.com/us/en/products/mammotome-canada-product-catalog.pdf, https://accessgudid.nlm.nih.gov/devices/00815212026133</t>
  </si>
  <si>
    <t>MCNX1410</t>
  </si>
  <si>
    <t>JNJ_MCNX1410</t>
  </si>
  <si>
    <t>DualCore Biopsy System w/Coax -14g x 10cm</t>
  </si>
  <si>
    <t>PRODIGO1066650</t>
  </si>
  <si>
    <t>Dualcore Biopsy System  With Coaxial Introducer Set 14g X 10cm</t>
  </si>
  <si>
    <t>SYSTEM, BIOPSY, 14 GAX10 CM, WITH COAXIAL INTRODUCER SET, STERILE, DUALCORE, LATEX</t>
  </si>
  <si>
    <t>SYSTEM, BX, 14 GAX10 CM, W/ COAX INTRO SET, STRL, DUALCORE, LTX</t>
  </si>
  <si>
    <t>https://www.mammotome.com/us/en/products/mammotome-canada-product-catalog.pdf, https://accessgudid.nlm.nih.gov/devices/00815212026140</t>
  </si>
  <si>
    <t>MCNX1416</t>
  </si>
  <si>
    <t>JNJ_MCNX1416</t>
  </si>
  <si>
    <t>DualCore Biopsy System w/Coax -14g x 16cm</t>
  </si>
  <si>
    <t>PRODIGO1066651</t>
  </si>
  <si>
    <t>Dualcore Biopsy System  With Coaxial Introducer Set 14g X 16cm</t>
  </si>
  <si>
    <t>SYSTEM, BIOPSY, 14 GAX16 CM, WITH COAXIAL INTRODUCER SET, STERILE, DUALCORE, LATEX</t>
  </si>
  <si>
    <t>SYSTEM, BX, 14 GAX16 CM, W/ COAX INTRO SET, STRL, DUALCORE, LTX</t>
  </si>
  <si>
    <t>https://www.mammotome.com/us/en/products/mammotome-canada-product-catalog.pdf, https://accessgudid.nlm.nih.gov/devices/00815212026157</t>
  </si>
  <si>
    <t>MCNX1610</t>
  </si>
  <si>
    <t>JNJ_MCNX1610</t>
  </si>
  <si>
    <t>DualCore Biopsy System w/Coax -16g x 10cm</t>
  </si>
  <si>
    <t>PRODIGO1066652</t>
  </si>
  <si>
    <t>Dualcore Biopsy System  With Coaxial Introducer Set 16g X 10cm</t>
  </si>
  <si>
    <t>SYSTEM, BIOPSY, 16 GAX10 CM, WITH COAXIAL INTRODUCER SET, STERILE, DUALCORE, LATEX</t>
  </si>
  <si>
    <t>SYSTEM, BX, 16 GAX10 CM, W/ COAX INTRO SET, STRL, DUALCORE, LTX</t>
  </si>
  <si>
    <t>https://www.mammotome.com/us/en/products/mammotome-canada-product-catalog.pdf, https://accessgudid.nlm.nih.gov/devices/00815212026164</t>
  </si>
  <si>
    <t>MCNX1616</t>
  </si>
  <si>
    <t>JNJ_MCNX1616</t>
  </si>
  <si>
    <t>DualCore Biopsy System w/Coax -16g x 16cm</t>
  </si>
  <si>
    <t>PRODIGO1066653</t>
  </si>
  <si>
    <t>Dualcore Biopsy System  With Coaxial Introducer Set 16g X 16cm</t>
  </si>
  <si>
    <t>SYSTEM, BIOPSY, 16 GAX16 CM, WITH COAXIAL INTRODUCER SET, STERILE, DUALCORE, LATEX</t>
  </si>
  <si>
    <t>SYSTEM, BX, 16 GAX16 CM, W/ COAX INTRO SET, STRL, DUALCORE, LTX</t>
  </si>
  <si>
    <t>https://www.mammotome.com/us/en/products/mammotome-canada-product-catalog.pdf, https://accessgudid.nlm.nih.gov/devices/00815212026171</t>
  </si>
  <si>
    <t>NF01R</t>
  </si>
  <si>
    <t>JNJ_NF01R</t>
  </si>
  <si>
    <t>Handheld Retractor 8.5 215 mm Reusable</t>
  </si>
  <si>
    <t>PRODIGO1066654</t>
  </si>
  <si>
    <t>42293107  Surgical retractors</t>
  </si>
  <si>
    <t>Handheld Retractor 8.5in Reusable</t>
  </si>
  <si>
    <t>RETRACTOR, SURGICAL, HANDHELD, 8 IN, REUSABLE</t>
  </si>
  <si>
    <t>RETRACTOR, SURG, HANDHELD, 8 IN, REUSE</t>
  </si>
  <si>
    <t>RETRACTOR</t>
  </si>
  <si>
    <t>HANDHELD</t>
  </si>
  <si>
    <t>8 IN</t>
  </si>
  <si>
    <t>REUSABLE</t>
  </si>
  <si>
    <t>215 MM</t>
  </si>
  <si>
    <t>https://www.mammotome.com/us/en/products/mammotome-canada-product-catalog.pdf</t>
  </si>
  <si>
    <t>NF02R</t>
  </si>
  <si>
    <t>JNJ_NF02R</t>
  </si>
  <si>
    <t>Tissue Forceps Toothed Long 7.5 190 mm Reusable</t>
  </si>
  <si>
    <t>PRODIGO1066655</t>
  </si>
  <si>
    <t>42291802  Surgical clamps or clips or forceps</t>
  </si>
  <si>
    <t>Tissue Forceps Toothed Long 7.5in Reusable</t>
  </si>
  <si>
    <t>FORCEP, SURGICAL, TISSUE, LONG, 7.5 IN, TOOTHED, REUSABLE</t>
  </si>
  <si>
    <t>FORCEP, SURG, TISS, LNG, 7.5 IN, TOOTHED, REUSE</t>
  </si>
  <si>
    <t>FORCEP</t>
  </si>
  <si>
    <t>7.5 IN</t>
  </si>
  <si>
    <t>TOOTHED</t>
  </si>
  <si>
    <t>190 MM</t>
  </si>
  <si>
    <t>NF05R</t>
  </si>
  <si>
    <t>JNJ_NF05R</t>
  </si>
  <si>
    <t>Babcock Grasping Forceps 6 155 mm Reusable</t>
  </si>
  <si>
    <t>PRODIGO1066656</t>
  </si>
  <si>
    <t>Babcock Grasping Forceps 6in Reusable</t>
  </si>
  <si>
    <t>FORCEP, SURGICAL, BABCOCK, 6 IN, GRASPING, REUSABLE</t>
  </si>
  <si>
    <t>FORCEP, SURG, BABCOCK, 6 IN, GRASPING, REUSE</t>
  </si>
  <si>
    <t>BABCOCK</t>
  </si>
  <si>
    <t>6 IN</t>
  </si>
  <si>
    <t>GRASPING</t>
  </si>
  <si>
    <t>155 MM</t>
  </si>
  <si>
    <t>MASK, AEROSOL, LARGE, FLEXIBLE SEAL, VALVED HOLDING CHAMBER, LITETOUCH , LATEX-FREE</t>
  </si>
  <si>
    <t>SXH</t>
  </si>
  <si>
    <t>SYMMETRY SURGICAL</t>
  </si>
  <si>
    <t>SYMMETRY SURGICAL INC</t>
  </si>
  <si>
    <t>115535</t>
  </si>
  <si>
    <t>11-5535</t>
  </si>
  <si>
    <t>JNJ_115535</t>
  </si>
  <si>
    <t>Symmetry Knife Handle Long #3 8 3/8 in 212 mm</t>
  </si>
  <si>
    <t>PRODIGO1066456</t>
  </si>
  <si>
    <t>42291630  Surgical knife handles</t>
  </si>
  <si>
    <t>Knife Handle Size 3 Long 8 3⁄8 in 213 mm</t>
  </si>
  <si>
    <t>HANDLE, KNIFE, 3, LONG, 8-3/8 IN, NON STERILE, LATEX</t>
  </si>
  <si>
    <t>HANDLE, KNIFE, 3, LNG, 8-3/8 IN, NS, LTX</t>
  </si>
  <si>
    <t>HANDLE</t>
  </si>
  <si>
    <t>KNIFE</t>
  </si>
  <si>
    <t>3, LONG</t>
  </si>
  <si>
    <t>8-3/8 IN</t>
  </si>
  <si>
    <t>212 MM</t>
  </si>
  <si>
    <t>https://shop.symmetrysurgical.com/en/Image/GetDocument/53, https://accessgudid.nlm.nih.gov/devices/00887482144367</t>
  </si>
  <si>
    <t>AIH</t>
  </si>
  <si>
    <t>SYMMETRY MEDICAL INC</t>
  </si>
  <si>
    <t>201360KI</t>
  </si>
  <si>
    <t>20-1360KI</t>
  </si>
  <si>
    <t>JNJ_201360KI</t>
  </si>
  <si>
    <t>Olsen Bipolar Forceps Kit Olsen Standard Twin Pin Cord &amp; Surgiwipe Bayonet Insulated Smooth Straight 0.75 mm Tips 7 1/8 in 181 mm Single Use (10/bx)</t>
  </si>
  <si>
    <t>PRODIGO1066457</t>
  </si>
  <si>
    <t>Olsen Forcep Kit Standard 0.75 Mm 7-1/8 In Bipolar Straight  Smooth Twin Pin Cord Surgiwipe Bayonet Handle Insulated Tip Sterile Disposable Latex</t>
  </si>
  <si>
    <t>FORCEP KIT, BIPOLAR, STANDARD, 0.75 MM, 7-1/8 IN, STRAIGHT , SMOOTH, TWIN PIN CORD, SURGIWIPE, BAYONET HANDLE, INSULATED TIP, STERILE, OLSEN, LATEX, DISPOSABLE</t>
  </si>
  <si>
    <t>FORCEP KIT, BPLR, STD, 0.75 MM, 7-1/8 IN, STR, SMOOTH, TWIN PIN CRD, SURGIWIPE, BAYNT HNDL, INSUL TIP, STRL, OLSEN, LTX, DISP</t>
  </si>
  <si>
    <t>FORCEP KIT, BPLR, STD, 0.75 MM, 7-1/8 IN, STR, SMOOTH, TWIN, OLSEN</t>
  </si>
  <si>
    <t>FORCEP KIT</t>
  </si>
  <si>
    <t>BIPOLAR</t>
  </si>
  <si>
    <t>STANDARD, 0.75 MM</t>
  </si>
  <si>
    <t>7-1/8 IN</t>
  </si>
  <si>
    <t>STRAIGHT , SMOOTH, TWIN PIN CORD, SURGIWIPE, BAYONET HANDLE, INSULATED TIP</t>
  </si>
  <si>
    <t>OLSEN</t>
  </si>
  <si>
    <t>(10/bx) 181 MM</t>
  </si>
  <si>
    <t>https://shop.symmetrysurgical.com/en/product/sites-of-care-ambulatory-surgery-center/20-1360KI, https://accessgudid.nlm.nih.gov/devices/00841785104015</t>
  </si>
  <si>
    <t>201380KI</t>
  </si>
  <si>
    <t>20-1380KI</t>
  </si>
  <si>
    <t>JNJ_201380KI</t>
  </si>
  <si>
    <t>Olsen Bipolar Forceps Kit Olsen Standard Twin Pin Cord &amp; Surgiwipe Bayonet Insulated Smooth Straight 1.5 mm Tips 7 1/2 in 191 mm Single Use (10/bx)</t>
  </si>
  <si>
    <t>PRODIGO1066458</t>
  </si>
  <si>
    <t>Olsen Forcep Kit Standard 1.5 Mm 7.5 In Bipolar Straight  Smooth Twin Pin Cord Surgiwipe Bayonet Handle Insulated Tip Sterile Disposable Latex</t>
  </si>
  <si>
    <t>FORCEP KIT, BIPOLAR, STANDARD, 1.5 MM, 7.5 IN, STRAIGHT , SMOOTH, TWIN PIN CORD, SURGIWIPE, BAYONET HANDLE, INSULATED TIP, STERILE, OLSEN, LATEX, DISPOSABLE</t>
  </si>
  <si>
    <t>FORCEP KIT, BPLR, STD, 1.5 MM, 7.5 IN, STR, SMOOTH, TWIN PIN CRD, SURGIWIPE, BAYNT HNDL, INSUL TIP, STRL, OLSEN, LTX, DISP</t>
  </si>
  <si>
    <t>FORCEP KIT, BPLR, STD, 1.5 MM, 7.5 IN, STR, SMOOTH, TWIN, OLSEN</t>
  </si>
  <si>
    <t>STANDARD, 1.5 MM</t>
  </si>
  <si>
    <t>(10/bx) 191 MM</t>
  </si>
  <si>
    <t>https://shop.symmetrysurgical.com/en/product/sites-of-care-ambulatory-surgery-center/20-1380KI, https://accessgudid.nlm.nih.gov/devices/00841785104213</t>
  </si>
  <si>
    <t>201420KI</t>
  </si>
  <si>
    <t>20-1420KI</t>
  </si>
  <si>
    <t>JNJ_201420KI</t>
  </si>
  <si>
    <t>Olsen Bipolar Forceps Kit Olsen Standard Twin Pin Cord &amp; Surgiwipe Bayonet Insulated Smooth Straight 0.5 mm Tips 8 1/4 in 210 mm Single Use (10/bx)</t>
  </si>
  <si>
    <t>PRODIGO1066459</t>
  </si>
  <si>
    <t>Olsen Forcep Kit Standard 0.5 Mm 8.25 In Bipolar Straight  Smooth Twin Pin Cord Surgiwipe Bayonet Handle Insulated Tip Sterile Disposable Latex</t>
  </si>
  <si>
    <t>FORCEP KIT, BIPOLAR, STANDARD, 0.5 MM, 8.25 IN, STRAIGHT , SMOOTH, TWIN PIN CORD, SURGIWIPE, BAYONET HANDLE, INSULATED TIP, STERILE, OLSEN, LATEX, DISPOSABLE</t>
  </si>
  <si>
    <t>FORCEP KIT, BPLR, STD, 0.5 MM, 8.25 IN, STR, SMOOTH, TWIN PIN CRD, SURGIWIPE, BAYNT HNDL, INSUL TIP, STRL, OLSEN, LTX, DISP</t>
  </si>
  <si>
    <t>FORCEP KIT, BPLR, STD, 0.5 MM, 8.25 IN, STR, SMOOTH, TWIN, OLSEN</t>
  </si>
  <si>
    <t>STANDARD, 0.5 MM</t>
  </si>
  <si>
    <t>8.25 IN</t>
  </si>
  <si>
    <t>(10/bx), 210 MM</t>
  </si>
  <si>
    <t>https://shop.symmetrysurgical.com/en/product/sites-of-care-ambulatory-surgery-center/20-1420KI, https://accessgudid.nlm.nih.gov/devices/00841785104732</t>
  </si>
  <si>
    <t>211002C</t>
  </si>
  <si>
    <t>21-1002C</t>
  </si>
  <si>
    <t>JNJ_211002C</t>
  </si>
  <si>
    <t>Symmetry Case Hudson Drill For Use w/Instrument Set 26-1075</t>
  </si>
  <si>
    <t>PRODIGO1066460</t>
  </si>
  <si>
    <t>42281509  Sterilization containers or trays</t>
  </si>
  <si>
    <t>Case Hudson Drill For 26-1075 Set Non Sterile Latex</t>
  </si>
  <si>
    <t>CASE, INSTRUMENT, HUDSON DRILL, FOR 26-1075 SET, NON STERILE, LATEX</t>
  </si>
  <si>
    <t>CASE, INSTRUMENT, HUDSON DRL, FOR 26-1075 SET, NS, LTX</t>
  </si>
  <si>
    <t>CASE</t>
  </si>
  <si>
    <t>INSTRUMENT</t>
  </si>
  <si>
    <t>HUDSON DRILL, FOR 26-1075 SET</t>
  </si>
  <si>
    <t>SYMMETRY Use w/</t>
  </si>
  <si>
    <t>https://shop.symmetrysurgical.com/en/product/sites-of-care-ambulatory-surgery-center/21-1002C, https://accessgudid.nlm.nih.gov/devices/00887482032893</t>
  </si>
  <si>
    <t>242501</t>
  </si>
  <si>
    <t>JNJ_242501</t>
  </si>
  <si>
    <t>Symmetry Trocar Craig Vertebral Body Biopsy Calibrated Blunt</t>
  </si>
  <si>
    <t>PRODIGO1066461</t>
  </si>
  <si>
    <t>42291635  Surgical trocars for general use</t>
  </si>
  <si>
    <t>TROCAR, SURGICAL, CRAIG, VERTEBRAL BODY, BIOPSY, CALIBRATED BLUNT</t>
  </si>
  <si>
    <t>TROCAR, SURG, CRAIG, VERT BODY, BX, CALIB BLNT</t>
  </si>
  <si>
    <t>TROCAR</t>
  </si>
  <si>
    <t>CRAIG</t>
  </si>
  <si>
    <t>VERTEBRAL BODY</t>
  </si>
  <si>
    <t>BIOPSY, CALIBRATED BLUNT</t>
  </si>
  <si>
    <t>242504</t>
  </si>
  <si>
    <t>24-2504</t>
  </si>
  <si>
    <t>JNJ_242504</t>
  </si>
  <si>
    <t>Symmetry Cutter Craig Vertebral Body Biopsy Tooth</t>
  </si>
  <si>
    <t>PRODIGO1066462</t>
  </si>
  <si>
    <t>42291602  Surgical bolt or cable or pin or wire cutter instruments</t>
  </si>
  <si>
    <t>Craig Vertebral Body Biopsy</t>
  </si>
  <si>
    <t>CUTTER, SURGICAL, CRAIG, VERTEBRAL BODY, TOOTH, BIOPSY</t>
  </si>
  <si>
    <t>CUTTER, SURG, CRAIG, VERT BODY, TOOTH, BX</t>
  </si>
  <si>
    <t>CUTTER</t>
  </si>
  <si>
    <t>VERTEBRAL BODY, TOOTH</t>
  </si>
  <si>
    <t>https://shop.symmetrysurgical.com/en/Image/GetDocument/41</t>
  </si>
  <si>
    <t>245500</t>
  </si>
  <si>
    <t>24-5500</t>
  </si>
  <si>
    <t>JNJ_245500</t>
  </si>
  <si>
    <t>Secto Dissector Bulk Peanut Non-Sterile Product</t>
  </si>
  <si>
    <t>PRODIGO1066463</t>
  </si>
  <si>
    <t>42292701  Surgical dissectors</t>
  </si>
  <si>
    <t>DISSECTOR, SURGICAL, PEANUT, BULK, NON STERILE, SECTO</t>
  </si>
  <si>
    <t>DISSECTOR, SURG, PNUT, BULK, NS, SECTO</t>
  </si>
  <si>
    <t>DISSECTOR</t>
  </si>
  <si>
    <t>PEANUT</t>
  </si>
  <si>
    <t>BULK</t>
  </si>
  <si>
    <t>SECTO</t>
  </si>
  <si>
    <t>PRODUCT</t>
  </si>
  <si>
    <t>https://shop.symmetrysurgical.com/en/product/portfolios-minimally-invasive-surgery-gauze-dissectors/24-5500</t>
  </si>
  <si>
    <t>245501</t>
  </si>
  <si>
    <t>24-5501</t>
  </si>
  <si>
    <t>JNJ_245501</t>
  </si>
  <si>
    <t>Secto Dissector Bulk Kittner Non-Sterile Product</t>
  </si>
  <si>
    <t>PRODIGO1066464</t>
  </si>
  <si>
    <t>DISSECTOR, SURGICAL, KITTNER, BULK, NON STERILE, SECTO</t>
  </si>
  <si>
    <t>DISSECTOR, SURG, KITTNER, BULK, NS, SECTO</t>
  </si>
  <si>
    <t>KITTNER</t>
  </si>
  <si>
    <t>https://shop.symmetrysurgical.com/fr/product/portfolios-minimally-invasive-surgery-gauze-dissectors/24-5501</t>
  </si>
  <si>
    <t>245502</t>
  </si>
  <si>
    <t>24-5502</t>
  </si>
  <si>
    <t>JNJ_245502</t>
  </si>
  <si>
    <t>Secto Dissector Bulk Cherry Non-Sterile Product</t>
  </si>
  <si>
    <t>PRODIGO1066465</t>
  </si>
  <si>
    <t>DISSECTOR, SURGICAL, CHERRY, BULK, NON STERILE, SECTO</t>
  </si>
  <si>
    <t>DISSECTOR, SURG, CHERRY, BULK, NS, SECTO</t>
  </si>
  <si>
    <t>CHERRY</t>
  </si>
  <si>
    <t>https://shop.symmetrysurgical.com/fr/product/portfolios-minimally-invasive-surgery-gauze-dissectors/24-5502</t>
  </si>
  <si>
    <t>245511</t>
  </si>
  <si>
    <t>24-5511</t>
  </si>
  <si>
    <t>JNJ_245511</t>
  </si>
  <si>
    <t>Secto Sponge Bulk Tonsil Medium Non-Sterile Product</t>
  </si>
  <si>
    <t>PRODIGO1066466</t>
  </si>
  <si>
    <t>42295406  Laparotomy or surgical x ray detectable sponge or towel</t>
  </si>
  <si>
    <t>SPONGE, LAPAROTOMY, MEDIUM, TONSIL, BULK, NON STERILE, SECTO</t>
  </si>
  <si>
    <t>SPONGE, LAP, MED, TONSIL, BULK, NS, SECTO</t>
  </si>
  <si>
    <t>SPONGE</t>
  </si>
  <si>
    <t>LAPAROTOMY</t>
  </si>
  <si>
    <t>TONSIL</t>
  </si>
  <si>
    <t>https://shop.symmetrysurgical.com/en/product/portfolios-minimally-invasive-surgery-gauze-dissectors/24-5511</t>
  </si>
  <si>
    <t>245512</t>
  </si>
  <si>
    <t>24-5512</t>
  </si>
  <si>
    <t>JNJ_245512</t>
  </si>
  <si>
    <t>Secto Sponge Bulk Tonsil Large Non-Sterile Product</t>
  </si>
  <si>
    <t>PRODIGO1066467</t>
  </si>
  <si>
    <t>SPONGE, LAPAROTOMY, LARGE, TONSIL, BULK, NON STERILE, SECTO</t>
  </si>
  <si>
    <t>SPONGE, LAP, LG, TONSIL, BULK, NS, SECTO</t>
  </si>
  <si>
    <t>https://shop.symmetrysurgical.com/en/product/portfolios-minimally-invasive-surgery-gauze-dissectors/24-5512</t>
  </si>
  <si>
    <t>261041</t>
  </si>
  <si>
    <t>26-1041</t>
  </si>
  <si>
    <t>JNJ_261041</t>
  </si>
  <si>
    <t>Symmetry Brace Hudson Snap-Lock</t>
  </si>
  <si>
    <t>PRODIGO1066468</t>
  </si>
  <si>
    <t>42294203  General surgical instrument sets</t>
  </si>
  <si>
    <t>BRACE, INSTRUMENT, HUDSON, SNAP LOCK</t>
  </si>
  <si>
    <t>BRACE, INSTRUMENT, HUDSON, SNAP LCK</t>
  </si>
  <si>
    <t>HUDSON</t>
  </si>
  <si>
    <t>SNAP LOCK</t>
  </si>
  <si>
    <t>https://shop.symmetrysurgical.com/en/product/sites-of-care-ambulatory-surgery-center/26-1041</t>
  </si>
  <si>
    <t>301146</t>
  </si>
  <si>
    <t>30-1146</t>
  </si>
  <si>
    <t>JNJ_301146</t>
  </si>
  <si>
    <t>Symmetry Forceps Cushing Bayonet Tissue 7 1/4 in</t>
  </si>
  <si>
    <t>PRODIGO1066469</t>
  </si>
  <si>
    <t>FORCEP, SURGICAL, CUSHING, 7.25 IN, BAYONET TISSUE, NON STERILE, LATEX</t>
  </si>
  <si>
    <t>FORCEP, SURG, CUSHING, 7.25 IN, BAYNT TISS, NS, LTX</t>
  </si>
  <si>
    <t>CUSHING</t>
  </si>
  <si>
    <t>7.25 IN</t>
  </si>
  <si>
    <t>BAYONET TISSUE</t>
  </si>
  <si>
    <t>https://shop.symmetrysurgical.com/en/product/sites-of-care-ambulatory-surgery-center/30-1146, https://accessgudid.nlm.nih.gov/devices/00887482003237</t>
  </si>
  <si>
    <t>301147</t>
  </si>
  <si>
    <t>30-1147</t>
  </si>
  <si>
    <t>JNJ_301147</t>
  </si>
  <si>
    <t>Symmetry Forceps Cushing Bayonet Tissue 7 3/4 in</t>
  </si>
  <si>
    <t>PRODIGO1066470</t>
  </si>
  <si>
    <t>FORCEP, SURGICAL, CUSHING, 7.75 IN, BAYONET TISSUE, NON STERILE, LATEX</t>
  </si>
  <si>
    <t>FORCEP, SURG, CUSHING, 7.75 IN, BAYNT TISS, NS, LTX</t>
  </si>
  <si>
    <t>7.75 IN</t>
  </si>
  <si>
    <t>https://shop.symmetrysurgical.com/en/product/sites-of-care-ambulatory-surgery-center/30-1147, https://accessgudid.nlm.nih.gov/devices/00887482003244</t>
  </si>
  <si>
    <t>301150</t>
  </si>
  <si>
    <t>30-1150</t>
  </si>
  <si>
    <t>JNJ_301150</t>
  </si>
  <si>
    <t>Symmetry Forceps Cushing Dressing Serrated Handle</t>
  </si>
  <si>
    <t>PRODIGO1066471</t>
  </si>
  <si>
    <t>FORCEP, SURGICAL, CUSHING, DRESSING, SERRATED HANDLE, NON STERILE, LATEX</t>
  </si>
  <si>
    <t>FORCEP, SURG, CUSHING, DRSG, SERRATED HNDL, NS, LTX</t>
  </si>
  <si>
    <t>DRESSING, SERRATED HANDLE</t>
  </si>
  <si>
    <t>https://shop.symmetrysurgical.com/en/product/sites-of-care-ambulatory-surgery-center/30-1150, https://accessgudid.nlm.nih.gov/devices/00887482003251</t>
  </si>
  <si>
    <t>323402</t>
  </si>
  <si>
    <t>32-3402</t>
  </si>
  <si>
    <t>JNJ_323402</t>
  </si>
  <si>
    <t>Symmetry Curette Bruns 3.0 mm Cup Size Hexagonal Handle Size 0 9 in</t>
  </si>
  <si>
    <t>PRODIGO1066472</t>
  </si>
  <si>
    <t>42291607  Surgical curettes or loops or curette sets</t>
  </si>
  <si>
    <t>Bruns Curette 9 in 229 mm</t>
  </si>
  <si>
    <t>CURETTE, SURGICAL, BRUNS, 0, 9 IN, 3 MM, HEXAGONAL HANDLE, WITH CUP</t>
  </si>
  <si>
    <t>CURETTE, SURG, BRUNS, 0, 9 IN, 3 MM, HEX HNDL, W/ CUP</t>
  </si>
  <si>
    <t>CURETTE</t>
  </si>
  <si>
    <t>BRUNS</t>
  </si>
  <si>
    <t>3 MM</t>
  </si>
  <si>
    <t>HEXAGONAL HANDLE, WITH CUP</t>
  </si>
  <si>
    <t>229 MM</t>
  </si>
  <si>
    <t>323403</t>
  </si>
  <si>
    <t>32-3403</t>
  </si>
  <si>
    <t>JNJ_323403</t>
  </si>
  <si>
    <t>Symmetry Curette Bruns Size 1 3.6 mm Cup Size w/Hexagonal Handle 9 in 228 mm</t>
  </si>
  <si>
    <t>PRODIGO1066473</t>
  </si>
  <si>
    <t>CURETTE, SURGICAL, BRUNS, 1, 9 IN, 3.6 MM, HEXAGONAL HANDLE, WITH CUP</t>
  </si>
  <si>
    <t>CURETTE, SURG, BRUNS, 1, 9 IN, 3.6 MM, HEX HNDL, W/ CUP</t>
  </si>
  <si>
    <t>3.6 MM</t>
  </si>
  <si>
    <t>228 MM</t>
  </si>
  <si>
    <t>323405</t>
  </si>
  <si>
    <t>32-3405</t>
  </si>
  <si>
    <t>JNJ_323405</t>
  </si>
  <si>
    <t>Symmetry Curette Bruns Size 3 5.5 mm Cup Size w/Hexagonal Handle 9 1/8 in 228 mm</t>
  </si>
  <si>
    <t>PRODIGO1066474</t>
  </si>
  <si>
    <t>CURETTE, SURGICAL, BRUNS, 3, 9-1/8 IN, 5.5 MM, HEXAGONAL HANDLE, WITH CUP</t>
  </si>
  <si>
    <t>CURETTE, SURG, BRUNS, 3, 9-1/8 IN, 5.5 MM, HEX HNDL, W/ CUP</t>
  </si>
  <si>
    <t>9-1/8 IN</t>
  </si>
  <si>
    <t>5.5 MM</t>
  </si>
  <si>
    <t>https://shop.symmetrysurgical.com/en/product/sites-of-care-ambulatory-surgery-center/32-3405</t>
  </si>
  <si>
    <t>323407</t>
  </si>
  <si>
    <t>32-3407</t>
  </si>
  <si>
    <t>JNJ_323407</t>
  </si>
  <si>
    <t>Symmetry Curette Bruns Size 5 8.5 mm Cup Size w/Hexagonal Handle 9 1/4 in</t>
  </si>
  <si>
    <t>PRODIGO1066475</t>
  </si>
  <si>
    <t>CURETTE, SURGICAL, BRUNS, 5, 9.25 IN, 8.5 MM, HEXAGONAL HANDLE, WITH CUP</t>
  </si>
  <si>
    <t>CURETTE, SURG, BRUNS, 5, 9.25 IN, 8.5 MM, HEX HNDL, W/ CUP</t>
  </si>
  <si>
    <t>9.25 IN</t>
  </si>
  <si>
    <t>8.5 MM</t>
  </si>
  <si>
    <t>https://shop.symmetrysurgical.com/en/product/sites-of-care-ambulatory-surgery-center/32-3407</t>
  </si>
  <si>
    <t>323475</t>
  </si>
  <si>
    <t>32-3475</t>
  </si>
  <si>
    <t>JNJ_323475</t>
  </si>
  <si>
    <t>Symmetry Curette Bruns Straight Size 2 6mm x 9mm Cup Size w/Hollow Handle 9 in 229 mm</t>
  </si>
  <si>
    <t>PRODIGO1066476</t>
  </si>
  <si>
    <t>Bruns Curette 2 Straight 5.7 mm 9 in 229 mm</t>
  </si>
  <si>
    <t>CURETTE, SURGICAL, BRUNS, 2, 9 IN, 6X9 MM, STRAIGHT, HOLLOW HANDLE, WITH CUP</t>
  </si>
  <si>
    <t>CURETTE, SURG, BRUNS, 2, 9 IN, 6X9 MM, STR, HLLW HNDL, W/ CUP</t>
  </si>
  <si>
    <t>6X9 MM</t>
  </si>
  <si>
    <t>STRAIGHT, HOLLOW HANDLE, WITH CUP</t>
  </si>
  <si>
    <t>https://shop.symmetrysurgical.com/en/Image/GetDocument/48</t>
  </si>
  <si>
    <t>323476</t>
  </si>
  <si>
    <t>32-3476</t>
  </si>
  <si>
    <t>JNJ_323476</t>
  </si>
  <si>
    <t>Symmetry Curette Bruns Straight Size 3 7mm x 10mm Cup Size w/Hollow Handle 9 in 229 mm</t>
  </si>
  <si>
    <t>PRODIGO1066477</t>
  </si>
  <si>
    <t>Symmetry Curette Bruns Straight Size 3 7mm x 10mm Cup Size w/Hollow Handle 9 in 225 mm</t>
  </si>
  <si>
    <t>CURETTE, SURGICAL, BRUNS, 3, 9 IN, 7X10 MM, STRAIGHT, HOLLOW HANDLE, WITH CUP</t>
  </si>
  <si>
    <t>CURETTE, SURG, BRUNS, 3, 9 IN, 7X10 MM, STR, HLLW HNDL, W/ CUP</t>
  </si>
  <si>
    <t>7X10 MM</t>
  </si>
  <si>
    <t>https://shop.symmetrysurgical.com/en/product/sites-of-care-ambulatory-surgery-center/32-3476</t>
  </si>
  <si>
    <t>323478</t>
  </si>
  <si>
    <t>32-3478</t>
  </si>
  <si>
    <t>JNJ_323478</t>
  </si>
  <si>
    <t>Symmetry Curette Bruns Straight Size 5 10mm x 13mm Cup Size w/Hollow Handle 9 in 229 mm</t>
  </si>
  <si>
    <t>PRODIGO1066478</t>
  </si>
  <si>
    <t>Symmetry Curette Bruns Straight Size 5 10mm x 13mm Cup Size w/Hollow Handle 9 in 225 mm</t>
  </si>
  <si>
    <t>CURETTE, SURGICAL, BRUNS, 5, 9 IN, 10X13 MM, STRAIGHT, HOLLOW HANDLE, WITH CUP</t>
  </si>
  <si>
    <t>CURETTE, SURG, BRUNS, 5, 9 IN, 10X13 MM, STR, HLLW HNDL, W/ CUP</t>
  </si>
  <si>
    <t>10X13 MM</t>
  </si>
  <si>
    <t>https://shop.symmetrysurgical.com/en/product/sites-of-care-ambulatory-surgery-center/32-3478</t>
  </si>
  <si>
    <t>323483</t>
  </si>
  <si>
    <t>32-3483</t>
  </si>
  <si>
    <t>JNJ_323483</t>
  </si>
  <si>
    <t>Symmetry Curette Bruns Forward Angle Size 0 4.5 mm Cup Size 9 in 229 mm</t>
  </si>
  <si>
    <t>PRODIGO1066479</t>
  </si>
  <si>
    <t>Bruns Curette Forward Angle 4.5 mm 9 in 229 mm</t>
  </si>
  <si>
    <t>CURETTE, SURGICAL, BRUNS, 0, 9 IN, 4.5 MM, FORWARD ANGLE, WITH CUP</t>
  </si>
  <si>
    <t>CURETTE, SURG, BRUNS, 0, 9 IN, 4.5 MM, FORWARD ANGLE, W/ CUP</t>
  </si>
  <si>
    <t>4.5 MM</t>
  </si>
  <si>
    <t>FORWARD ANGLE, WITH CUP</t>
  </si>
  <si>
    <t>323484</t>
  </si>
  <si>
    <t>32-3484</t>
  </si>
  <si>
    <t>JNJ_323484</t>
  </si>
  <si>
    <t>Symmetry Curette Bruns Forward Angle Size 1 5.3 mm Cup Size 9 in 229 mm</t>
  </si>
  <si>
    <t>PRODIGO1066480</t>
  </si>
  <si>
    <t>Symmetry Curette Bruns Forward Angle Size 1 5.3 mm Cup Size 9 in 225 mm</t>
  </si>
  <si>
    <t>CURETTE, SURGICAL, BRUNS, 1, 9 IN, 5.3 MM, FORWARD ANGLE, WITH CUP</t>
  </si>
  <si>
    <t>CURETTE, SURG, BRUNS, 1, 9 IN, 5.3 MM, FORWARD ANGLE, W/ CUP</t>
  </si>
  <si>
    <t>5.3 MM</t>
  </si>
  <si>
    <t>225 MM</t>
  </si>
  <si>
    <t>https://shop.symmetrysurgical.com/en/product/sites-of-care-ambulatory-surgery-center/32-3484</t>
  </si>
  <si>
    <t>323487</t>
  </si>
  <si>
    <t>32-3487</t>
  </si>
  <si>
    <t>JNJ_323487</t>
  </si>
  <si>
    <t>Symmetry Curette Bruns Forward Angle Size 4 8.2 mm Cup Size 9 in 229 mm</t>
  </si>
  <si>
    <t>PRODIGO1066481</t>
  </si>
  <si>
    <t>Bruns Curette Hollow Handle SIZE 4 Forward Angle 8.2 mm 9 in 229 mm</t>
  </si>
  <si>
    <t>CURETTE, SURGICAL, BRUNS, 4, 9 IN, 8.2 MM, FORWARD ANGLE, HOLLOW HANDLE, WITH CUP</t>
  </si>
  <si>
    <t>CURETTE, SURG, BRUNS, 4, 9 IN, 8.2 MM, FORWARD ANGLE, HLLW HNDL, W/ CUP</t>
  </si>
  <si>
    <t>CURETTE, SURG, BRUNS, 4, 9 IN, 8.2 MM, FORWARD ANGLE, HLLW HNDL</t>
  </si>
  <si>
    <t>8.2 MM</t>
  </si>
  <si>
    <t>FORWARD ANGLE, HOLLOW HANDLE, WITH CUP</t>
  </si>
  <si>
    <t>357530</t>
  </si>
  <si>
    <t>35-7530</t>
  </si>
  <si>
    <t>JNJ_357530</t>
  </si>
  <si>
    <t>Symmetry Forceps Verbrugge Bone Holding 6 in</t>
  </si>
  <si>
    <t>PRODIGO1066482</t>
  </si>
  <si>
    <t>FORCEP, SURGICAL, VERBRUGGE, 6 IN, BONE HOLDING, NON STERILE, LATEX</t>
  </si>
  <si>
    <t>FORCEP, SURG, VERBRUGGE, 6 IN, BNE HOLDING, NS, LTX</t>
  </si>
  <si>
    <t>VERBRUGGE</t>
  </si>
  <si>
    <t>BONE HOLDING</t>
  </si>
  <si>
    <t>https://accessgudid.nlm.nih.gov/devices/00887482072622</t>
  </si>
  <si>
    <t>357531</t>
  </si>
  <si>
    <t>35-7531</t>
  </si>
  <si>
    <t>JNJ_357531</t>
  </si>
  <si>
    <t>Symmetry Forceps Verbrugge Bone Holding 7 1/2 in</t>
  </si>
  <si>
    <t>PRODIGO1066483</t>
  </si>
  <si>
    <t>FORCEP, SURGICAL, VERBRUGGE, 7.5 IN, BONE HOLDING, NON STERILE, LATEX</t>
  </si>
  <si>
    <t>FORCEP, SURG, VERBRUGGE, 7.5 IN, BNE HOLDING, NS, LTX</t>
  </si>
  <si>
    <t>https://shop.symmetrysurgical.com/en/product/sites-of-care-ambulatory-surgery-center/35-7531, https://accessgudid.nlm.nih.gov/devices/00887482036358</t>
  </si>
  <si>
    <t>357532</t>
  </si>
  <si>
    <t>35-7532</t>
  </si>
  <si>
    <t>JNJ_357532</t>
  </si>
  <si>
    <t>Symmetry Forceps Verbrugge Bone Holding 9 1/2 in</t>
  </si>
  <si>
    <t>PRODIGO1066484</t>
  </si>
  <si>
    <t xml:space="preserve">SYMMETRY FORCEPS VERBRUGGE BONE HOLDING 9 1/2 IN </t>
  </si>
  <si>
    <t>FORCEP, SURGICAL, VERBRUGGE, 9.5 IN, BONE HOLDING, NON STERILE, LATEX</t>
  </si>
  <si>
    <t>FORCEP, SURG, VERBRUGGE, 9.5 IN, BNE HOLDING, NS, LTX</t>
  </si>
  <si>
    <t>9.5 IN</t>
  </si>
  <si>
    <t>https://www.partssource.com/parts/symmetry-surgical/357532?pspn=ps33cn36uar, https://accessgudid.nlm.nih.gov/devices/00887482072639</t>
  </si>
  <si>
    <t>357534</t>
  </si>
  <si>
    <t>35-7534</t>
  </si>
  <si>
    <t>JNJ_357534</t>
  </si>
  <si>
    <t>Symmetry Forceps Verbrugge Bone Holding 11 in</t>
  </si>
  <si>
    <t>PRODIGO1066485</t>
  </si>
  <si>
    <t>FORCEP, SURGICAL, VERBRUGGE, 11 IN, BONE HOLDING, NON STERILE, LATEX</t>
  </si>
  <si>
    <t>FORCEP, SURG, VERBRUGGE, 11 IN, BNE HOLDING, NS, LTX</t>
  </si>
  <si>
    <t>11 IN</t>
  </si>
  <si>
    <t>https://accessgudid.nlm.nih.gov/devices/00887482072646, https://accessgudid.nlm.nih.gov/devices/00887482072646</t>
  </si>
  <si>
    <t>463054</t>
  </si>
  <si>
    <t>46-3054</t>
  </si>
  <si>
    <t>JNJ_463054</t>
  </si>
  <si>
    <t>Symmetry Karlin Osteotome Curved 5/8 Tip</t>
  </si>
  <si>
    <t>PRODIGO1066486</t>
  </si>
  <si>
    <t>42291619  Surgical tomes</t>
  </si>
  <si>
    <t>OSTEOTOME, SURGICAL, KARLIN, 5/8 IN, CURVED, TIP, NON STERILE, LATEX</t>
  </si>
  <si>
    <t>OSTEOTOME, SURG, KARLIN, 5/8 IN, CRV, TIP, NS, LTX</t>
  </si>
  <si>
    <t>OSTEOTOME</t>
  </si>
  <si>
    <t>KARLIN</t>
  </si>
  <si>
    <t>5/8 IN</t>
  </si>
  <si>
    <t>CURVED, TIP</t>
  </si>
  <si>
    <t>https://shop.symmetrysurgical.com/en/product/sites-of-care-ambulatory-surgery-center/46-3054, https://accessgudid.nlm.nih.gov/devices/00887482014035</t>
  </si>
  <si>
    <t>463055</t>
  </si>
  <si>
    <t>46-3055</t>
  </si>
  <si>
    <t>JNJ_463055</t>
  </si>
  <si>
    <t>Symmetry Karlin Osteotome Curved 3/4 Tip</t>
  </si>
  <si>
    <t>PRODIGO1066487</t>
  </si>
  <si>
    <t>Osteotome Curved TIP SIZE 3⁄4 in 19 mm LENGTH 8 1⁄2 in 216 mm</t>
  </si>
  <si>
    <t>OSTEOTOME, SURGICAL, KARLIN, 3/4 IN, 8.5 IN, CURVED, TIP, NON STERILE, LATEX</t>
  </si>
  <si>
    <t>OSTEOTOME, SURG, KARLIN, 3/4 IN, 8.5 IN, CRV, TIP, NS, LTX</t>
  </si>
  <si>
    <t>3/4 IN</t>
  </si>
  <si>
    <t>8.5 IN</t>
  </si>
  <si>
    <t>https://shop.symmetrysurgical.com/en/Image/GetDocument/63, https://accessgudid.nlm.nih.gov/devices/00887482014042</t>
  </si>
  <si>
    <t>463112</t>
  </si>
  <si>
    <t>46-3112</t>
  </si>
  <si>
    <t>JNJ_463112</t>
  </si>
  <si>
    <t>Symmetry Karlin Chisel Magnum Curved 1 1/4 in Handle Diameter 10 mm Tip Width 10 3/4 in</t>
  </si>
  <si>
    <t>PRODIGO1066488</t>
  </si>
  <si>
    <t>42291606  Surgical chisels or gouges</t>
  </si>
  <si>
    <t>CHISEL, SURGICAL, KARLIN, 10 MM, 10.75 IN, 1.25 IN, MAGNUM, CURVED, TIP, NON STERILE, LATEX</t>
  </si>
  <si>
    <t>CHISEL, SURG, KARLIN, 10 MM, 10.75 IN, 1.25 IN, MAG, CRV, TIP, NS, LTX</t>
  </si>
  <si>
    <t>CHISEL</t>
  </si>
  <si>
    <t>10.75 IN</t>
  </si>
  <si>
    <t>1.25 IN</t>
  </si>
  <si>
    <t>MAGNUM, CURVED, TIP</t>
  </si>
  <si>
    <t>https://shop.symmetrysurgical.com/en/product/sites-of-care-ambulatory-surgery-center/46-3112, https://accessgudid.nlm.nih.gov/devices/00887482014325</t>
  </si>
  <si>
    <t>463113</t>
  </si>
  <si>
    <t>46-3113</t>
  </si>
  <si>
    <t>JNJ_463113</t>
  </si>
  <si>
    <t>Symmetry Karlin Chisel Magnum Curved 1 1/4 in Handle Diameter 15 mm Tip Width 10 3/4 in</t>
  </si>
  <si>
    <t>PRODIGO1066489</t>
  </si>
  <si>
    <t>Magnum Straight Curved Chisel Curved TIP WIDTH 15 mm HANDLE DIAMETER 1 1⁄4 in 32 mm L10 3⁄4 in 273 mm</t>
  </si>
  <si>
    <t>CHISEL, SURGICAL, KARLIN, 15 MM, 10.75 IN, 1.25 IN, MAGNUM, STRAIGHT, CURVED, TIP, NON STERILE, LATEX</t>
  </si>
  <si>
    <t>CHISEL, SURG, KARLIN, 15 MM, 10.75 IN, 1.25 IN, MAG, STR, CRV, TIP, NS, LTX</t>
  </si>
  <si>
    <t>CHISEL, SURG, KARLIN, 15 MM, 10.75 IN, 1.25 IN, MAG, STR, CRV, TIP, NS</t>
  </si>
  <si>
    <t>15 MM</t>
  </si>
  <si>
    <t>MAGNUM, STRAIGHT, CURVED, TIP</t>
  </si>
  <si>
    <t>273 MM</t>
  </si>
  <si>
    <t>https://shop.symmetrysurgical.com/en/Image/GetDocument/41, https://accessgudid.nlm.nih.gov/devices/00887482014332</t>
  </si>
  <si>
    <t>463114</t>
  </si>
  <si>
    <t>46-3114</t>
  </si>
  <si>
    <t>JNJ_463114</t>
  </si>
  <si>
    <t>Symmetry Karlin Chisel Magnum Curved 1 1/4 in Handle Diameter 20 mm Tip Width 10 3/4 in</t>
  </si>
  <si>
    <t>PRODIGO1066490</t>
  </si>
  <si>
    <t>Magnum Straight Curved Chisel Curved TIP WIDTH 20 mm HANDLE DIAMETER 1 1⁄4 in 32 mm L10 3⁄4 in 273 mm</t>
  </si>
  <si>
    <t>CHISEL, SURGICAL, KARLIN, 20 MM, 10.75 IN, 1.25 IN, MAGNUM, STRAIGHT, CURVED, TIP, NON STERILE, LATEX</t>
  </si>
  <si>
    <t>CHISEL, SURG, KARLIN, 20 MM, 10.75 IN, 1.25 IN, MAG, STR, CRV, TIP, NS, LTX</t>
  </si>
  <si>
    <t>CHISEL, SURG, KARLIN, 20 MM, 10.75 IN, 1.25 IN, MAG, STR, CRV, TIP, NS</t>
  </si>
  <si>
    <t>20 MM</t>
  </si>
  <si>
    <t>https://shop.symmetrysurgical.com/en/Image/GetDocument/41, https://accessgudid.nlm.nih.gov/devices/00887482014349</t>
  </si>
  <si>
    <t>463115</t>
  </si>
  <si>
    <t>46-3115</t>
  </si>
  <si>
    <t>JNJ_463115</t>
  </si>
  <si>
    <t>Symmetry Karlin Chisel Magnum Curved 1 1/4 in Handle Diameter 25 mm Tip Width 10 3/4 in</t>
  </si>
  <si>
    <t>PRODIGO1066491</t>
  </si>
  <si>
    <t>Magnum Straight Curved Chisel Curved TIP WIDTH 25 mm HANDLE DIAMETER 1 1⁄4 in 32 mm L10 3⁄4 in 273 mm</t>
  </si>
  <si>
    <t>CHISEL, SURGICAL, KARLIN, 25 MM, 10.75 IN, 1.25 IN, MAGNUM, STRAIGHT, CURVED, TIP, NON STERILE, LATEX</t>
  </si>
  <si>
    <t>CHISEL, SURG, KARLIN, 25 MM, 10.75 IN, 1.25 IN, MAG, STR, CRV, TIP, NS, LTX</t>
  </si>
  <si>
    <t>CHISEL, SURG, KARLIN, 25 MM, 10.75 IN, 1.25 IN, MAG, STR, CRV, TIP, NS</t>
  </si>
  <si>
    <t>25 MM</t>
  </si>
  <si>
    <t>https://shop.symmetrysurgical.com/en/Image/GetDocument/41, https://accessgudid.nlm.nih.gov/devices/00887482014356</t>
  </si>
  <si>
    <t>463116</t>
  </si>
  <si>
    <t>46-3116</t>
  </si>
  <si>
    <t>JNJ_463116</t>
  </si>
  <si>
    <t>Symmetry Karlin Chisel Magnum Curved 1 1/4 in Handle Diameter 30 mm Tip Width 10 3/4 in</t>
  </si>
  <si>
    <t>PRODIGO1066492</t>
  </si>
  <si>
    <t>Magnum Straight Curved Chisel Curved TIP WIDTH 30 mm HANDLE DIAMETER 1 1⁄4 in 32 mm L10 3⁄4 in 273 mm</t>
  </si>
  <si>
    <t>CHISEL, SURGICAL, KARLIN, 30 MM, 10.75 IN, 1.25 IN, MAGNUM, STRAIGHT, CURVED, TIP, NON STERILE, LATEX</t>
  </si>
  <si>
    <t>CHISEL, SURG, KARLIN, 30 MM, 10.75 IN, 1.25 IN, MAG, STR, CRV, TIP, NS, LTX</t>
  </si>
  <si>
    <t>CHISEL, SURG, KARLIN, 30 MM, 10.75 IN, 1.25 IN, MAG, STR, CRV, TIP, NS</t>
  </si>
  <si>
    <t>30 MM</t>
  </si>
  <si>
    <t>https://shop.symmetrysurgical.com/en/Image/GetDocument/41, https://accessgudid.nlm.nih.gov/devices/00887482014363</t>
  </si>
  <si>
    <t>463131</t>
  </si>
  <si>
    <t>46-3131</t>
  </si>
  <si>
    <t>JNJ_463131</t>
  </si>
  <si>
    <t>Karlin Curette Microdiscectomy Lumbar Backward Straight Size 1 9 1/2 in</t>
  </si>
  <si>
    <t>PRODIGO1066493</t>
  </si>
  <si>
    <t>CURETTE, SURGICAL, KARLIN, 1, 9.5 IN, LUMBAR, MICRODISECTOMY, BACKWARD STRAIGHT, NON STERILE, LATEX</t>
  </si>
  <si>
    <t>CURETTE, SURG, KARLIN, 1, 9.5 IN, LUMBAR, MICRODISECTOMY, BKWRD STR, NS, LTX</t>
  </si>
  <si>
    <t>CURETTE, SURG, KARLIN, 1, 9.5 IN, LUMBAR, MICRODISECTOMY, BKWRD STR</t>
  </si>
  <si>
    <t>LUMBAR</t>
  </si>
  <si>
    <t>MICRODISECTOMY, BACKWARD STRAIGHT</t>
  </si>
  <si>
    <t>https://shop.symmetrysurgical.com/en/product/sites-of-care-ambulatory-surgery-center/46-3131, https://accessgudid.nlm.nih.gov/devices/00887482014486</t>
  </si>
  <si>
    <t>463132</t>
  </si>
  <si>
    <t>46-3132</t>
  </si>
  <si>
    <t>JNJ_463132</t>
  </si>
  <si>
    <t>Karlin Curette Microdiscectomy Lumbar Backward Straight Size 2 9 1/2 in</t>
  </si>
  <si>
    <t>PRODIGO1066494</t>
  </si>
  <si>
    <t>Lumbar Microdiscectomy Curette Backwards Straight 2 9 1 ⁄2 in 241 mm</t>
  </si>
  <si>
    <t>CURETTE, SURGICAL, KARLIN, 2, 9.5 IN, LUMBAR, MICRODISECTOMY, BACKWARD STRAIGHT, NON STERILE, LATEX</t>
  </si>
  <si>
    <t>CURETTE, SURG, KARLIN, 2, 9.5 IN, LUMBAR, MICRODISECTOMY, BKWRD STR, NS, LTX</t>
  </si>
  <si>
    <t>CURETTE, SURG, KARLIN, 2, 9.5 IN, LUMBAR, MICRODISECTOMY, BKWRD STR</t>
  </si>
  <si>
    <t>241 MM</t>
  </si>
  <si>
    <t>https://shop.symmetrysurgical.com/en/Image/GetDocument/41, https://accessgudid.nlm.nih.gov/devices/00887482014493</t>
  </si>
  <si>
    <t>463193</t>
  </si>
  <si>
    <t>46-3193</t>
  </si>
  <si>
    <t>JNJ_463193</t>
  </si>
  <si>
    <t>Symmetry Karlin Retractor Crank Frame Blade Left 1 1/4 in x 1 1/2 in</t>
  </si>
  <si>
    <t>PRODIGO1066495</t>
  </si>
  <si>
    <t>42293139  Retractor accessories</t>
  </si>
  <si>
    <t>BLADE, RETRACTOR, KARLIN, 1.25X1.5 IN, LEFT, CRANK FRAME, NON STERILE, LATEX</t>
  </si>
  <si>
    <t>BLADE, RETRACTOR, KARLIN, 1.25X1.5 IN, LT, CRANK FRAME, NS, LTX</t>
  </si>
  <si>
    <t>BLADE</t>
  </si>
  <si>
    <t>1.25X1.5 IN</t>
  </si>
  <si>
    <t>LEFT</t>
  </si>
  <si>
    <t>CRANK FRAME</t>
  </si>
  <si>
    <t>https://shop.symmetrysurgical.com/en/product/portfolios-instruments-retraction/46-3193, https://accessgudid.nlm.nih.gov/devices/00887482014974</t>
  </si>
  <si>
    <t>463194</t>
  </si>
  <si>
    <t>46-3194</t>
  </si>
  <si>
    <t>JNJ_463194</t>
  </si>
  <si>
    <t>Symmetry Karlin Retractor Crank Frame Blade Right 1 1/4 in x 1 1/2 in</t>
  </si>
  <si>
    <t>PRODIGO1066496</t>
  </si>
  <si>
    <t>BLADE, RETRACTOR, KARLIN, 1.25X1.5 IN, RIGHT, CRANK FRAME, NON STERILE, LATEX</t>
  </si>
  <si>
    <t>BLADE, RETRACTOR, KARLIN, 1.25X1.5 IN, RT, CRANK FRAME, NS, LTX</t>
  </si>
  <si>
    <t>RIGHT</t>
  </si>
  <si>
    <t>https://shop.symmetrysurgical.com/en/product/portfolios-instruments-retraction/46-3194, https://accessgudid.nlm.nih.gov/devices/00887482014981</t>
  </si>
  <si>
    <t>463195</t>
  </si>
  <si>
    <t>46-3195</t>
  </si>
  <si>
    <t>JNJ_463195</t>
  </si>
  <si>
    <t>Symmetry Karlin Retractor Crank Frame Blade Left 2 1/4 in x 1 3/4 in</t>
  </si>
  <si>
    <t>PRODIGO1066497</t>
  </si>
  <si>
    <t>BLADE, RETRACTOR, KARLIN, 2.25X1.75 IN, LEFT, CRANK FRAME, NON STERILE, LATEX</t>
  </si>
  <si>
    <t>BLADE, RETRACTOR, KARLIN, 2.25X1.75 IN, LT, CRANK FRAME, NS, LTX</t>
  </si>
  <si>
    <t>2.25X1.75 IN</t>
  </si>
  <si>
    <t>https://shop.symmetrysurgical.com/en/product/sites-of-care-ambulatory-surgery-center/46-3195, https://accessgudid.nlm.nih.gov/devices/00887482014998</t>
  </si>
  <si>
    <t>463196</t>
  </si>
  <si>
    <t>46-3196</t>
  </si>
  <si>
    <t>JNJ_463196</t>
  </si>
  <si>
    <t>Symmetry Karlin Retractor Crank Frame Blade Right 2 3/10 in x 1 7/10 in</t>
  </si>
  <si>
    <t>PRODIGO1066498</t>
  </si>
  <si>
    <t>BLADE, RETRACTOR, KARLIN, 2-3/10X1-7/10 IN, RIGHT, CRANK FRAME, NON STERILE, LATEX</t>
  </si>
  <si>
    <t>BLADE, RETRACTOR, KARLIN, 2-3/10X1-7/10 IN, RT, CRANK FRAME, NS, LTX</t>
  </si>
  <si>
    <t>BLADE, RETRACTOR, KARLIN, 2-3/10X1-7/10 IN, RT, CRANK FRAME, NS</t>
  </si>
  <si>
    <t>2-3/10X1-7/10 IN</t>
  </si>
  <si>
    <t>https://shop.symmetrysurgical.com/en/product/portfolios-instruments-retraction/46-3196, https://accessgudid.nlm.nih.gov/devices/00887482015001</t>
  </si>
  <si>
    <t>463200</t>
  </si>
  <si>
    <t>46-3200</t>
  </si>
  <si>
    <t>JNJ_463200</t>
  </si>
  <si>
    <t>Symmetry Karlin Retractor Crank Frame Blade Left &amp; Right 1 3/4 in Long 3/4 in Wide</t>
  </si>
  <si>
    <t>PRODIGO1066499</t>
  </si>
  <si>
    <t>BLADE, RETRACTOR, KARLIN, LONG, 1.75X0.75 IN, LEFT, RIGHT, CRANK FRAME, NON STERILE, LATEX</t>
  </si>
  <si>
    <t>BLADE, RETRACTOR, KARLIN, LNG, 1.75X0.75 IN, LT, RT, CRANK FRAME, NS, LTX</t>
  </si>
  <si>
    <t>BLADE, RETRACTOR, KARLIN, LNG, 1.75X0.75 IN, LT, RT, CRANK FRAME, NS</t>
  </si>
  <si>
    <t>1.75X0.75 IN</t>
  </si>
  <si>
    <t>LEFT, RIGHT</t>
  </si>
  <si>
    <t>https://shop.symmetrysurgical.com/en/product/sites-of-care-ambulatory-surgery-center/46-3200, https://accessgudid.nlm.nih.gov/devices/00887482015032#</t>
  </si>
  <si>
    <t>463201</t>
  </si>
  <si>
    <t>46-3201</t>
  </si>
  <si>
    <t>JNJ_463201</t>
  </si>
  <si>
    <t>Symmetry Karlin Retractor Crank Frame Blade Left &amp; Right 2 1/4 in Long 3/4 in Wide</t>
  </si>
  <si>
    <t>PRODIGO1066500</t>
  </si>
  <si>
    <t>Crank Frame Retractor Blade Left and Right PairOFFSET 3/4x 2 1⁄4 in 19 x 57 mm</t>
  </si>
  <si>
    <t>BLADE, RETRACTOR, KARLIN, LONG, 2.25X0.75 IN, LEFT, RIGHT, CRANK FRAME, PAIR, OFFSET, NON STERILE, LATEX</t>
  </si>
  <si>
    <t>BLADE, RETRACTOR, KARLIN, LNG, 2.25X0.75 IN, LT, RT, CRANK FRAME, PR, OFFSET, NS, LTX</t>
  </si>
  <si>
    <t>BLADE, RETRACTOR, KARLIN, LNG, 2.25X0.75 IN, LT, RT, CRANK FRAME, PR</t>
  </si>
  <si>
    <t>2.25X0.75 IN</t>
  </si>
  <si>
    <t>CRANK FRAME, PAIR, OFFSET</t>
  </si>
  <si>
    <t>19X57 MM, WIDE</t>
  </si>
  <si>
    <t>https://shop.symmetrysurgical.com/en/Image/GetDocument/41, https://accessgudid.nlm.nih.gov/devices/00887482015049</t>
  </si>
  <si>
    <t>463202</t>
  </si>
  <si>
    <t>46-3202</t>
  </si>
  <si>
    <t>JNJ_463202</t>
  </si>
  <si>
    <t>Symmetry Karlin Retractor Crank Frame Blade Left &amp; Right 3 in Long 3/4 in Wide</t>
  </si>
  <si>
    <t>PRODIGO1066501</t>
  </si>
  <si>
    <t>Crank Frame Retractor Blade Left and Right PairOFFSET 3/4x 3 in 19 x 76 mm</t>
  </si>
  <si>
    <t>BLADE, RETRACTOR, KARLIN, LONG, 3X0.75 IN, LEFT, RIGHT, CRANK FRAME, PAIR, OFFSET, NON STERILE, LATEX</t>
  </si>
  <si>
    <t>BLADE, RETRACTOR, KARLIN, LNG, 3X0.75 IN, LT, RT, CRANK FRAME, PR, OFFSET, NS, LTX</t>
  </si>
  <si>
    <t>BLADE, RETRACTOR, KARLIN, LNG, 3X0.75 IN, LT, RT, CRANK FRAME, PR</t>
  </si>
  <si>
    <t>3X0.75 IN</t>
  </si>
  <si>
    <t>19X76 MM, WIDE</t>
  </si>
  <si>
    <t>https://shop.symmetrysurgical.com/en/Image/GetDocument/41, https://accessgudid.nlm.nih.gov/devices/00887482015056</t>
  </si>
  <si>
    <t>463204</t>
  </si>
  <si>
    <t>46-3204</t>
  </si>
  <si>
    <t>JNJ_463204</t>
  </si>
  <si>
    <t>Symmetry Karlin Retractor Crank Frame Blade Left &amp; Right 4 in Long 3/4 in Wide</t>
  </si>
  <si>
    <t>PRODIGO1066502</t>
  </si>
  <si>
    <t>Crank Frame Retractor Blade Left and Right PairOFFSET 3/4x 4 in 19 x 102 mm</t>
  </si>
  <si>
    <t>BLADE, RETRACTOR, KARLIN, LONG, 4X0.75 IN, LEFT, RIGHT, CRANK FRAME, PAIR, OFFSET, NON STERILE, LATEX</t>
  </si>
  <si>
    <t>BLADE, RETRACTOR, KARLIN, LNG, 4X0.75 IN, LT, RT, CRANK FRAME, PR, OFFSET, NS, LTX</t>
  </si>
  <si>
    <t>BLADE, RETRACTOR, KARLIN, LNG, 4X0.75 IN, LT, RT, CRANK FRAME, PR</t>
  </si>
  <si>
    <t>4X0.75 IN</t>
  </si>
  <si>
    <t>19X102 MM, WIDE</t>
  </si>
  <si>
    <t>https://shop.symmetrysurgical.com/en/Image/GetDocument/41, https://accessgudid.nlm.nih.gov/devices/00887482015070</t>
  </si>
  <si>
    <t>463205</t>
  </si>
  <si>
    <t>46-3205</t>
  </si>
  <si>
    <t>JNJ_463205</t>
  </si>
  <si>
    <t>Symmetry Karlin Retractor Crank Frame Blade Left &amp; Right 4 in Long 2 in Wide Not Offset</t>
  </si>
  <si>
    <t>PRODIGO1066503</t>
  </si>
  <si>
    <t>Crank Frame Retractor Blade Left and Right PairOFFSET 2x 4 in 51 x 102 mm</t>
  </si>
  <si>
    <t>BLADE, RETRACTOR, KARLIN, LONG, 4X2 IN, LEFT, RIGHT, CRANK FRAME, PAIR, OFFSET, NON STERILE, LATEX</t>
  </si>
  <si>
    <t>BLADE, RETRACTOR, KARLIN, LNG, 4X2 IN, LT, RT, CRANK FRAME, PR, OFFSET, NS, LTX</t>
  </si>
  <si>
    <t>BLADE, RETRACTOR, KARLIN, LNG, 4X2 IN, LT, RT, CRANK FRAME, PR</t>
  </si>
  <si>
    <t>4X2 IN</t>
  </si>
  <si>
    <t>51X102 MM, WIDE</t>
  </si>
  <si>
    <t>https://shop.symmetrysurgical.com/en/Image/GetDocument/41, https://accessgudid.nlm.nih.gov/devices/00887482015087</t>
  </si>
  <si>
    <t>ADG</t>
  </si>
  <si>
    <t>463230</t>
  </si>
  <si>
    <t>46-3230</t>
  </si>
  <si>
    <t>JNJ_463230</t>
  </si>
  <si>
    <t>Symmetry Karlin Curette Xl Magnum Cup Forward Straight 15 mm Tip Size 13 1/4 in</t>
  </si>
  <si>
    <t>PRODIGO1066504</t>
  </si>
  <si>
    <t>Karlin Curette Xl Magnum Cup Forward Straight 15 mm Tip Size 13-1/4 in NON STERILE LATEX</t>
  </si>
  <si>
    <t>CURETTE, SURGICAL, KARLIN, 15 MM, 13.25 IN, XL MAGNUM CUP, FORWARD, STRAIGHT, TIP, NON STERILE, LATEX</t>
  </si>
  <si>
    <t>CURETTE, SURG, KARLIN, 15 MM, 13.25 IN, XL MAG CUP, FORWARD, STR, TIP, NS, LTX</t>
  </si>
  <si>
    <t>CURETTE, SURG, KARLIN, 15 MM, 13.25 IN, XL MAG CUP, FORWARD, STR, NS</t>
  </si>
  <si>
    <t>13.25 IN</t>
  </si>
  <si>
    <t>XL MAGNUM CUP, FORWARD, STRAIGHT, TIP</t>
  </si>
  <si>
    <t>https://shop.symmetrysurgical.com/en/product/sites-of-care-ambulatory-surgery-center/46-3230, https://accessgudid.nlm.nih.gov/devices/00887482015308</t>
  </si>
  <si>
    <t>463232</t>
  </si>
  <si>
    <t>46-3232</t>
  </si>
  <si>
    <t>JNJ_463232</t>
  </si>
  <si>
    <t>Symmetry Karlin Curette Xl Magnum Cup Forward Angle 9 mm Tip Size 13 1/4 in</t>
  </si>
  <si>
    <t>PRODIGO1066505</t>
  </si>
  <si>
    <t>Karlin Curette Xl Magnum Cup Forward Angle 9 mm Tip Size 13-1/4 in NON STERILE LATEX</t>
  </si>
  <si>
    <t>CURETTE, SURGICAL, KARLIN, 9 MM, 13.25 IN, XL MAGNUM CUP, FORWARD, ANGLED, TIP, NON STERILE, LATEX</t>
  </si>
  <si>
    <t>CURETTE, SURG, KARLIN, 9 MM, 13.25 IN, XL MAG CUP, FORWARD, ANGLED, TIP, NS, LTX</t>
  </si>
  <si>
    <t>CURETTE, SURG, KARLIN, 9 MM, 13.25 IN, XL MAG CUP, FORWARD, ANGLED</t>
  </si>
  <si>
    <t>9 MM</t>
  </si>
  <si>
    <t>XL MAGNUM CUP, FORWARD, ANGLED, TIP</t>
  </si>
  <si>
    <t>https://shop.symmetrysurgical.com/en/product/sites-of-care-ambulatory-surgery-center/46-3232, https://accessgudid.nlm.nih.gov/devices/00887482015322</t>
  </si>
  <si>
    <t>463233</t>
  </si>
  <si>
    <t>46-3233</t>
  </si>
  <si>
    <t>JNJ_463233</t>
  </si>
  <si>
    <t>Symmetry Karlin Curette Xl Magnum Cup Forward Angle 11 mm Tip Size 13 1/4 in</t>
  </si>
  <si>
    <t>PRODIGO1066506</t>
  </si>
  <si>
    <t>Karlin Curette Xl Magnum Cup Forward Angle 11 mm Tip Size 13 1/4 in NON STERILE LATEX</t>
  </si>
  <si>
    <t>CURETTE, SURGICAL, KARLIN, 11 MM, 13.25 IN, XL MAGNUM CUP, FORWARD, ANGLED, TIP, NON STERILE, LATEX</t>
  </si>
  <si>
    <t>CURETTE, SURG, KARLIN, 11 MM, 13.25 IN, XL MAG CUP, FORWARD, ANGLED, TIP, NS, LTX</t>
  </si>
  <si>
    <t>CURETTE, SURG, KARLIN, 11 MM, 13.25 IN, XL MAG CUP, FORWARD, ANGLED</t>
  </si>
  <si>
    <t>11 MM</t>
  </si>
  <si>
    <t>https://shop.symmetrysurgical.com/en/product/sites-of-care-ambulatory-surgery-center/46-3233, https://accessgudid.nlm.nih.gov/devices/00887482015339</t>
  </si>
  <si>
    <t>463234</t>
  </si>
  <si>
    <t>46-3234</t>
  </si>
  <si>
    <t>JNJ_463234</t>
  </si>
  <si>
    <t>Symmetry Karlin Curette Xl Magnum Cup Down Pushing 7 mm Tip Size 13 1/4 in</t>
  </si>
  <si>
    <t>PRODIGO1066507</t>
  </si>
  <si>
    <t>Karlin Curette Xl Magnum Cup Down Pushing 7 mm Tip Size 13 1/4 in NON STERILE LATEX</t>
  </si>
  <si>
    <t>CURETTE, SURGICAL, KARLIN, 7 MM, 13.25 IN, XL MAGNUM CUP, DOWN PUSHING, TIP, NON STERILE, LATEX</t>
  </si>
  <si>
    <t>CURETTE, SURG, KARLIN, 7 MM, 13.25 IN, XL MAG CUP, DN PUSH, TIP, NS, LTX</t>
  </si>
  <si>
    <t>CURETTE, SURG, KARLIN, 7 MM, 13.25 IN, XL MAG CUP, DN PUSH, NS, LTX</t>
  </si>
  <si>
    <t>7 MM</t>
  </si>
  <si>
    <t>XL MAGNUM CUP, DOWN PUSHING, TIP</t>
  </si>
  <si>
    <t>https://shop.symmetrysurgical.com/en/product/sites-of-care-ambulatory-surgery-center/46-3234, https://accessgudid.nlm.nih.gov/devices/00887482015346</t>
  </si>
  <si>
    <t>463235</t>
  </si>
  <si>
    <t>46-3235</t>
  </si>
  <si>
    <t>JNJ_463235</t>
  </si>
  <si>
    <t>Symmetry Karlin Curette Xl Magnum Cup Down Pushing 9 mm Tip Size 13 1/4 in</t>
  </si>
  <si>
    <t>PRODIGO1066508</t>
  </si>
  <si>
    <t>Karlin Curette Xl Magnum Cup Down Pushing 9 mm Tip Size 13 1/4 in NON STERILE LATEX</t>
  </si>
  <si>
    <t>CURETTE, SURGICAL, KARLIN, 9 MM, 13.25 IN, XL MAGNUM CUP, DOWN PUSHING, TIP, NON STERILE, LATEX</t>
  </si>
  <si>
    <t>CURETTE, SURG, KARLIN, 9 MM, 13.25 IN, XL MAG CUP, DN PUSH, TIP, NS, LTX</t>
  </si>
  <si>
    <t>CURETTE, SURG, KARLIN, 9 MM, 13.25 IN, XL MAG CUP, DN PUSH, NS, LTX</t>
  </si>
  <si>
    <t>https://shop.symmetrysurgical.com/en/product/sites-of-care-ambulatory-surgery-center/46-3235, https://accessgudid.nlm.nih.gov/devices/00887482015353</t>
  </si>
  <si>
    <t>463236</t>
  </si>
  <si>
    <t>46-3236</t>
  </si>
  <si>
    <t>JNJ_463236</t>
  </si>
  <si>
    <t>Symmetry Karlin Curette Xl Magnum Cup Forward Straight 17 mm Tip Size 13 1/4 in</t>
  </si>
  <si>
    <t>PRODIGO1066509</t>
  </si>
  <si>
    <t>Karlin Curette Xl Magnum Cup Forward Straight 17 mm Tip Size 13 1/4 in NON STERILE LATEX</t>
  </si>
  <si>
    <t>CURETTE, SURGICAL, KARLIN, 17 MM, 13.25 IN, XL MAGNUM CUP, FORWARD, STRAIGHT, TIP, NON STERILE, LATEX</t>
  </si>
  <si>
    <t>CURETTE, SURG, KARLIN, 17 MM, 13.25 IN, XL MAG CUP, FORWARD, STR, TIP, NS, LTX</t>
  </si>
  <si>
    <t>CURETTE, SURG, KARLIN, 17 MM, 13.25 IN, XL MAG CUP, FORWARD, STR, NS</t>
  </si>
  <si>
    <t>17 MM</t>
  </si>
  <si>
    <t>https://shop.symmetrysurgical.com/en/product/sites-of-care-ambulatory-surgery-center/46-3236, https://accessgudid.nlm.nih.gov/devices/00887482015360</t>
  </si>
  <si>
    <t>463237</t>
  </si>
  <si>
    <t>46-3237</t>
  </si>
  <si>
    <t>JNJ_463237</t>
  </si>
  <si>
    <t>Symmetry Karlin Curette Xl Magnum Cup Forward Straight 19 mm Tip Size 13 1/4 in</t>
  </si>
  <si>
    <t>PRODIGO1066510</t>
  </si>
  <si>
    <t>Karlin Curette Xl Magnum Cup Forward Straight 19 mm Tip Size 13 1/4 in NON STERILE LATEX</t>
  </si>
  <si>
    <t>CURETTE, SURGICAL, KARLIN, 19 MM, 13.25 IN, XL MAGNUM CUP, FORWARD, STRAIGHT, TIP, NON STERILE, LATEX</t>
  </si>
  <si>
    <t>CURETTE, SURG, KARLIN, 19 MM, 13.25 IN, XL MAG CUP, FORWARD, STR, TIP, NS, LTX</t>
  </si>
  <si>
    <t>CURETTE, SURG, KARLIN, 19 MM, 13.25 IN, XL MAG CUP, FORWARD, STR, NS</t>
  </si>
  <si>
    <t>19 MM</t>
  </si>
  <si>
    <t>https://shop.symmetrysurgical.com/en/product/sites-of-care-ambulatory-surgery-center/46-3237, https://accessgudid.nlm.nih.gov/devices/00887482015377</t>
  </si>
  <si>
    <t>463411</t>
  </si>
  <si>
    <t>46-3411</t>
  </si>
  <si>
    <t>JNJ_463411</t>
  </si>
  <si>
    <t>Symmetry Karlin Curette PG Magnum Cup Forward Straight 7 mm Tip Size Handle Diameter 1 3/25 Inches Handle Length 7 4/5 Inches 4 7/10 in Working Length 12 3/5 in</t>
  </si>
  <si>
    <t>PRODIGO1066511</t>
  </si>
  <si>
    <t>Karlin Curette PG Magnum Cup Forward Straight 7 mm Tip Size Handle Diameter 1 3/25 Inches Handle Length 7 4/5 Inches 4 7/10 in Working Length 12 3/5 in NON STERILE LATEX</t>
  </si>
  <si>
    <t>CURETTE, SURGICAL, KARLIN, 7 MM, 4-7/10X12-3/5 IN, 1-3/25X7-4/5 IN, PG MAGNUM CUP, FORWARD, STRAIGHT, WITH HANDLE, TIP, NON STERILE, LATEX</t>
  </si>
  <si>
    <t>CURETTE, SURG, KARLIN, 7 MM, 4-7/10X12-3/5 IN, 1-3/25X7-4/5 IN, PG MAG CUP, FORWARD, STR, W/ HNDL, TIP, NS, LTX</t>
  </si>
  <si>
    <t>CURETTE, SURG, KARLIN, 7 MM, 4-7/10X12-3/5 IN, 1-3/25 IN, STR</t>
  </si>
  <si>
    <t>4-7/10X12-3/5 IN</t>
  </si>
  <si>
    <t>1-3/25X7-4/5 IN</t>
  </si>
  <si>
    <t>PG MAGNUM CUP, FORWARD, STRAIGHT, WITH HANDLE, TIP</t>
  </si>
  <si>
    <t>https://shop.symmetrysurgical.com/en/product/sites-of-care-ambulatory-surgery-center/46-3411, https://accessgudid.nlm.nih.gov/devices/00887482015544</t>
  </si>
  <si>
    <t>463412</t>
  </si>
  <si>
    <t>46-3412</t>
  </si>
  <si>
    <t>JNJ_463412</t>
  </si>
  <si>
    <t>Symmetry Karlin Curette PG Magnum Cup Forward Straight 9 mm Tip Size Handle Diameter 1 3/25 Inches Handle Length 7 4/5 Inches 4 7/10 in Working Length 12 3/5 in</t>
  </si>
  <si>
    <t>PRODIGO1066512</t>
  </si>
  <si>
    <t>Karlin Curette PG Magnum Cup Forward Straight 9 mm Tip Size Handle Diameter 1 3/25 Inches Handle Length 7 4/5 Inches 4 7/10 in Working Length 12 3/5 in NON STERILE LATEX</t>
  </si>
  <si>
    <t>CURETTE, SURGICAL, KARLIN, 9 MM, 4-7/10X12-3/5 IN, 1-3/25X7-4/5 IN, PG MAGNUM CUP, FORWARD, STRAIGHT, WITH HANDLE, TIP, NON STERILE, LATEX</t>
  </si>
  <si>
    <t>CURETTE, SURG, KARLIN, 9 MM, 4-7/10X12-3/5 IN, 1-3/25X7-4/5 IN, PG MAG CUP, FORWARD, STR, W/ HNDL, TIP, NS, LTX</t>
  </si>
  <si>
    <t>CURETTE, SURG, KARLIN, 9 MM, 4-7/10X12-3/5 IN, 1-3/25X7-4/5 IN</t>
  </si>
  <si>
    <t>https://shop.symmetrysurgical.com/en/product/sites-of-care-ambulatory-surgery-center/46-3412, https://accessgudid.nlm.nih.gov/devices/00887482015551</t>
  </si>
  <si>
    <t>463413</t>
  </si>
  <si>
    <t>46-3413</t>
  </si>
  <si>
    <t>JNJ_463413</t>
  </si>
  <si>
    <t>Symmetry Karlin Curette PG Magnum Cup Forward Straight 11 mm Tip Size Handle Diameter 1 3/25 Inches Handle Length 7 4/5 Inches 4 7/10 in Working Length 12 3/5 in</t>
  </si>
  <si>
    <t>PRODIGO1066513</t>
  </si>
  <si>
    <t>Karlin Curette PG Magnum Cup Forward Straight 11 mm Tip Size Handle Diameter 1 3/25 Inches Handle Length 7 4/5 Inches 4 7/10 in Working Length 12 3/5 in NON STERILE LATEX</t>
  </si>
  <si>
    <t>CURETTE, SURGICAL, KARLIN, 11 MM, 4-7/10X12-3/5 IN, 1-3/25X7-4/5 IN, PG MAGNUM CUP, FORWARD, STRAIGHT, WITH HANDLE, TIP, NON STERILE, LATEX</t>
  </si>
  <si>
    <t>CURETTE, SURG, KARLIN, 11 MM, 4-7/10X12-3/5 IN, 1-3/25X7-4/5 IN, PG MAG CUP, FORWARD, STR, W/ HNDL, TIP, NS, LTX</t>
  </si>
  <si>
    <t>CURETTE, SURG, KARLIN, 11 MM, 4-7/10X12-3/5 IN, 1-3/25 IN, STR</t>
  </si>
  <si>
    <t>https://shop.symmetrysurgical.com/en/product/sites-of-care-ambulatory-surgery-center/46-3413, https://accessgudid.nlm.nih.gov/devices/00887482015568</t>
  </si>
  <si>
    <t>463414</t>
  </si>
  <si>
    <t>46-3414</t>
  </si>
  <si>
    <t>JNJ_463414</t>
  </si>
  <si>
    <t>Symmetry Karlin Curette PG Magnum Cup Forward Straight 13 mm Tip Size Handle Diameter 1 3/25 Inches Handle Length 7 4/5 Inches 4 7/10 in Working Length 12 3/5 in</t>
  </si>
  <si>
    <t>PRODIGO1066514</t>
  </si>
  <si>
    <t>Karlin Curette PG Magnum Cup Forward Straight 13 mm Tip Size Handle Diameter 1 3/25 Inches Handle Length 7 4/5 Inches 4 7/10 in Working Length 12 3/5 in NON STERILE LATEX</t>
  </si>
  <si>
    <t>CURETTE, SURGICAL, KARLIN, 13 MM, 4-7/10X12-3/5 IN, 1-3/25X7-4/5 IN, PG MAGNUM CUP, FORWARD, STRAIGHT, WITH HANDLE, TIP, NON STERILE, LATEX</t>
  </si>
  <si>
    <t>CURETTE, SURG, KARLIN, 13 MM, 4-7/10X12-3/5 IN, 1-3/25X7-4/5 IN, PG MAG CUP, FORWARD, STR, W/ HNDL, TIP, NS, LTX</t>
  </si>
  <si>
    <t>CURETTE, SURG, KARLIN, 13 MM, 4-7/10X12-3/5 IN, 1-3/25X7-4/5 IN</t>
  </si>
  <si>
    <t>13 MM</t>
  </si>
  <si>
    <t>https://shop.symmetrysurgical.com/en/product/sites-of-care-ambulatory-surgery-center/46-3414, https://accessgudid.nlm.nih.gov/devices/00887482015575</t>
  </si>
  <si>
    <t>463415</t>
  </si>
  <si>
    <t>46-3415</t>
  </si>
  <si>
    <t>JNJ_463415</t>
  </si>
  <si>
    <t>Symmetry Karlin Curette PG Magnum Cup Forward Straight 15 mm Tip Size Handle Diameter 1 3/25 Inches Handle Length 7 4/5 Inches 4 7/10 in Working Length 12 3/5 in</t>
  </si>
  <si>
    <t>PRODIGO1066515</t>
  </si>
  <si>
    <t>Karlin Curette PG Magnum Cup Forward Straight 15 mm Tip Size Handle Diameter 1 3/25 Inches Handle Length 7 4/5 Inches 4 7/10 in Working Length 12 3/5 in NON STERILE LATEX</t>
  </si>
  <si>
    <t>CURETTE, SURGICAL, KARLIN, 15 MM, 4-7/10X12-3/5 IN, 1-3/25X7-4/5 IN, PG MAGNUM CUP, FORWARD, STRAIGHT, WITH HANDLE, TIP, NON STERILE, LATEX</t>
  </si>
  <si>
    <t>CURETTE, SURG, KARLIN, 15 MM, 4-7/10X12-3/5 IN, 1-3/25X7-4/5 IN, PG MAG CUP, FORWARD, STR, W/ HNDL, TIP, NS, LTX</t>
  </si>
  <si>
    <t>CURETTE, SURG, KARLIN, 15 MM, 4-7/10X12-3/5 IN, 1-3/25X7-4/5 IN</t>
  </si>
  <si>
    <t>https://shop.symmetrysurgical.com/en/product/sites-of-care-ambulatory-surgery-center/46-3415, https://accessgudid.nlm.nih.gov/devices/00887482015582</t>
  </si>
  <si>
    <t>463416</t>
  </si>
  <si>
    <t>46-3416</t>
  </si>
  <si>
    <t>JNJ_463416</t>
  </si>
  <si>
    <t>Symmetry Karlin Curette PG Magnum Cup Forward Straight 17 mm Tip Size Handle Diameter 1 3/25 Inches Handle Length 7 4/5 Inches 4 7/10 in Working Length 12 3/5 in</t>
  </si>
  <si>
    <t>PRODIGO1066516</t>
  </si>
  <si>
    <t>Karlin Curette PG Magnum Cup Forward Straight 17 mm Tip Size Handle Diameter 1 3/25 Inches Handle Length 7 4/5 Inches 4 7/10 in Working Length 12 3/5 in NON STERILE LATEX</t>
  </si>
  <si>
    <t>CURETTE, SURGICAL, KARLIN, 17 MM, 4-7/10X12-3/5 IN, 1-3/25X7-4/5 IN, PG MAGNUM CUP, FORWARD, STRAIGHT, WITH HANDLE, TIP, NON STERILE, LATEX</t>
  </si>
  <si>
    <t>CURETTE, SURG, KARLIN, 17 MM, 4-7/10X12-3/5 IN, 1-3/25X7-4/5 IN, PG MAG CUP, FORWARD, STR, W/ HNDL, TIP, NS, LTX</t>
  </si>
  <si>
    <t>CURETTE, SURG, KARLIN, 17 MM, 4-7/10X12-3/5 IN, 1-3/25X7-4/5 IN</t>
  </si>
  <si>
    <t>https://shop.symmetrysurgical.com/en/product/sites-of-care-ambulatory-surgery-center/46-3416, https://accessgudid.nlm.nih.gov/devices/00887482015599</t>
  </si>
  <si>
    <t>463417</t>
  </si>
  <si>
    <t>46-3417</t>
  </si>
  <si>
    <t>JNJ_463417</t>
  </si>
  <si>
    <t>Symmetry Karlin Curette PG Magnum Cup Forward Straight 19 mm Tip Size Handle Diameter 1 3/25 Inches Handle Length 7 4/5 Inches 4 7/10 in Working Length 12 3/5 in</t>
  </si>
  <si>
    <t>PRODIGO1066517</t>
  </si>
  <si>
    <t>Karlin Curette PG Magnum Cup Forward Straight 19 mm Tip Size Handle Diameter 1 3/25 Inches Handle Length 7 4/5 Inches 4 7/10 in Working Length 12 3/5 in NON STERILE LATEX</t>
  </si>
  <si>
    <t>CURETTE, SURGICAL, KARLIN, 19 MM, 4-7/10X12-3/5 IN, 1-3/25X7-4/5 IN, PG MAGNUM CUP, FORWARD, STRAIGHT, WITH HANDLE, TIP, NON STERILE, LATEX</t>
  </si>
  <si>
    <t>CURETTE, SURG, KARLIN, 19 MM, 4-7/10X12-3/5 IN, 1-3/25X7-4/5 IN, PG MAG CUP, FORWARD, STR, W/ HNDL, TIP, NS, LTX</t>
  </si>
  <si>
    <t>CURETTE, SURG, KARLIN, 19 MM, 4-7/10X12-3/5 IN, 1-3/25X7-4/5 IN</t>
  </si>
  <si>
    <t>https://shop.symmetrysurgical.com/en/product/sites-of-care-ambulatory-surgery-center/46-3417, https://accessgudid.nlm.nih.gov/devices/00887482015605</t>
  </si>
  <si>
    <t>463418</t>
  </si>
  <si>
    <t>46-3418</t>
  </si>
  <si>
    <t>JNJ_463418</t>
  </si>
  <si>
    <t>Symmetry Karlin Curette PG Magnum Cup Forward Angle 7 mm Tip Size Handle Diameter 1 3/25 Inches Handle Length 7 4/5 Inches 4 7/10 in Working Length 12 3/5 in</t>
  </si>
  <si>
    <t>PRODIGO1066518</t>
  </si>
  <si>
    <t>Karlin Curette PG Magnum Cup Forward Angle 7 mm Tip Size Handle Diameter 1 3/25 Inches Handle Length 7 4/5 Inches 4 7/10 in Working Length 12 3/5 in NON STERILE LATEX</t>
  </si>
  <si>
    <t>CURETTE, SURGICAL, KARLIN, 7 MM, 4-7/10X12-3/5 IN, 1-3/25X7-4/5 IN, PG MAGNUM CUP, FORWARD, ANGLED, WITH HANDLE, TIP, NON STERILE, LATEX</t>
  </si>
  <si>
    <t>CURETTE, SURG, KARLIN, 7 MM, 4-7/10X12-3/5 IN, 1-3/25X7-4/5 IN, PG MAG CUP, FORWARD, ANGLED, W/ HNDL, TIP, NS, LTX</t>
  </si>
  <si>
    <t>CURETTE, SURG, KARLIN, 7 MM, 4-7/10X12-3/5 IN, 1-3/25 IN, ANGLED</t>
  </si>
  <si>
    <t>PG MAGNUM CUP, FORWARD, ANGLED, WITH HANDLE, TIP</t>
  </si>
  <si>
    <t>https://shop.symmetrysurgical.com/en/product/sites-of-care-ambulatory-surgery-center/46-3418, https://accessgudid.nlm.nih.gov/devices/00887482015612</t>
  </si>
  <si>
    <t>463420</t>
  </si>
  <si>
    <t>46-3420</t>
  </si>
  <si>
    <t>JNJ_463420</t>
  </si>
  <si>
    <t>Symmetry Karlin Curette PG Magnum Cup Forward Angle 11 mm Tip Size Handle Diameter 1 3/25 Inches Handle Length 7 4/5 Inches 4 7/10 in Working Length 12 3/5 in</t>
  </si>
  <si>
    <t>PRODIGO1066519</t>
  </si>
  <si>
    <t>Karlin Curette PG Magnum Cup Forward Angle 11 mm Tip Size Handle Diameter 1 3/25 Inches Handle Length 7 4/5 Inches 4 7/10 in Working Length 12 3/5 in NON STERILE LATEX</t>
  </si>
  <si>
    <t>CURETTE, SURGICAL, KARLIN, 11 MM, 4-7/10X12-3/5 IN, 1-3/25X7-4/5 IN, PG MAGNUM CUP, FORWARD, ANGLED, WITH HANDLE, TIP, NON STERILE, LATEX</t>
  </si>
  <si>
    <t>CURETTE, SURG, KARLIN, 11 MM, 4-7/10X12-3/5 IN, 1-3/25X7-4/5 IN, PG MAG CUP, FORWARD, ANGLED, W/ HNDL, TIP, NS, LTX</t>
  </si>
  <si>
    <t>CURETTE, SURG, KARLIN, 11 MM, 4-7/10X12-3/5 IN, 1-3/25 IN, ANGLED</t>
  </si>
  <si>
    <t>https://shop.symmetrysurgical.com/en/product/sites-of-care-ambulatory-surgery-center/46-3420, https://accessgudid.nlm.nih.gov/devices/00887482015636</t>
  </si>
  <si>
    <t>501530</t>
  </si>
  <si>
    <t>50-1530</t>
  </si>
  <si>
    <t>JNJ_501530</t>
  </si>
  <si>
    <t>Greenberg Retractor Tapered Blade Width 1/4 in x 3/4 in (6 mm x 19 mm) 9 in 229 mm</t>
  </si>
  <si>
    <t>PRODIGO1066520</t>
  </si>
  <si>
    <t>Greenberg Retractor Tapered Blade Width 1/4 in x 3/4 in (6 mm x 19 mm) 9 in 229 mm NON STERILE LATEX</t>
  </si>
  <si>
    <t>BLADE, RETRACTOR, TAPERED, 229X6X19 MM, NON STERILE, GREENBERG, LATEX</t>
  </si>
  <si>
    <t>BLADE, RETRACTOR, TAPR, 229X6X19 MM, NS, GREENBERG, LTX</t>
  </si>
  <si>
    <t>TAPERED</t>
  </si>
  <si>
    <t>229X6X19 MM</t>
  </si>
  <si>
    <t>GREENBERG</t>
  </si>
  <si>
    <t>1/4X3/4 IN, 9 IN</t>
  </si>
  <si>
    <t>https://shop.symmetrysurgical.com/en/product/sites-of-care-ambulatory-surgery-center/50-1530, https://accessgudid.nlm.nih.gov/devices/00887482017401</t>
  </si>
  <si>
    <t>501532</t>
  </si>
  <si>
    <t>50-1532</t>
  </si>
  <si>
    <t>JNJ_501532</t>
  </si>
  <si>
    <t>Greenberg Retractor Tapered Blade Width 1/8 in x 1/2 in (3 mm x 13 mm) 9 in 229 mm</t>
  </si>
  <si>
    <t>PRODIGO1066521</t>
  </si>
  <si>
    <t>Greenberg Retractor Tapered Blade Width 1/8 in x 1/2 in (3 mm x 13 mm) 9 in 229 mm NON STERILE LATEX</t>
  </si>
  <si>
    <t>BLADE, RETRACTOR, TAPERED, 229X3X13 MM, NON STERILE, GREENBERG, LATEX</t>
  </si>
  <si>
    <t>BLADE, RETRACTOR, TAPR, 229X3X13 MM, NS, GREENBERG, LTX</t>
  </si>
  <si>
    <t>229X3X13 MM</t>
  </si>
  <si>
    <t>1/8X1/2 IN, 9 IN</t>
  </si>
  <si>
    <t>https://shop.symmetrysurgical.com/en/product/sites-of-care-ambulatory-surgery-center/50-1532, https://accessgudid.nlm.nih.gov/devices/00887482017425</t>
  </si>
  <si>
    <t>501533</t>
  </si>
  <si>
    <t>50-1533</t>
  </si>
  <si>
    <t>JNJ_501533</t>
  </si>
  <si>
    <t>Greenberg Retractor Tapered Blade Width  3/32 in x 3/8 in (2mm x 10 mm) 9 in 229 mm</t>
  </si>
  <si>
    <t>PRODIGO1066522</t>
  </si>
  <si>
    <t>Greenberg Retractor Tapered Blade Width 3/32 in x 3/8 in (2mm x 10 mm) 9 in 229 mm NON STERILE LATEX</t>
  </si>
  <si>
    <t>BLADE, RETRACTOR, TAPERED, 229X2X10 MM, NON STERILE, GREENBERG, LATEX</t>
  </si>
  <si>
    <t>BLADE, RETRACTOR, TAPR, 229X2X10 MM, NS, GREENBERG, LTX</t>
  </si>
  <si>
    <t>229X2X10 MM</t>
  </si>
  <si>
    <t>3/32X3/8 IN, 9 IN</t>
  </si>
  <si>
    <t>https://shop.symmetrysurgical.com/en/product/sites-of-care-ambulatory-surgery-center/50-1533, https://accessgudid.nlm.nih.gov/devices/00887482017432</t>
  </si>
  <si>
    <t>501534</t>
  </si>
  <si>
    <t>50-1534</t>
  </si>
  <si>
    <t>JNJ_501534</t>
  </si>
  <si>
    <t>Greenberg Retractor Tapered Blade Width 1/16 in x 1/4 in (1.6 mm x 19 mm) 9 in 228.5 mm</t>
  </si>
  <si>
    <t>PRODIGO1066523</t>
  </si>
  <si>
    <t>Greenberg Retractor Tapered Blade Width 1/16 in x 1/4 in (1.6 mm x 19 mm) 9 in 228.5 mm NON STERILE LATEX</t>
  </si>
  <si>
    <t>BLADE, RETRACTOR, TAPERED, 228.5X1.6X19 MM, NON STERILE, GREENBERG, LATEX</t>
  </si>
  <si>
    <t>BLADE, RETRACTOR, TAPR, 228.5X1.6X19 MM, NS, GREENBERG, LTX</t>
  </si>
  <si>
    <t>228.5X1.6X19 MM</t>
  </si>
  <si>
    <t>1/16X1/4 IN, 9 IN</t>
  </si>
  <si>
    <t>https://shop.symmetrysurgical.com/en/product/sites-of-care-ambulatory-surgery-center/50-1534, https://accessgudid.nlm.nih.gov/devices/00887482017449</t>
  </si>
  <si>
    <t>504647</t>
  </si>
  <si>
    <t>50-4647</t>
  </si>
  <si>
    <t>JNJ_504647</t>
  </si>
  <si>
    <t>Bookwalter Case Spinal Sterilizing 13 1/2 in Wide 19 1/2 in</t>
  </si>
  <si>
    <t>PRODIGO1066524</t>
  </si>
  <si>
    <t>CASE, INSTRUMENT, STERILIZING, 19.5X13.5 IN, SPINAL, BOOKWALTER</t>
  </si>
  <si>
    <t>CASE, INSTRUMENT, STERILIZING, 19.5X13.5 IN, SPNL, BOOKWALTER</t>
  </si>
  <si>
    <t>STERILIZING</t>
  </si>
  <si>
    <t>19.5X13.5 IN</t>
  </si>
  <si>
    <t>SPINAL</t>
  </si>
  <si>
    <t>BOOKWALTER</t>
  </si>
  <si>
    <t>https://shop.symmetrysurgical.com/en/product/sites-of-care-ambulatory-surgery-center/50-4647</t>
  </si>
  <si>
    <t>505580</t>
  </si>
  <si>
    <t>50-5580</t>
  </si>
  <si>
    <t>JNJ_505580</t>
  </si>
  <si>
    <t>Bookwalter Retractor Blade 1 in x 4 in (25 mm x 102 mm) Radiolucent Titanium</t>
  </si>
  <si>
    <t>PRODIGO1066525</t>
  </si>
  <si>
    <t>Bookwalter Retractor Blade 1 in x 4 in (25 mm x 102 mm) Radiolucent Titanium Low Glare Gold Coating NON STERILE LATEX</t>
  </si>
  <si>
    <t>BLADE, RETRACTOR, RADIOLUCENT, 102X25 MM, TITANIUM, LOW GLARE GOLD COATING, NON STERILE, BOOKWALTER, LATEX</t>
  </si>
  <si>
    <t>BLADE, RETRACTOR, RADLUC, 102X25 MM, TI, LO GLARE GLD COAT, NS, BOOKWALTER, LTX</t>
  </si>
  <si>
    <t>BLADE, RETRACTOR, RADLUC, 102X25 MM, TI, GLD COAT, BOOKWALTER</t>
  </si>
  <si>
    <t>RADIOLUCENT</t>
  </si>
  <si>
    <t>102X25 MM</t>
  </si>
  <si>
    <t>TITANIUM, LOW GLARE GOLD COATING</t>
  </si>
  <si>
    <t>1X4 IN</t>
  </si>
  <si>
    <t>https://shop.symmetrysurgical.com/en/product/sites-of-care-ambulatory-surgery-center/50-5580, https://accessgudid.nlm.nih.gov/devices/00887482033876</t>
  </si>
  <si>
    <t>505581</t>
  </si>
  <si>
    <t>50-5581</t>
  </si>
  <si>
    <t>JNJ_505581</t>
  </si>
  <si>
    <t>Bookwalter Retractor Blade 1 in x 5 in (25 mm x 127 mm) Radiolucent Titanium</t>
  </si>
  <si>
    <t>PRODIGO1066526</t>
  </si>
  <si>
    <t>Bookwalter Retractor Blade 1 in x 5 in (25 mm x 127 mm) Radiolucent Titanium Low Glare Gold Coating NON STERILE LATEX</t>
  </si>
  <si>
    <t>BLADE, RETRACTOR, RADIOLUCENT, 127X25 MM, TITANIUM, LOW GLARE GOLD COATING, NON STERILE, BOOKWALTER, LATEX</t>
  </si>
  <si>
    <t>BLADE, RETRACTOR, RADLUC, 127X25 MM, TI, LO GLARE GLD COAT, NS, BOOKWALTER, LTX</t>
  </si>
  <si>
    <t>BLADE, RETRACTOR, RADLUC, 127X25 MM, TI, GLD COAT, BOOKWALTER</t>
  </si>
  <si>
    <t>127X25 MM</t>
  </si>
  <si>
    <t>1X5 IN</t>
  </si>
  <si>
    <t>https://shop.symmetrysurgical.com/en/product/sites-of-care-ambulatory-surgery-center/50-5581, https://accessgudid.nlm.nih.gov/devices/00887482033883</t>
  </si>
  <si>
    <t>505582</t>
  </si>
  <si>
    <t>50-5582</t>
  </si>
  <si>
    <t>JNJ_505582</t>
  </si>
  <si>
    <t>Bookwalter Retractor Blade Radiolucent Titanium 25.0 mm x 152.0 mm</t>
  </si>
  <si>
    <t>PRODIGO1066527</t>
  </si>
  <si>
    <t>Bookwalter Retractor Blade Radiolucent Titanium 25.0 mm x 152.0 mm Low Glare Gold Coating NON STERILE LATEX</t>
  </si>
  <si>
    <t>BLADE, RETRACTOR, RADIOLUCENT, 152X25 MM, TITANIUM, LOW GLARE GOLD COATING, NON STERILE, BOOKWALTER, LATEX</t>
  </si>
  <si>
    <t>BLADE, RETRACTOR, RADLUC, 152X25 MM, TI, LO GLARE GLD COAT, NS, BOOKWALTER, LTX</t>
  </si>
  <si>
    <t>BLADE, RETRACTOR, RADLUC, 152X25 MM, TI, GLD COAT, BOOKWALTER</t>
  </si>
  <si>
    <t>152X25 MM</t>
  </si>
  <si>
    <t>https://shop.symmetrysurgical.com/en/product/sites-of-care-ambulatory-surgery-center/50-5582, https://accessgudid.nlm.nih.gov/devices/00887482033890</t>
  </si>
  <si>
    <t>505583</t>
  </si>
  <si>
    <t>50-5583</t>
  </si>
  <si>
    <t>JNJ_505583</t>
  </si>
  <si>
    <t>Bookwalter Retractor Blade 1 in x 7 in (25 mm x 180 mm) Radiolucent Titanium</t>
  </si>
  <si>
    <t>PRODIGO1066528</t>
  </si>
  <si>
    <t>Bookwalter Retractor Blade 1 in x 7 in (25 mm x 180 mm) Radiolucent Titanium Low Glare Gold Coating NON STERILE LATEX</t>
  </si>
  <si>
    <t>BLADE, RETRACTOR, RADIOLUCENT, 180X25 MM, TITANIUM, LOW GLARE GOLD COATING, NON STERILE, BOOKWALTER, LATEX</t>
  </si>
  <si>
    <t>BLADE, RETRACTOR, RADLUC, 180X25 MM, TI, LO GLARE GLD COAT, NS, BOOKWALTER, LTX</t>
  </si>
  <si>
    <t>BLADE, RETRACTOR, RADLUC, 180X25 MM, TI, GLD COAT, BOOKWALTER</t>
  </si>
  <si>
    <t>180X25 MM</t>
  </si>
  <si>
    <t>1X7 IN</t>
  </si>
  <si>
    <t>https://shop.symmetrysurgical.com/en/product/sites-of-care-ambulatory-surgery-center/50-5583, https://accessgudid.nlm.nih.gov/devices/00887482033906</t>
  </si>
  <si>
    <t>505584</t>
  </si>
  <si>
    <t>50-5584</t>
  </si>
  <si>
    <t>JNJ_505584</t>
  </si>
  <si>
    <t>Bookwalter Retractor Blade Radiolucent Titanium 25.0 mm x 203.0 mm</t>
  </si>
  <si>
    <t>PRODIGO1066529</t>
  </si>
  <si>
    <t>Bookwalter Retractor Blade Radiolucent Titanium 25.0 mm x 203.0 mm Low Glare Gold Coating NON STERILE LATEX</t>
  </si>
  <si>
    <t>BLADE, RETRACTOR, RADIOLUCENT, 203X25 MM, TITANIUM, LOW GLARE GOLD COATING, NON STERILE, BOOKWALTER, LATEX</t>
  </si>
  <si>
    <t>BLADE, RETRACTOR, RADLUC, 203X25 MM, TI, LO GLARE GLD COAT, NS, BOOKWALTER, LTX</t>
  </si>
  <si>
    <t>BLADE, RETRACTOR, RADLUC, 203X25 MM, TI, GLD COAT, BOOKWALTER</t>
  </si>
  <si>
    <t>203X25 MM</t>
  </si>
  <si>
    <t>https://shop.symmetrysurgical.com/en/product/sites-of-care-ambulatory-surgery-center/50-5584, https://accessgudid.nlm.nih.gov/devices/00887482033913</t>
  </si>
  <si>
    <t>505585</t>
  </si>
  <si>
    <t>50-5585</t>
  </si>
  <si>
    <t>JNJ_505585</t>
  </si>
  <si>
    <t>Bookwalter Retractor Blade 2 in x 4 in (51 mm x 102 mm) Radiolucent Titanium</t>
  </si>
  <si>
    <t>PRODIGO1066530</t>
  </si>
  <si>
    <t>Bookwalter Retractor Blade 2 in x 4 in (51 mm x 102 mm) Radiolucent Titanium Low Glare Gold Coating NON STERILE LATEX</t>
  </si>
  <si>
    <t>BLADE, RETRACTOR, RADIOLUCENT, 102X51 MM, TITANIUM, LOW GLARE GOLD COATING, NON STERILE, BOOKWALTER, LATEX</t>
  </si>
  <si>
    <t>BLADE, RETRACTOR, RADLUC, 102X51 MM, TI, LO GLARE GLD COAT, NS, BOOKWALTER, LTX</t>
  </si>
  <si>
    <t>BLADE, RETRACTOR, RADLUC, 102X51 MM, TI, GLD COAT, BOOKWALTER</t>
  </si>
  <si>
    <t>102X51 MM</t>
  </si>
  <si>
    <t>2x4 IN</t>
  </si>
  <si>
    <t>https://shop.symmetrysurgical.com/en/product/sites-of-care-ambulatory-surgery-center/50-5585, https://accessgudid.nlm.nih.gov/devices/00887482033920</t>
  </si>
  <si>
    <t>505586</t>
  </si>
  <si>
    <t>50-5586</t>
  </si>
  <si>
    <t>JNJ_505586</t>
  </si>
  <si>
    <t>Bookwalter Retractor Blade Radiolucent Titanium 51.0 mm x 127.0 mm</t>
  </si>
  <si>
    <t>PRODIGO1066531</t>
  </si>
  <si>
    <t>Bookwalter Retractor Blade Radiolucent Titanium 51.0 mm x 127.0 mm Low Glare Gold Coating NON STERILE LATEX</t>
  </si>
  <si>
    <t>BLADE, RETRACTOR, RADIOLUCENT, 127X51 MM, TITANIUM, LOW GLARE GOLD COATING, NON STERILE, BOOKWALTER, LATEX</t>
  </si>
  <si>
    <t>BLADE, RETRACTOR, RADLUC, 127X51 MM, TI, LO GLARE GLD COAT, NS, BOOKWALTER, LTX</t>
  </si>
  <si>
    <t>BLADE, RETRACTOR, RADLUC, 127X51 MM, TI, GLD COAT, BOOKWALTER</t>
  </si>
  <si>
    <t>127X51 MM</t>
  </si>
  <si>
    <t>https://shop.symmetrysurgical.com/en/product/sites-of-care-ambulatory-surgery-center/50-5586, https://accessgudid.nlm.nih.gov/devices/00887482033937</t>
  </si>
  <si>
    <t>505587</t>
  </si>
  <si>
    <t>50-5587</t>
  </si>
  <si>
    <t>JNJ_505587</t>
  </si>
  <si>
    <t>Bookwalter Retractor Blade 2 in x 6 in (51 mm x 152 mm) Radiolucent Titanium</t>
  </si>
  <si>
    <t>PRODIGO1066532</t>
  </si>
  <si>
    <t>Bookwalter Retractor Blade 2 in x 6 in (51 mm x 152 mm) Radiolucent Titanium Low Glare Gold Coating NON STERILE LATEX</t>
  </si>
  <si>
    <t>BLADE, RETRACTOR, RADIOLUCENT, 152X51 MM, TITANIUM, LOW GLARE GOLD COATING, NON STERILE, BOOKWALTER, LATEX</t>
  </si>
  <si>
    <t>BLADE, RETRACTOR, RADLUC, 152X51 MM, TI, LO GLARE GLD COAT, NS, BOOKWALTER, LTX</t>
  </si>
  <si>
    <t>BLADE, RETRACTOR, RADLUC, 152X51 MM, TI, GLD COAT, BOOKWALTER</t>
  </si>
  <si>
    <t>152X51 MM</t>
  </si>
  <si>
    <t>2X6 IN</t>
  </si>
  <si>
    <t>https://shop.symmetrysurgical.com/en/product/sites-of-care-ambulatory-surgery-center/50-5587, https://accessgudid.nlm.nih.gov/devices/00887482033944</t>
  </si>
  <si>
    <t>505588</t>
  </si>
  <si>
    <t>50-5588</t>
  </si>
  <si>
    <t>JNJ_505588</t>
  </si>
  <si>
    <t>Bookwalter Retractor Blade Radiolucent Titanium 51.0 mm x 180.0 mm</t>
  </si>
  <si>
    <t>PRODIGO1066533</t>
  </si>
  <si>
    <t>Bookwalter Retractor Blade Radiolucent Titanium 51.0 mm x 180.0 mm Low Glare Gold Coating NON STERILE LATEX</t>
  </si>
  <si>
    <t>BLADE, RETRACTOR, RADIOLUCENT, 180X51 MM, TITANIUM, LOW GLARE GOLD COATING, NON STERILE, BOOKWALTER, LATEX</t>
  </si>
  <si>
    <t>BLADE, RETRACTOR, RADLUC, 180X51 MM, TI, LO GLARE GLD COAT, NS, BOOKWALTER, LTX</t>
  </si>
  <si>
    <t>BLADE, RETRACTOR, RADLUC, 180X51 MM, TI, GLD COAT, BOOKWALTER</t>
  </si>
  <si>
    <t>180X51 MM</t>
  </si>
  <si>
    <t>https://shop.symmetrysurgical.com/en/product/sites-of-care-ambulatory-surgery-center/50-5588, https://accessgudid.nlm.nih.gov/devices/00887482033951</t>
  </si>
  <si>
    <t>505589</t>
  </si>
  <si>
    <t>50-5589</t>
  </si>
  <si>
    <t>JNJ_505589</t>
  </si>
  <si>
    <t>Bookwalter Retractor Blade 2 in x 8 in (51 mm x 203 mm) Radiolucent Titanium</t>
  </si>
  <si>
    <t>PRODIGO1066534</t>
  </si>
  <si>
    <t>Bookwalter Retractor Blade 2 in x 8 in (51 mm x 203 mm) Radiolucent Titanium Low Glare Gold Coating NON STERILE LATEX</t>
  </si>
  <si>
    <t>BLADE, RETRACTOR, RADIOLUCENT, 203X51 MM, TITANIUM, LOW GLARE GOLD COATING, NON STERILE, BOOKWALTER, LATEX</t>
  </si>
  <si>
    <t>BLADE, RETRACTOR, RADLUC, 203X51 MM, TI, LO GLARE GLD COAT, NS, BOOKWALTER, LTX</t>
  </si>
  <si>
    <t>BLADE, RETRACTOR, RADLUC, 203X51 MM, TI, GLD COAT, BOOKWALTER</t>
  </si>
  <si>
    <t>203X51 MM</t>
  </si>
  <si>
    <t>2X8 IN</t>
  </si>
  <si>
    <t>https://shop.symmetrysurgical.com/en/product/sites-of-care-ambulatory-surgery-center/50-5589, https://accessgudid.nlm.nih.gov/devices/00887482033968</t>
  </si>
  <si>
    <t>510607</t>
  </si>
  <si>
    <t>51-0607</t>
  </si>
  <si>
    <t>JNJ_510607</t>
  </si>
  <si>
    <t>Symmetry Dilator Bakes Common Duct 7.0 mm Tip 11 3/4 in 298 mm</t>
  </si>
  <si>
    <t>PRODIGO1066535</t>
  </si>
  <si>
    <t>42292601  Surgical dilators</t>
  </si>
  <si>
    <t>Dilator Bakes Common Duct 7.0 mm Tip 11 3/4 in 298 mm NON STERILE LATEX</t>
  </si>
  <si>
    <t>DILATOR, SURGICAL, BAKES, 7 MM, 298 MM, COMMON DUCT, WITH TIP, NON STERILE, LATEX</t>
  </si>
  <si>
    <t>DILATOR, SURG, BAKES, 7 MM, 298 MM, COMMON DUCT, W/ TIP, NS, LTX</t>
  </si>
  <si>
    <t>DILATOR</t>
  </si>
  <si>
    <t>BAKES</t>
  </si>
  <si>
    <t>298 MM</t>
  </si>
  <si>
    <t>COMMON DUCT</t>
  </si>
  <si>
    <t>WITH TIP</t>
  </si>
  <si>
    <t>11.75 IN</t>
  </si>
  <si>
    <t>https://shop.symmetrysurgical.com/en/product/sites-of-care-ambulatory-surgery-center/51-0607, https://accessgudid.nlm.nih.gov/devices/00887482037683</t>
  </si>
  <si>
    <t>510609</t>
  </si>
  <si>
    <t>51-0609</t>
  </si>
  <si>
    <t>JNJ_510609</t>
  </si>
  <si>
    <t>Symmetry Dilator Bakes Common Duct 9.0 mm Tip 11 3/4 in 298 mm</t>
  </si>
  <si>
    <t>PRODIGO1066536</t>
  </si>
  <si>
    <t>Dilator Bakes Common Duct 9.0 mm Tip 11 3/4 in 298 mm NON STERILE LATEX</t>
  </si>
  <si>
    <t>DILATOR, SURGICAL, BAKES, 9 MM, 298 MM, COMMON DUCT, WITH TIP, NON STERILE, LATEX</t>
  </si>
  <si>
    <t>DILATOR, SURG, BAKES, 9 MM, 298 MM, COMMON DUCT, W/ TIP, NS, LTX</t>
  </si>
  <si>
    <t>https://shop.symmetrysurgical.com/en/product/sites-of-care-ambulatory-surgery-center/51-0609, https://accessgudid.nlm.nih.gov/devices/00887482037706</t>
  </si>
  <si>
    <t>510610</t>
  </si>
  <si>
    <t>51-0610</t>
  </si>
  <si>
    <t>JNJ_510610</t>
  </si>
  <si>
    <t>Symmetry Dilator Bakes Common Duct 10.0 mm Tip 11 3/4 in 298 mm</t>
  </si>
  <si>
    <t>PRODIGO1066537</t>
  </si>
  <si>
    <t>Dilator Bakes Common Duct 10.0 mm Tip 11 3/4 in 298 mm NON STERILE LATEX</t>
  </si>
  <si>
    <t>DILATOR, SURGICAL, BAKES, 10 MM, 298 MM, COMMON DUCT, WITH TIP, NON STERILE, LATEX</t>
  </si>
  <si>
    <t>DILATOR, SURG, BAKES, 10 MM, 298 MM, COMMON DUCT, W/ TIP, NS, LTX</t>
  </si>
  <si>
    <t>https://shop.symmetrysurgical.com/en/product/sites-of-care-ambulatory-surgery-center/51-0610, https://accessgudid.nlm.nih.gov/devices/00887482075180</t>
  </si>
  <si>
    <t>510611</t>
  </si>
  <si>
    <t>51-0611</t>
  </si>
  <si>
    <t>JNJ_510611</t>
  </si>
  <si>
    <t>Symmetry Dilator Bakes Common Duct 11.0 mm Tip 11 3/4 in 298 mm</t>
  </si>
  <si>
    <t>PRODIGO1066538</t>
  </si>
  <si>
    <t>Dilator Bakes Common Duct 11.0 mm Tip 11 3/4 in 298 mm NON STERILE LATEX</t>
  </si>
  <si>
    <t>DILATOR, SURGICAL, BAKES, 11 MM, 298 MM, COMMON DUCT, WITH TIP, NON STERILE, LATEX</t>
  </si>
  <si>
    <t>DILATOR, SURG, BAKES, 11 MM, 298 MM, COMMON DUCT, W/ TIP, NS, LTX</t>
  </si>
  <si>
    <t>https://shop.symmetrysurgical.com/en/product/sites-of-care-ambulatory-surgery-center/51-0611, https://accessgudid.nlm.nih.gov/devices/00887482075197</t>
  </si>
  <si>
    <t>531084</t>
  </si>
  <si>
    <t>53-1084</t>
  </si>
  <si>
    <t>JNJ_531084</t>
  </si>
  <si>
    <t>Symmetry Rongeur Smith-Peterson Slightly Curved 9 1/2 in 240 mm</t>
  </si>
  <si>
    <t>PRODIGO1066539</t>
  </si>
  <si>
    <t>42291612  Surgical rongeurs</t>
  </si>
  <si>
    <t>Rongeur Smith-Peterson Slightly Curved 9 1/2 in 240 mm NON STERILE LATEX</t>
  </si>
  <si>
    <t>RONGEUR, SURGICAL, SMITH-PETERSON, 9.5 IN, SLIGHTLY CURVED, NON STERILE, LATEX</t>
  </si>
  <si>
    <t>RONGEUR, SURG, SMITH-PETERSON, 9.5 IN, SLIGHTLY CRV, NS, LTX</t>
  </si>
  <si>
    <t>RONGEUR</t>
  </si>
  <si>
    <t>SMITH-PETERSON</t>
  </si>
  <si>
    <t>SLIGHTLY CURVED</t>
  </si>
  <si>
    <t>240 MM</t>
  </si>
  <si>
    <t>https://shop.symmetrysurgical.com/en/product/sites-of-care-ambulatory-surgery-center/53-1084, https://accessgudid.nlm.nih.gov/devices/00887482021729</t>
  </si>
  <si>
    <t>531085</t>
  </si>
  <si>
    <t>53-1085</t>
  </si>
  <si>
    <t>JNJ_531085</t>
  </si>
  <si>
    <t>Symmetry Rongeur Smith-Peterson Fully Curved 9 1/2 in</t>
  </si>
  <si>
    <t>PRODIGO1066540</t>
  </si>
  <si>
    <t>Rongeur Smith-Peterson Fully Curved 9 1/2 in NON STERILE LATEX</t>
  </si>
  <si>
    <t>RONGEUR, SURGICAL, SMITH-PETERSON, 9.5 IN, FULLY CURVED, NON STERILE, LATEX</t>
  </si>
  <si>
    <t>RONGEUR, SURG, SMITH-PETERSON, 9.5 IN, FULL CRV, NS, LTX</t>
  </si>
  <si>
    <t>FULLY CURVED</t>
  </si>
  <si>
    <t>https://shop.symmetrysurgical.com/en/product/sites-of-care-ambulatory-surgery-center/53-1085, https://accessgudid.nlm.nih.gov/devices/00887482021736</t>
  </si>
  <si>
    <t>531118</t>
  </si>
  <si>
    <t>53-1118</t>
  </si>
  <si>
    <t>JNJ_531118</t>
  </si>
  <si>
    <t>Symmetry Rongeur Stille-Luer Flat Low Jaw</t>
  </si>
  <si>
    <t>PRODIGO1066541</t>
  </si>
  <si>
    <t>Rongeur Stille-Luer Flat Low Jaw 9 1/2 in NON STERILE LATEX</t>
  </si>
  <si>
    <t>RONGEUR, SURGICAL, STILLE-LUER, 9.5 IN, FLAT LOW JAW, NON STERILE, LATEX</t>
  </si>
  <si>
    <t>RONGEUR, SURG, STILLE-LUER, 9.5 IN, FLAT LO JAW, NS, LTX</t>
  </si>
  <si>
    <t>STILLE-LUER</t>
  </si>
  <si>
    <t>FLAT LOW JAW</t>
  </si>
  <si>
    <t>https://shop.symmetrysurgical.com/en/product/sites-of-care-ambulatory-surgery-center/53-1118, https://accessgudid.nlm.nih.gov/devices/00887482021781</t>
  </si>
  <si>
    <t>531133</t>
  </si>
  <si>
    <t>53-1133</t>
  </si>
  <si>
    <t>JNJ_531133</t>
  </si>
  <si>
    <t>Symmetry Rongeur Stille-Luer Angled</t>
  </si>
  <si>
    <t>PRODIGO1066542</t>
  </si>
  <si>
    <t>Symmetry Rongeur Stille-Luer Angled 9 1/2 in NON STERILE LATEX</t>
  </si>
  <si>
    <t>RONGEUR, SURGICAL, STILLE-LUER, 9.5 IN, ANGLED, NON STERILE, LATEX</t>
  </si>
  <si>
    <t>RONGEUR, SURG, STILLE-LUER, 9.5 IN, ANGLED, NS, LTX</t>
  </si>
  <si>
    <t>ANGLED</t>
  </si>
  <si>
    <t>https://shop.symmetrysurgical.com/en/product/sites-of-care-ambulatory-surgery-center/53-1133, https://accessgudid.nlm.nih.gov/devices/00887482021859</t>
  </si>
  <si>
    <t>531190</t>
  </si>
  <si>
    <t>53-1190</t>
  </si>
  <si>
    <t>JNJ_531190</t>
  </si>
  <si>
    <t>Symmetry Rongeur Schlesinger IVD 2 mm</t>
  </si>
  <si>
    <t>PRODIGO1066543</t>
  </si>
  <si>
    <t>Rongeur Schlesinger IVD straight serrated cup jaw 2 mm Tip 6in shaft len 2 x 10mm Cup NON STERILE LATEX</t>
  </si>
  <si>
    <t>RONGEUR, SURGICAL, SCHLESINGER, 2 MM, 6 IN, 2X10 MM, INTERVERTEBRAL DISC, STRAIGHT, SERRATED CUP JAW, WITH SHAFT, CUP, NON STERILE, LATEX</t>
  </si>
  <si>
    <t>RONGEUR, SURG, SCHLESINGER, 2 MM, 6 IN, 2X10 MM, INTERVERTEBRAL DISC, STR, SERRATED CUP JAW, W/ SHFT, CUP, NS, LTX</t>
  </si>
  <si>
    <t>RONGEUR, SURG, SCHLESINGER, 2 MM, 6 IN, 2X10 MM, INTERVERTEBRAL</t>
  </si>
  <si>
    <t>SCHLESINGER</t>
  </si>
  <si>
    <t>2 MM</t>
  </si>
  <si>
    <t>6 IN, 2X10 MM</t>
  </si>
  <si>
    <t>INTERVERTEBRAL DISC</t>
  </si>
  <si>
    <t>STRAIGHT, SERRATED CUP JAW, WITH SHAFT, CUP</t>
  </si>
  <si>
    <t>https://shop.symmetrysurgical.com/en/product/sites-of-care-ambulatory-surgery-center/53-1190, https://accessgudid.nlm.nih.gov/devices/00887482021989</t>
  </si>
  <si>
    <t>531237</t>
  </si>
  <si>
    <t>53-1237</t>
  </si>
  <si>
    <t>JNJ_531237</t>
  </si>
  <si>
    <t>Symmetry Rongeur Love-Gruenwald IVD Down 7 in 178 mm</t>
  </si>
  <si>
    <t>PRODIGO1066544</t>
  </si>
  <si>
    <t>Rongeur Love-Gruenwald IVD Down 7 in 178 mm 3x10mm Cup Curved down cup shaped jaw NON STERILE LATEX</t>
  </si>
  <si>
    <t>RONGEUR, SURGICAL, LOVE-GRUENWALD, 7 IN, 3X10 MM, INTERVERTEBRAL DISC, CURVED DOWN, CUP SHAPED JAW, NON STERILE, LATEX</t>
  </si>
  <si>
    <t>RONGEUR, SURG, LOVE-GRUENWALD, 7 IN, 3X10 MM, INTERVERTEBRAL DISC, CRV DN, CUP SHP JAW, NS, LTX</t>
  </si>
  <si>
    <t>RONGEUR, SURG, LOVE-GRUENWALD, 7 IN, 3X10 MM, INTERVERTEBRAL DISC</t>
  </si>
  <si>
    <t>LOVE-GRUENWALD</t>
  </si>
  <si>
    <t>7 IN</t>
  </si>
  <si>
    <t>3X10 MM</t>
  </si>
  <si>
    <t>CURVED DOWN, CUP SHAPED JAW</t>
  </si>
  <si>
    <t>178 MM</t>
  </si>
  <si>
    <t>https://shop.symmetrysurgical.com/en/product/sites-of-care-ambulatory-surgery-center/53-1237, https://accessgudid.nlm.nih.gov/devices/00887482022184</t>
  </si>
  <si>
    <t>531297</t>
  </si>
  <si>
    <t>53-1297</t>
  </si>
  <si>
    <t>JNJ_531297</t>
  </si>
  <si>
    <t>Symmetry Rongeur Love-Gruen IVD Down 5 in</t>
  </si>
  <si>
    <t>PRODIGO1066545</t>
  </si>
  <si>
    <t>Rongeur Love-Gruenwald IVD Down 5 in 127 mm 3x10mm Cup Curved down cup shaped jaw NON STERILE LATEX</t>
  </si>
  <si>
    <t>RONGEUR, SURGICAL, LOVE-GRUENWALD, 5 IN, 3X10 MM, INTERVERTEBRAL DISC, CURVED DOWN, CUP SHAPED JAW, NON STERILE, LATEX</t>
  </si>
  <si>
    <t>RONGEUR, SURG, LOVE-GRUENWALD, 5 IN, 3X10 MM, INTERVERTEBRAL DISC, CRV DN, CUP SHP JAW, NS, LTX</t>
  </si>
  <si>
    <t>RONGEUR, SURG, LOVE-GRUENWALD, 5 IN, 3X10 MM, INTERVERTEBRAL DISC</t>
  </si>
  <si>
    <t>127 MM</t>
  </si>
  <si>
    <t>https://shop.symmetrysurgical.com/en/product/sites-of-care-ambulatory-surgery-center/53-1297, http://www.nw-medical.com/Spinal_Catalog.pdf, https://accessgudid.nlm.nih.gov/devices/00887482022368</t>
  </si>
  <si>
    <t>531376</t>
  </si>
  <si>
    <t>53-1376</t>
  </si>
  <si>
    <t>JNJ_531376</t>
  </si>
  <si>
    <t>Symmetry Rongeur Kerrison Down3 7 1/2 in</t>
  </si>
  <si>
    <t>PRODIGO1066546</t>
  </si>
  <si>
    <t>CODMAN KERRISON Laminectomy Rongeurs Down biting 3mm Tip 7.5in NON STERILE LATEX</t>
  </si>
  <si>
    <t>RONGEUR, SURGICAL, KERRISON, 3 MM, 7.5 IN, LAMINECTOMY, DOWN BITING, NON STERILE, LATEX</t>
  </si>
  <si>
    <t>RONGEUR, SURG, KERRISON, 3 MM, 7.5 IN, LAMINECTOMY, DN BIT, NS, LTX</t>
  </si>
  <si>
    <t>KERRISON</t>
  </si>
  <si>
    <t>LAMINECTOMY, DOWN BITING</t>
  </si>
  <si>
    <t>CODMAN</t>
  </si>
  <si>
    <t>https://shop.symmetrysurgical.com/en/product/sites-of-care-ambulatory-surgery-center/53-1376, https://accessgudid.nlm.nih.gov/devices/00887482022504</t>
  </si>
  <si>
    <t>531377</t>
  </si>
  <si>
    <t>53-1377</t>
  </si>
  <si>
    <t>JNJ_531377</t>
  </si>
  <si>
    <t>Symmetry Rongeur Kerrison Down5 7 1/2 in</t>
  </si>
  <si>
    <t>PRODIGO1066547</t>
  </si>
  <si>
    <t>CODMAN KERRISON Laminectomy Rongeurs Down biting 5mm Tip 7.5in NON STERILE LATEX</t>
  </si>
  <si>
    <t>RONGEUR, SURGICAL, KERRISON, 5 MM, 7.5 IN, LAMINECTOMY, DOWN BITING, NON STERILE, LATEX</t>
  </si>
  <si>
    <t>RONGEUR, SURG, KERRISON, 5 MM, 7.5 IN, LAMINECTOMY, DN BIT, NS, LTX</t>
  </si>
  <si>
    <t>5 MM</t>
  </si>
  <si>
    <t>https://shop.symmetrysurgical.com/en/product/sites-of-care-ambulatory-surgery-center/53-1377, https://accessgudid.nlm.nih.gov/devices/00887482022511</t>
  </si>
  <si>
    <t>531404</t>
  </si>
  <si>
    <t>53-1404</t>
  </si>
  <si>
    <t>JNJ_531404</t>
  </si>
  <si>
    <t>Symmetry Kerrison Rongeur Lumbar 90° Down 3 mm 7 in 178 mm</t>
  </si>
  <si>
    <t>PRODIGO1066548</t>
  </si>
  <si>
    <t>Kerrison Rongeur Lumbar 90deg Down Angled 3 mm Tip 7 in 178 mm Drainage Hole HARDY style handle with ball spring NON STERILE LATEX</t>
  </si>
  <si>
    <t>RONGEUR, SURGICAL, KERRISON, 3 MM, 90 DEGREE, 7 IN, LUMBAR, DOWN ANGLED, DRAINAGE HOLE, HARDY STYLE HANDLE WITH BALL SPRING, NON STERILE, LATEX</t>
  </si>
  <si>
    <t>RONGEUR, SURG, KERRISON, 3 MM, 90 DEG, 7 IN, LUMBAR, DN ANGLED, DRAINAGE HOLE, HARDY STYL HNDL W/ BALL SPRING, NS, LTX</t>
  </si>
  <si>
    <t>RONGEUR, SURG, KERRISON, 3 MM, 90 DEG, 7 IN, LUMBAR, DN ANGLED, LTX</t>
  </si>
  <si>
    <t>3 MM, 90 DEGREE</t>
  </si>
  <si>
    <t>DOWN ANGLED, DRAINAGE HOLE, HARDY STYLE HANDLE WITH BALL SPRING</t>
  </si>
  <si>
    <t>https://shop.symmetrysurgical.com/en/product/sites-of-care-ambulatory-surgery-center/53-1404, http://www.nw-medical.com/Spinal_Catalog.pdf, https://accessgudid.nlm.nih.gov/devices/00887482022641</t>
  </si>
  <si>
    <t>531411</t>
  </si>
  <si>
    <t>53-1411</t>
  </si>
  <si>
    <t>JNJ_531411</t>
  </si>
  <si>
    <t>Symmetry Kerrison Rongeur Lumbar 40° Up 6 mm 7 in 178 mm</t>
  </si>
  <si>
    <t>PRODIGO1066549</t>
  </si>
  <si>
    <t>Kerrison Rongeur Lumbar 40deg Up Angled 6 mm Tip 7 in 178 mm Drainage Hole HARDY style handle with ball spring NON STERILE LATEX</t>
  </si>
  <si>
    <t>RONGEUR, SURGICAL, KERRISON, 6 MM, 40 DEGREE, 7 IN, LUMBAR, UP ANGLED, DRAINAGE HOLE, HARDY STYLE HANDLE WITH BALL SPRING, NON STERILE, LATEX</t>
  </si>
  <si>
    <t>RONGEUR, SURG, KERRISON, 6 MM, 40 DEG, 7 IN, LUMBAR, UP ANGLED, DRAINAGE HOLE, HARDY STYL HNDL W/ BALL SPRING, NS, LTX</t>
  </si>
  <si>
    <t>RONGEUR, SURG, KERRISON, 6 MM, 40 DEG, 7 IN, LUMBAR, UP ANGLED, LTX</t>
  </si>
  <si>
    <t>6 MM, 40 DEGREE</t>
  </si>
  <si>
    <t>UP ANGLED, DRAINAGE HOLE, HARDY STYLE HANDLE WITH BALL SPRING</t>
  </si>
  <si>
    <t>https://shop.symmetrysurgical.com/en/product/sites-of-care-ambulatory-surgery-center/53-1411, http://www.nw-medical.com/Spinal_Catalog.pdf, https://accessgudid.nlm.nih.gov/devices/00887482022719</t>
  </si>
  <si>
    <t>531416</t>
  </si>
  <si>
    <t>53-1416</t>
  </si>
  <si>
    <t>JNJ_531416</t>
  </si>
  <si>
    <t>Symmetry Kerrison Rongeur Lumbar 90° Down 3.0 mm 8 in</t>
  </si>
  <si>
    <t>PRODIGO1066550</t>
  </si>
  <si>
    <t>Kerrison Rongeur Lumbar 90deg Down Angled 3 mm Tip 8 in Drainage Holes HARDY style handle with ball spring NON STERILE LATEX</t>
  </si>
  <si>
    <t>RONGEUR, SURGICAL, KERRISON, 3 MM, 90 DEGREE, 8 IN, LUMBAR, DOWN ANGLED, DRAINAGE HOLE, HARDY STYLE HANDLE WITH BALL SPRING, NON STERILE, LATEX</t>
  </si>
  <si>
    <t>RONGEUR, SURG, KERRISON, 3 MM, 90 DEG, 8 IN, LUMBAR, DN ANGLED, DRAINAGE HOLE, HARDY STYL HNDL W/ BALL SPRING, NS, LTX</t>
  </si>
  <si>
    <t>RONGEUR, SURG, KERRISON, 3 MM, 90 DEG, 8 IN, LUMBAR, DN ANGLED, LTX</t>
  </si>
  <si>
    <t>https://shop.symmetrysurgical.com/en/product/sites-of-care-ambulatory-surgery-center/53-1416, http://www.nw-medical.com/Spinal_Catalog.pdf, https://accessgudid.nlm.nih.gov/devices/00887482022764</t>
  </si>
  <si>
    <t>531418</t>
  </si>
  <si>
    <t>53-1418</t>
  </si>
  <si>
    <t>JNJ_531418</t>
  </si>
  <si>
    <t>Symmetry Kerrison Rongeur Lumbar 90° Up 4 mm 8 in 203 mm</t>
  </si>
  <si>
    <t>PRODIGO1066551</t>
  </si>
  <si>
    <t>Kerrison Rongeur Lumbar 90deg Up Angled 4 mm Tip 8 in Drainage Holes HARDY style handle with ball spring NON STERILE LATEX</t>
  </si>
  <si>
    <t>RONGEUR, SURGICAL, KERRISON, 4 MM, 90 DEGREE, 8 IN, LUMBAR, UP ANGLED, DRAINAGE HOLE, HARDY STYLE HANDLE WITH BALL SPRING, NON STERILE, LATEX</t>
  </si>
  <si>
    <t>RONGEUR, SURG, KERRISON, 4 MM, 90 DEG, 8 IN, LUMBAR, UP ANGLED, DRAINAGE HOLE, HARDY STYL HNDL W/ BALL SPRING, NS, LTX</t>
  </si>
  <si>
    <t>RONGEUR, SURG, KERRISON, 4 MM, 90 DEG, 8 IN, LUMBAR, UP ANGLED, LTX</t>
  </si>
  <si>
    <t>4 MM, 90 DEGREE</t>
  </si>
  <si>
    <t>https://shop.symmetrysurgical.com/en/product/sites-of-care-ambulatory-surgery-center/53-1418, http://www.nw-medical.com/Spinal_Catalog.pdf, https://accessgudid.nlm.nih.gov/devices/00887482022788</t>
  </si>
  <si>
    <t>531419</t>
  </si>
  <si>
    <t>53-1419</t>
  </si>
  <si>
    <t>JNJ_531419</t>
  </si>
  <si>
    <t>Symmetry Kerrison Rongeur Lumbar 90° Down 4 mm 8 in 203 mm</t>
  </si>
  <si>
    <t>PRODIGO1066552</t>
  </si>
  <si>
    <t>Kerrison Rongeur Lumbar 90deg Down Angled 4 mm Tip 8 in Drainage Holes HARDY style handle with ball spring NON STERILE LATEX</t>
  </si>
  <si>
    <t>RONGEUR, SURGICAL, KERRISON, 4 MM, 90 DEGREE, 8 IN, LUMBAR, DOWN ANGLED, DRAINAGE HOLE, HARDY STYLE HANDLE WITH BALL SPRING, NON STERILE, LATEX</t>
  </si>
  <si>
    <t>RONGEUR, SURG, KERRISON, 4 MM, 90 DEG, 8 IN, LUMBAR, DN ANGLED, DRAINAGE HOLE, HARDY STYL HNDL W/ BALL SPRING, NS, LTX</t>
  </si>
  <si>
    <t>RONGEUR, SURG, KERRISON, 4 MM, 90 DEG, 8 IN, LUMBAR, DN ANGLED, LTX</t>
  </si>
  <si>
    <t>https://shop.symmetrysurgical.com/en/product/sites-of-care-ambulatory-surgery-center/53-1419, http://www.nw-medical.com/Spinal_Catalog.pdf, https://accessgudid.nlm.nih.gov/devices/00887482022795</t>
  </si>
  <si>
    <t>531422</t>
  </si>
  <si>
    <t>53-1422</t>
  </si>
  <si>
    <t>JNJ_531422</t>
  </si>
  <si>
    <t>Symmetry Kerrison Rongeur Lumbar 90° Down 5.0 mm 8 in</t>
  </si>
  <si>
    <t>PRODIGO1066553</t>
  </si>
  <si>
    <t>Kerrison Rongeur Lumbar 90deg Down Angled 5 mm Tip 8 in Drainage Holes HARDY style handle with ball spring NON STERILE LATEX</t>
  </si>
  <si>
    <t>RONGEUR, SURGICAL, KERRISON, 5 MM, 90 DEGREE, 8 IN, LUMBAR, DOWN ANGLED, DRAINAGE HOLE, HARDY STYLE HANDLE WITH BALL SPRING, NON STERILE, LATEX</t>
  </si>
  <si>
    <t>RONGEUR, SURG, KERRISON, 5 MM, 90 DEG, 8 IN, LUMBAR, DN ANGLED, DRAINAGE HOLE, HARDY STYL HNDL W/ BALL SPRING, NS, LTX</t>
  </si>
  <si>
    <t>RONGEUR, SURG, KERRISON, 5 MM, 90 DEG, 8 IN, LUMBAR, DN ANGLED, LTX</t>
  </si>
  <si>
    <t>5 MM, 90 DEGREE</t>
  </si>
  <si>
    <t>https://shop.symmetrysurgical.com/en/product/sites-of-care-ambulatory-surgery-center/53-1422, http://www.nw-medical.com/Spinal_Catalog.pdf, https://accessgudid.nlm.nih.gov/devices/00887482022818</t>
  </si>
  <si>
    <t>531424</t>
  </si>
  <si>
    <t>53-1424</t>
  </si>
  <si>
    <t>JNJ_531424</t>
  </si>
  <si>
    <t>Symmetry Kerrison Rongeur Lumbar 90° Up 6.0 mm 8 in</t>
  </si>
  <si>
    <t>PRODIGO1066554</t>
  </si>
  <si>
    <t>Kerrison Rongeur Lumbar 90deg Up Angled 6 mm Tip 8 in Drainage Holes HARDY style handle with ball spring NON STERILE LATEX</t>
  </si>
  <si>
    <t>RONGEUR, SURGICAL, KERRISON, 6 MM, 90 DEGREE, 8 IN, LUMBAR, UP ANGLED, DRAINAGE HOLE, HARDY STYLE HANDLE WITH BALL SPRING, NON STERILE, LATEX</t>
  </si>
  <si>
    <t>RONGEUR, SURG, KERRISON, 6 MM, 90 DEG, 8 IN, LUMBAR, UP ANGLED, DRAINAGE HOLE, HARDY STYL HNDL W/ BALL SPRING, NS, LTX</t>
  </si>
  <si>
    <t>RONGEUR, SURG, KERRISON, 6 MM, 90 DEG, 8 IN, LUMBAR, UP ANGLED, LTX</t>
  </si>
  <si>
    <t>6 MM, 90 DEGREE</t>
  </si>
  <si>
    <t>https://shop.symmetrysurgical.com/en/product/sites-of-care-ambulatory-surgery-center/53-1424, http://www.nw-medical.com/Spinal_Catalog.pdf, https://accessgudid.nlm.nih.gov/devices/00887482022832</t>
  </si>
  <si>
    <t>531425</t>
  </si>
  <si>
    <t>53-1425</t>
  </si>
  <si>
    <t>JNJ_531425</t>
  </si>
  <si>
    <t>Symmetry Kerrison Rongeur Lumbar 90° Down 6.0 mm 8 in</t>
  </si>
  <si>
    <t>PRODIGO1066555</t>
  </si>
  <si>
    <t>Kerrison Rongeur Lumbar 90deg Down Angled 6 mm Tip 8 in Drainage Holes HARDY style handle with ball spring NON STERILE LATEX</t>
  </si>
  <si>
    <t>RONGEUR, SURGICAL, KERRISON, 6 MM, 90 DEGREE, 8 IN, LUMBAR, DOWN ANGLED, DRAINAGE HOLE, HARDY STYLE HANDLE WITH BALL SPRING, NON STERILE, LATEX</t>
  </si>
  <si>
    <t>RONGEUR, SURG, KERRISON, 6 MM, 90 DEG, 8 IN, LUMBAR, DN ANGLED, DRAINAGE HOLE, HARDY STYL HNDL W/ BALL SPRING, NS, LTX</t>
  </si>
  <si>
    <t>RONGEUR, SURG, KERRISON, 6 MM, 90 DEG, 8 IN, LUMBAR, DN ANGLED, LTX</t>
  </si>
  <si>
    <t>https://shop.symmetrysurgical.com/en/product/sites-of-care-ambulatory-surgery-center/53-1425, http://www.nw-medical.com/Spinal_Catalog.pdf, https://accessgudid.nlm.nih.gov/devices/00887482022849</t>
  </si>
  <si>
    <t>531480</t>
  </si>
  <si>
    <t>53-1480</t>
  </si>
  <si>
    <t>JNJ_531480</t>
  </si>
  <si>
    <t>Symmetry Kerrison Rongeur Lumbar 40° Up 2.0 mm 8 in</t>
  </si>
  <si>
    <t>PRODIGO1066556</t>
  </si>
  <si>
    <t>Kerrison Rongeur Lumbar 40deg Up Angled 2 mm Tip 8 in Drainage Holes HARDY style handle with ball spring NON STERILE LATEX</t>
  </si>
  <si>
    <t>RONGEUR, SURGICAL, KERRISON, 2 MM, 40 DEGREE, 8 IN, LUMBAR, UP ANGLED, DRAINAGE HOLE, HARDY STYLE HANDLE WITH BALL SPRING, NON STERILE, LATEX</t>
  </si>
  <si>
    <t>RONGEUR, SURG, KERRISON, 2 MM, 40 DEG, 8 IN, LUMBAR, UP ANGLED, DRAINAGE HOLE, HARDY STYL HNDL W/ BALL SPRING, NS, LTX</t>
  </si>
  <si>
    <t>RONGEUR, SURG, KERRISON, 2 MM, 40 DEG, 8 IN, LUMBAR, UP ANGLED, LTX</t>
  </si>
  <si>
    <t>2 MM, 40 DEGREE</t>
  </si>
  <si>
    <t>https://shop.symmetrysurgical.com/en/product/sites-of-care-ambulatory-surgery-center/53-1480, http://www.nw-medical.com/Spinal_Catalog.pdf, https://accessgudid.nlm.nih.gov/devices/00887482022894</t>
  </si>
  <si>
    <t>531482</t>
  </si>
  <si>
    <t>53-1482</t>
  </si>
  <si>
    <t>JNJ_531482</t>
  </si>
  <si>
    <t>Symmetry Kerrison Rongeur Lumbar 40° Up 2.0 mm 9 in</t>
  </si>
  <si>
    <t>PRODIGO1066557</t>
  </si>
  <si>
    <t>Kerrison Rongeur Lumbar 40deg Up Angled 2 mm Tip 9 in Drainage Holes HARDY style handle with ball spring NON STERILE LATEX</t>
  </si>
  <si>
    <t>RONGEUR, SURGICAL, KERRISON, 2 MM, 40 DEGREE, 9 IN, LUMBAR, UP ANGLED, DRAINAGE HOLE, HARDY STYLE HANDLE WITH BALL SPRING, NON STERILE, LATEX</t>
  </si>
  <si>
    <t>RONGEUR, SURG, KERRISON, 2 MM, 40 DEG, 9 IN, LUMBAR, UP ANGLED, DRAINAGE HOLE, HARDY STYL HNDL W/ BALL SPRING, NS, LTX</t>
  </si>
  <si>
    <t>RONGEUR, SURG, KERRISON, 2 MM, 40 DEG, 9 IN, LUMBAR, UP ANGLED, LTX</t>
  </si>
  <si>
    <t>https://shop.symmetrysurgical.com/en/product/sites-of-care-ambulatory-surgery-center/53-1482, https://accessgudid.nlm.nih.gov/devices/00887482022917</t>
  </si>
  <si>
    <t>531484</t>
  </si>
  <si>
    <t>53-1484</t>
  </si>
  <si>
    <t>JNJ_531484</t>
  </si>
  <si>
    <t>Symmetry Kerrison Rongeur Lumbar 40° Up 3.0 mm 9 in</t>
  </si>
  <si>
    <t>PRODIGO1066558</t>
  </si>
  <si>
    <t>Kerrison Rongeur Lumbar 40deg Up Angled 3 mm Tip 9 in Drainage Holes HARDY style handle with ball spring NON STERILE LATEX</t>
  </si>
  <si>
    <t>RONGEUR, SURGICAL, KERRISON, 3 MM, 40 DEGREE, 9 IN, LUMBAR, UP ANGLED, DRAINAGE HOLE, HARDY STYLE HANDLE WITH BALL SPRING, NON STERILE, LATEX</t>
  </si>
  <si>
    <t>RONGEUR, SURG, KERRISON, 3 MM, 40 DEG, 9 IN, LUMBAR, UP ANGLED, DRAINAGE HOLE, HARDY STYL HNDL W/ BALL SPRING, NS, LTX</t>
  </si>
  <si>
    <t>RONGEUR, SURG, KERRISON, 3 MM, 40 DEG, 9 IN, LUMBAR, UP ANGLED, LTX</t>
  </si>
  <si>
    <t>3 MM, 40 DEGREE</t>
  </si>
  <si>
    <t>https://shop.symmetrysurgical.com/en/product/sites-of-care-ambulatory-surgery-center/53-1484, https://accessgudid.nlm.nih.gov/devices/00887482022931</t>
  </si>
  <si>
    <t>531502</t>
  </si>
  <si>
    <t>53-1502</t>
  </si>
  <si>
    <t>JNJ_531502</t>
  </si>
  <si>
    <t>Symmetry Kerrison Rongeur Cervical Thin Footplate 90° Down 2.0 mm 6 in</t>
  </si>
  <si>
    <t>PRODIGO1066559</t>
  </si>
  <si>
    <t>CLASSIC Kerrison Rongeur Cervical Thin Footplate 90deg Down 2.0 mm 6 in Drainage Hole Hardy style handle with ball spring NON STERILE LATEX</t>
  </si>
  <si>
    <t>RONGEUR, SURGICAL, KERRISON, 2 MM, 90 DEGREE, 6 IN, CERVICAL, THIN FOOTPLATE, DOWN ANGLED, DRAINAGE HOLE, HARDY STYLE HANDLE WITH BALL SPRING, NON STERILE, CLASSIC, LATEX</t>
  </si>
  <si>
    <t>RONGEUR, SURG, KERRISON, 2 MM, 90 DEG, 6 IN, CERV, THN FTPLT, DN ANGLED, DRAINAGE HOLE, HARDY STYL HNDL W/ BALL SPRING, NS, CLASSIC, LTX</t>
  </si>
  <si>
    <t>RONGEUR, SURG, KERRISON, 2 MM, 90 DEG, 6 IN, CERV, THN FTPLT, DN</t>
  </si>
  <si>
    <t>2 MM, 90 DEGREE</t>
  </si>
  <si>
    <t>CERVICAL</t>
  </si>
  <si>
    <t>THIN FOOTPLATE, DOWN ANGLED, DRAINAGE HOLE, HARDY STYLE HANDLE WITH BALL SPRING</t>
  </si>
  <si>
    <t>CLASSIC</t>
  </si>
  <si>
    <t>https://shop.symmetrysurgical.com/en/product/sites-of-care-ambulatory-surgery-center/53-1502, http://www.nw-medical.com/Spinal_Catalog.pdf, https://accessgudid.nlm.nih.gov/devices/00887482022986</t>
  </si>
  <si>
    <t>531504</t>
  </si>
  <si>
    <t>53-1504</t>
  </si>
  <si>
    <t>JNJ_531504</t>
  </si>
  <si>
    <t>Symmetry Kerrison Rongeur Cervical Thin Footplate 90° Up 3 mm 6 in 152 mm</t>
  </si>
  <si>
    <t>PRODIGO1066560</t>
  </si>
  <si>
    <t>CLASSIC Kerrison Rongeur Cervical Thin Footplate 90deg Up 3 mm 6 in 152 mm Drainage Hole Hardy style handle with ball spring NON STERILE LATEX</t>
  </si>
  <si>
    <t>RONGEUR, SURGICAL, KERRISON, 3 MM, 90 DEGREE, 6 IN, CERVICAL, THIN FOOTPLATE, UP ANGLED, DRAINAGE HOLE, HARDY STYLE HANDLE WITH BALL SPRING, NON STERILE, CLASSIC, LATEX</t>
  </si>
  <si>
    <t>RONGEUR, SURG, KERRISON, 3 MM, 90 DEG, 6 IN, CERV, THN FTPLT, UP ANGLED, DRAINAGE HOLE, HARDY STYL HNDL W/ BALL SPRING, NS, CLASSIC, LTX</t>
  </si>
  <si>
    <t>RONGEUR, SURG, KERRISON, 3 MM, 90 DEG, 6 IN, CERV, THN FTPLT, UP</t>
  </si>
  <si>
    <t>THIN FOOTPLATE, UP ANGLED, DRAINAGE HOLE, HARDY STYLE HANDLE WITH BALL SPRING</t>
  </si>
  <si>
    <t>152 MM</t>
  </si>
  <si>
    <t>https://shop.symmetrysurgical.com/en/product/sites-of-care-ambulatory-surgery-center/53-1504, http://www.nw-medical.com/Spinal_Catalog.pdf, https://accessgudid.nlm.nih.gov/devices/00887482023006</t>
  </si>
  <si>
    <t>531505</t>
  </si>
  <si>
    <t>53-1505</t>
  </si>
  <si>
    <t>JNJ_531505</t>
  </si>
  <si>
    <t>Symmetry Kerrison Rongeur Cervical Thin Footplate 90° Down 3.0 mm 6 in</t>
  </si>
  <si>
    <t>PRODIGO1066561</t>
  </si>
  <si>
    <t>CLASSIC Kerrison Rongeur Cervical Thin Footplate 90deg Down 3.0 mm 6 in Drainage Hole Hardy style handle with ball spring NON STERILE LATEX</t>
  </si>
  <si>
    <t>RONGEUR, SURGICAL, KERRISON, 3 MM, 90 DEGREE, 6 IN, CERVICAL, THIN FOOTPLATE, DOWN ANGLED, DRAINAGE HOLE, HARDY STYLE HANDLE WITH BALL SPRING, NON STERILE, CLASSIC, LATEX</t>
  </si>
  <si>
    <t>RONGEUR, SURG, KERRISON, 3 MM, 90 DEG, 6 IN, CERV, THN FTPLT, DN ANGLED, DRAINAGE HOLE, HARDY STYL HNDL W/ BALL SPRING, NS, CLASSIC, LTX</t>
  </si>
  <si>
    <t>RONGEUR, SURG, KERRISON, 3 MM, 90 DEG, 6 IN, CERV, THN FTPLT, DN</t>
  </si>
  <si>
    <t>https://shop.symmetrysurgical.com/en/product/sites-of-care-ambulatory-surgery-center/53-1505, http://www.nw-medical.com/Spinal_Catalog.pdf, https://accessgudid.nlm.nih.gov/devices/00887482023013</t>
  </si>
  <si>
    <t>531507</t>
  </si>
  <si>
    <t>53-1507</t>
  </si>
  <si>
    <t>JNJ_531507</t>
  </si>
  <si>
    <t>Symmetry Kerrison Rongeur Cervical Thin Footplate 90° Up 4 mm 6 in 152 mm</t>
  </si>
  <si>
    <t>PRODIGO1066562</t>
  </si>
  <si>
    <t>CLASSIC Kerrison Rongeur Cervical Thin Footplate 90deg Up 4 mm 6 in 152 mm Drainage Hole Hardy style handle with ball spring NON STERILE LATEX</t>
  </si>
  <si>
    <t>RONGEUR, SURGICAL, KERRISON, 4 MM, 90 DEGREE, 6 IN, CERVICAL, THIN FOOTPLATE, UP ANGLED, DRAINAGE HOLE, HARDY STYLE HANDLE WITH BALL SPRING, NON STERILE, CLASSIC, LATEX</t>
  </si>
  <si>
    <t>RONGEUR, SURG, KERRISON, 4 MM, 90 DEG, 6 IN, CERV, THN FTPLT, UP ANGLED, DRAINAGE HOLE, HARDY STYL HNDL W/ BALL SPRING, NS, CLASSIC, LTX</t>
  </si>
  <si>
    <t>RONGEUR, SURG, KERRISON, 4 MM, 90 DEG, 6 IN, CERV, THN FTPLT, UP</t>
  </si>
  <si>
    <t>https://shop.symmetrysurgical.com/en/product/sites-of-care-ambulatory-surgery-center/53-1507, http://www.nw-medical.com/Spinal_Catalog.pdf, https://accessgudid.nlm.nih.gov/devices/00887482023037</t>
  </si>
  <si>
    <t>531508</t>
  </si>
  <si>
    <t>53-1508</t>
  </si>
  <si>
    <t>JNJ_531508</t>
  </si>
  <si>
    <t>Symmetry Kerrison Rongeur Cervical Thin Footplate 90° Down 4.0 mm 6 in</t>
  </si>
  <si>
    <t>PRODIGO1066563</t>
  </si>
  <si>
    <t>CLASSIC Kerrison Rongeur Cervical Thin Footplate 90deg Down 4.0 mm 6 in Drainage Hole Hardy style handle with ball spring NON STERILE LATEX</t>
  </si>
  <si>
    <t>RONGEUR, SURGICAL, KERRISON, 4 MM, 90 DEGREE, 6 IN, CERVICAL, THIN FOOTPLATE, DOWN ANGLED, DRAINAGE HOLE, HARDY STYLE HANDLE WITH BALL SPRING, NON STERILE, CLASSIC, LATEX</t>
  </si>
  <si>
    <t>RONGEUR, SURG, KERRISON, 4 MM, 90 DEG, 6 IN, CERV, THN FTPLT, DN ANGLED, DRAINAGE HOLE, HARDY STYL HNDL W/ BALL SPRING, NS, CLASSIC, LTX</t>
  </si>
  <si>
    <t>RONGEUR, SURG, KERRISON, 4 MM, 90 DEG, 6 IN, CERV, THN FTPLT, DN</t>
  </si>
  <si>
    <t>https://shop.symmetrysurgical.com/en/product/sites-of-care-ambulatory-surgery-center/53-1508, http://www.nw-medical.com/Spinal_Catalog.pdf, https://accessgudid.nlm.nih.gov/devices/00887482023044</t>
  </si>
  <si>
    <t>531511</t>
  </si>
  <si>
    <t>53-1511</t>
  </si>
  <si>
    <t>JNJ_531511</t>
  </si>
  <si>
    <t>Symmetry Kerrison Rongeur Cervical Thin Footplate 90° Down 5.0 mm 6 in</t>
  </si>
  <si>
    <t>PRODIGO1066564</t>
  </si>
  <si>
    <t>CLASSIC Kerrison Rongeur Cervical Thin Footplate 90deg Down 5.0 mm 6 in Drainage Hole Hardy style handle with ball spring NON STERILE LATEX</t>
  </si>
  <si>
    <t>RONGEUR, SURGICAL, KERRISON, 5 MM, 90 DEGREE, 6 IN, CERVICAL, THIN FOOTPLATE, DOWN ANGLED, DRAINAGE HOLE, HARDY STYLE HANDLE WITH BALL SPRING, NON STERILE, CLASSIC, LATEX</t>
  </si>
  <si>
    <t>RONGEUR, SURG, KERRISON, 5 MM, 90 DEG, 6 IN, CERV, THN FTPLT, DN ANGLED, DRAINAGE HOLE, HARDY STYL HNDL W/ BALL SPRING, NS, CLASSIC, LTX</t>
  </si>
  <si>
    <t>RONGEUR, SURG, KERRISON, 5 MM, 90 DEG, 6 IN, CERV, THN FTPLT, DN</t>
  </si>
  <si>
    <t>https://shop.symmetrysurgical.com/en/product/sites-of-care-ambulatory-surgery-center/53-1511, http://www.nw-medical.com/Spinal_Catalog.pdf, https://accessgudid.nlm.nih.gov/devices/00887482023075</t>
  </si>
  <si>
    <t>531516</t>
  </si>
  <si>
    <t>53-1516</t>
  </si>
  <si>
    <t>JNJ_531516</t>
  </si>
  <si>
    <t>Symmetry Kerrison Rongeur Cervical Thin Footplate 90° Up 3 mm 7 in 178 mm</t>
  </si>
  <si>
    <t>PRODIGO1066565</t>
  </si>
  <si>
    <t>CLASSIC Kerrison Rongeur Cervical Thin Footplate 90deg Up 3 mm 7 in 178 mm Drainage Hole Hardy style handle with ball spring NON STERILE LATEX</t>
  </si>
  <si>
    <t>RONGEUR, SURGICAL, KERRISON, 3 MM, 90 DEGREE, 7 IN, CERVICAL, THIN FOOTPLATE, UP ANGLED, DRAINAGE HOLE, HARDY STYLE HANDLE WITH BALL SPRING, NON STERILE, CLASSIC, LATEX</t>
  </si>
  <si>
    <t>RONGEUR, SURG, KERRISON, 3 MM, 90 DEG, 7 IN, CERV, THN FTPLT, UP ANGLED, DRAINAGE HOLE, HARDY STYL HNDL W/ BALL SPRING, NS, CLASSIC, LTX</t>
  </si>
  <si>
    <t>RONGEUR, SURG, KERRISON, 3 MM, 90 DEG, 7 IN, CERV, THN FTPLT, UP</t>
  </si>
  <si>
    <t>https://shop.symmetrysurgical.com/en/product/sites-of-care-ambulatory-surgery-center/53-1516, http://www.nw-medical.com/Spinal_Catalog.pdf, https://accessgudid.nlm.nih.gov/devices/00887482023129</t>
  </si>
  <si>
    <t>531517</t>
  </si>
  <si>
    <t>53-1517</t>
  </si>
  <si>
    <t>JNJ_531517</t>
  </si>
  <si>
    <t>Symmetry Kerrison Rongeur Cervical Thin Footplate 90° Down 3 mm 7 in 178 mm</t>
  </si>
  <si>
    <t>PRODIGO1066566</t>
  </si>
  <si>
    <t>CLASSIC Kerrison Rongeur Cervical Thin Footplate 90deg Down 3 mm 7 in 178 mm Drainage Hole Hardy style handle with ball spring NON STERILE LATEX</t>
  </si>
  <si>
    <t>RONGEUR, SURGICAL, KERRISON, 3 MM, 90 DEGREE, 7 IN, CERVICAL, THIN FOOTPLATE, DOWN ANGLED, DRAINAGE HOLE, HARDY STYLE HANDLE WITH BALL SPRING, NON STERILE, CLASSIC, LATEX</t>
  </si>
  <si>
    <t>RONGEUR, SURG, KERRISON, 3 MM, 90 DEG, 7 IN, CERV, THN FTPLT, DN ANGLED, DRAINAGE HOLE, HARDY STYL HNDL W/ BALL SPRING, NS, CLASSIC, LTX</t>
  </si>
  <si>
    <t>RONGEUR, SURG, KERRISON, 3 MM, 90 DEG, 7 IN, CERV, THN FTPLT, DN</t>
  </si>
  <si>
    <t>https://shop.symmetrysurgical.com/en/product/sites-of-care-ambulatory-surgery-center/53-1517, http://www.nw-medical.com/Spinal_Catalog.pdf, https://accessgudid.nlm.nih.gov/devices/00887482023136</t>
  </si>
  <si>
    <t>531519</t>
  </si>
  <si>
    <t>53-1519</t>
  </si>
  <si>
    <t>JNJ_531519</t>
  </si>
  <si>
    <t>Symmetry Kerrison Rongeur Cervical Thin Footplate 90° Up 4.0 mm 7</t>
  </si>
  <si>
    <t>PRODIGO1066567</t>
  </si>
  <si>
    <t>CLASSIC Kerrison Rongeur Cervical Thin Footplate 90deg Up 4.0 mm 7in Drainage Hole Hardy style handle with ball spring NON STERILE LATEX</t>
  </si>
  <si>
    <t>RONGEUR, SURGICAL, KERRISON, 4 MM, 90 DEGREE, 7 IN, CERVICAL, THIN FOOTPLATE, UP ANGLED, DRAINAGE HOLE, HARDY STYLE HANDLE WITH BALL SPRING, NON STERILE, CLASSIC, LATEX</t>
  </si>
  <si>
    <t>RONGEUR, SURG, KERRISON, 4 MM, 90 DEG, 7 IN, CERV, THN FTPLT, UP ANGLED, DRAINAGE HOLE, HARDY STYL HNDL W/ BALL SPRING, NS, CLASSIC, LTX</t>
  </si>
  <si>
    <t>RONGEUR, SURG, KERRISON, 4 MM, 90 DEG, 7 IN, CERV, THN FTPLT, UP</t>
  </si>
  <si>
    <t>https://shop.symmetrysurgical.com/en/product/sites-of-care-ambulatory-surgery-center/53-1519, http://www.nw-medical.com/Spinal_Catalog.pdf, https://accessgudid.nlm.nih.gov/devices/00887482023150</t>
  </si>
  <si>
    <t>531520</t>
  </si>
  <si>
    <t>53-1520</t>
  </si>
  <si>
    <t>JNJ_531520</t>
  </si>
  <si>
    <t>Symmetry Kerrison Rongeur Cervical Thin Footplate 90° Down 4.0 mm 7</t>
  </si>
  <si>
    <t>PRODIGO1066568</t>
  </si>
  <si>
    <t>CLASSIC Kerrison Rongeur Cervical Thin Footplate 90deg Down 4.0 mm 7in Drainage Hole Hardy style handle with ball spring NON STERILE LATEX</t>
  </si>
  <si>
    <t>RONGEUR, SURGICAL, KERRISON, 4 MM, 90 DEGREE, 7 IN, CERVICAL, THIN FOOTPLATE, DOWN ANGLED, DRAINAGE HOLE, HARDY STYLE HANDLE WITH BALL SPRING, NON STERILE, CLASSIC, LATEX</t>
  </si>
  <si>
    <t>RONGEUR, SURG, KERRISON, 4 MM, 90 DEG, 7 IN, CERV, THN FTPLT, DN ANGLED, DRAINAGE HOLE, HARDY STYL HNDL W/ BALL SPRING, NS, CLASSIC, LTX</t>
  </si>
  <si>
    <t>RONGEUR, SURG, KERRISON, 4 MM, 90 DEG, 7 IN, CERV, THN FTPLT, DN</t>
  </si>
  <si>
    <t>https://shop.symmetrysurgical.com/en/product/sites-of-care-ambulatory-surgery-center/53-1520, http://www.nw-medical.com/Spinal_Catalog.pdf, https://accessgudid.nlm.nih.gov/devices/00887482023167</t>
  </si>
  <si>
    <t>531521</t>
  </si>
  <si>
    <t>53-1521</t>
  </si>
  <si>
    <t>JNJ_531521</t>
  </si>
  <si>
    <t>Symmetry Kerrison Rongeur Cervical Thin Footplate 40° Up 5 mm 7 in 178 mm</t>
  </si>
  <si>
    <t>PRODIGO1066569</t>
  </si>
  <si>
    <t>CLASSIC Kerrison Rongeur Cervical Thin Footplate 40deg Up 5 mm 7 in 178 mm Drainage Hole Hardy style handle with ball spring NON STERILE LATEX</t>
  </si>
  <si>
    <t>RONGEUR, SURGICAL, KERRISON, 5 MM, 40 DEGREE, 7 IN, CERVICAL, THIN FOOTPLATE, UP ANGLED, DRAINAGE HOLE, HARDY STYLE HANDLE WITH BALL SPRING, NON STERILE, CLASSIC, LATEX</t>
  </si>
  <si>
    <t>RONGEUR, SURG, KERRISON, 5 MM, 40 DEG, 7 IN, CERV, THN FTPLT, UP ANGLED, DRAINAGE HOLE, HARDY STYL HNDL W/ BALL SPRING, NS, CLASSIC, LTX</t>
  </si>
  <si>
    <t>RONGEUR, SURG, KERRISON, 5 MM, 40 DEG, 7 IN, CERV, THN FTPLT, UP</t>
  </si>
  <si>
    <t>5 MM, 40 DEGREE</t>
  </si>
  <si>
    <t>THIN FOOTPLATE, 40° UP ANGLED, DRAINAGE HOLE, HARDY STYLE HANDLE WITH BALL SPRING</t>
  </si>
  <si>
    <t>https://shop.symmetrysurgical.com/en/product/sites-of-care-ambulatory-surgery-center/53-1521, http://www.nw-medical.com/Spinal_Catalog.pdf, https://accessgudid.nlm.nih.gov/devices/00887482023174</t>
  </si>
  <si>
    <t>531528</t>
  </si>
  <si>
    <t>53-1528</t>
  </si>
  <si>
    <t>JNJ_531528</t>
  </si>
  <si>
    <t>Symmetry Kerrison Rongeur Cervical Thin Footplate 90° Up 3 mm 8 in 203 mm</t>
  </si>
  <si>
    <t>PRODIGO1066570</t>
  </si>
  <si>
    <t>CLASSIC Kerrison Rongeur Cervical Thin Footplate 90deg Up 3 mm 8 in 203 mm Drainage Hole Hardy style handle with ball spring NON STERILE LATEX</t>
  </si>
  <si>
    <t>RONGEUR, SURGICAL, KERRISON, 3 MM, 90 DEGREE, 8 IN, CERVICAL, THIN FOOTPLATE, UP ANGLED, DRAINAGE HOLE, HARDY STYLE HANDLE WITH BALL SPRING, NON STERILE, CLASSIC, LATEX</t>
  </si>
  <si>
    <t>RONGEUR, SURG, KERRISON, 3 MM, 90 DEG, 8 IN, CERV, THN FTPLT, UP ANGLED, DRAINAGE HOLE, HARDY STYL HNDL W/ BALL SPRING, NS, CLASSIC, LTX</t>
  </si>
  <si>
    <t>RONGEUR, SURG, KERRISON, 3 MM, 90 DEG, 8 IN, CERV, THN FTPLT, UP</t>
  </si>
  <si>
    <t>203 MM</t>
  </si>
  <si>
    <t>https://shop.symmetrysurgical.com/en/product/sites-of-care-ambulatory-surgery-center/53-1528, http://www.nw-medical.com/Spinal_Catalog.pdf, https://accessgudid.nlm.nih.gov/devices/00887482023242</t>
  </si>
  <si>
    <t>531529</t>
  </si>
  <si>
    <t>53-1529</t>
  </si>
  <si>
    <t>JNJ_531529</t>
  </si>
  <si>
    <t>Symmetry Kerrison Rongeur Cervical Thin Footplate 90° Down 3.0 mm 8</t>
  </si>
  <si>
    <t>PRODIGO1066571</t>
  </si>
  <si>
    <t>CLASSIC Kerrison Rongeur Cervical Thin Footplate 90deg Down 3.0 mm 8in Drainage Hole Hardy style handle with ball spring NON STERILE LATEX</t>
  </si>
  <si>
    <t>RONGEUR, SURGICAL, KERRISON, 3 MM, 90 DEGREE, 8 IN, CERVICAL, THIN FOOTPLATE, DOWN ANGLED, DRAINAGE HOLE, HARDY STYLE HANDLE WITH BALL SPRING, NON STERILE, CLASSIC, LATEX</t>
  </si>
  <si>
    <t>RONGEUR, SURG, KERRISON, 3 MM, 90 DEG, 8 IN, CERV, THN FTPLT, DN ANGLED, DRAINAGE HOLE, HARDY STYL HNDL W/ BALL SPRING, NS, CLASSIC, LTX</t>
  </si>
  <si>
    <t>RONGEUR, SURG, KERRISON, 3 MM, 90 DEG, 8 IN, CERV, THN FTPLT, DN</t>
  </si>
  <si>
    <t>https://shop.symmetrysurgical.com/en/product/sites-of-care-ambulatory-surgery-center/53-1529, http://www.nw-medical.com/Spinal_Catalog.pdf, https://accessgudid.nlm.nih.gov/devices/00887482023259</t>
  </si>
  <si>
    <t>531531</t>
  </si>
  <si>
    <t>53-1531</t>
  </si>
  <si>
    <t>JNJ_531531</t>
  </si>
  <si>
    <t>Symmetry Kerrison Rongeur Cervical Thin Footplate 90° Up 4.0 mm 8</t>
  </si>
  <si>
    <t>PRODIGO1066572</t>
  </si>
  <si>
    <t>CLASSIC Kerrison Rongeur Cervical Thin Footplate 90deg Up 4.0 mm 8in Drainage Hole Hardy style handle with ball spring NON STERILE LATEX</t>
  </si>
  <si>
    <t>RONGEUR, SURGICAL, KERRISON, 4 MM, 90 DEGREE, 8 IN, CERVICAL, THIN FOOTPLATE, UP ANGLED, DRAINAGE HOLE, HARDY STYLE HANDLE WITH BALL SPRING, NON STERILE, CLASSIC, LATEX</t>
  </si>
  <si>
    <t>RONGEUR, SURG, KERRISON, 4 MM, 90 DEG, 8 IN, CERV, THN FTPLT, UP ANGLED, DRAINAGE HOLE, HARDY STYL HNDL W/ BALL SPRING, NS, CLASSIC, LTX</t>
  </si>
  <si>
    <t>RONGEUR, SURG, KERRISON, 4 MM, 90 DEG, 8 IN, CERV, THN FTPLT, UP</t>
  </si>
  <si>
    <t>https://shop.symmetrysurgical.com/en/product/sites-of-care-ambulatory-surgery-center/53-1531, http://www.nw-medical.com/Spinal_Catalog.pdf, https://accessgudid.nlm.nih.gov/devices/00887482023273</t>
  </si>
  <si>
    <t>531532</t>
  </si>
  <si>
    <t>53-1532</t>
  </si>
  <si>
    <t>JNJ_531532</t>
  </si>
  <si>
    <t>Symmetry Kerrison Rongeur Cervical Thin Footplate 90° Down 4.0 mm 8</t>
  </si>
  <si>
    <t>PRODIGO1066573</t>
  </si>
  <si>
    <t>CLASSIC Kerrison Rongeur Cervical Thin Footplate 90deg Down 4.0 mm 8in Drainage Hole Hardy style handle with ball spring NON STERILE LATEX</t>
  </si>
  <si>
    <t>RONGEUR, SURGICAL, KERRISON, 4 MM, 90 DEGREE, 8 IN, CERVICAL, THIN FOOTPLATE, DOWN ANGLED, DRAINAGE HOLE, HARDY STYLE HANDLE WITH BALL SPRING, NON STERILE, CLASSIC, LATEX</t>
  </si>
  <si>
    <t>RONGEUR, SURG, KERRISON, 4 MM, 90 DEG, 8 IN, CERV, THN FTPLT, DN ANGLED, DRAINAGE HOLE, HARDY STYL HNDL W/ BALL SPRING, NS, CLASSIC, LTX</t>
  </si>
  <si>
    <t>RONGEUR, SURG, KERRISON, 4 MM, 90 DEG, 8 IN, CERV, THN FTPLT, DN</t>
  </si>
  <si>
    <t>https://shop.symmetrysurgical.com/en/product/sites-of-care-ambulatory-surgery-center/53-1532, http://www.nw-medical.com/Spinal_Catalog.pdf, https://accessgudid.nlm.nih.gov/devices/00887482023280</t>
  </si>
  <si>
    <t>531535</t>
  </si>
  <si>
    <t>53-1535</t>
  </si>
  <si>
    <t>JNJ_531535</t>
  </si>
  <si>
    <t>Symmetry Kerrison Rongeur Cervical Thin Footplate 90° Down 5.0 mm 8</t>
  </si>
  <si>
    <t>PRODIGO1066574</t>
  </si>
  <si>
    <t>CLASSIC Kerrison Rongeur Cervical Thin Footplate 90deg Down 5.0 mm 8in Drainage Hole Hardy style handle with ball spring NON STERILE LATEX</t>
  </si>
  <si>
    <t>RONGEUR, SURGICAL, KERRISON, 5 MM, 90 DEGREE, 8 IN, CERVICAL, THIN FOOTPLATE, DOWN ANGLED, DRAINAGE HOLE, HARDY STYLE HANDLE WITH BALL SPRING, NON STERILE, CLASSIC, LATEX</t>
  </si>
  <si>
    <t>RONGEUR, SURG, KERRISON, 5 MM, 90 DEG, 8 IN, CERV, THN FTPLT, DN ANGLED, DRAINAGE HOLE, HARDY STYL HNDL W/ BALL SPRING, NS, CLASSIC, LTX</t>
  </si>
  <si>
    <t>RONGEUR, SURG, KERRISON, 5 MM, 90 DEG, 8 IN, CERV, THN FTPLT, DN</t>
  </si>
  <si>
    <t>https://shop.symmetrysurgical.com/en/product/sites-of-care-ambulatory-surgery-center/53-1535, http://www.nw-medical.com/Spinal_Catalog.pdf, https://accessgudid.nlm.nih.gov/devices/00887482023310</t>
  </si>
  <si>
    <t>531544CD</t>
  </si>
  <si>
    <t>53-1544CD</t>
  </si>
  <si>
    <t>JNJ_531544CD</t>
  </si>
  <si>
    <t>Symmetry Kerrison Rongeur Cervical 40° Up 3.0 mm 7 in</t>
  </si>
  <si>
    <t>PRODIGO1066575</t>
  </si>
  <si>
    <t>Rapidclean Rongeur 40 Degree 3 Mm 7 In Cervical Kerrison Upward Non Sterile Latex</t>
  </si>
  <si>
    <t>RONGEUR, SURGICAL, KERRISON, 40 DEGREE, 3 MM, 7 IN, CERVICAL, UPWARD, NON STERILE, LATEX</t>
  </si>
  <si>
    <t>RONGEUR, SURG, KERRISON, 40 DEG, 3 MM, 7 IN, CERV, UPWARD, NS, LTX</t>
  </si>
  <si>
    <t>40 DEGREE, 3 MM</t>
  </si>
  <si>
    <t>UPWARD</t>
  </si>
  <si>
    <t>SYMMETRY</t>
  </si>
  <si>
    <t>https://shop.symmetrysurgical.com/en/product/specialty-orthopaedic-surgery/53-15-40.42.44-CD, https://accessgudid.nlm.nih.gov/devices/00887482034477</t>
  </si>
  <si>
    <t>531546CD</t>
  </si>
  <si>
    <t>53-1546CD</t>
  </si>
  <si>
    <t>JNJ_531546CD</t>
  </si>
  <si>
    <t>Symmetry Kerrison Rongeur Cervical 40° Up 4.0 mm 7 in</t>
  </si>
  <si>
    <t>PRODIGO1066576</t>
  </si>
  <si>
    <t>Rapidclean Rongeur 40 Degree 4 Mm 7 In Cervical Kerrison Upward Non Sterile Latex</t>
  </si>
  <si>
    <t>RONGEUR, SURGICAL, KERRISON, 40 DEGREE, 4 MM, 7 IN, CERVICAL, UPWARD, NON STERILE, LATEX</t>
  </si>
  <si>
    <t>RONGEUR, SURG, KERRISON, 40 DEG, 4 MM, 7 IN, CERV, UPWARD, NS, LTX</t>
  </si>
  <si>
    <t>40 DEGREE, 4 MM</t>
  </si>
  <si>
    <t>https://shop.symmetrysurgical.com/en/product/specialty-orthopaedic-surgery/53-15-40.42.44-CD, https://accessgudid.nlm.nih.gov/devices/00887482034484</t>
  </si>
  <si>
    <t>545607</t>
  </si>
  <si>
    <t>54-5607</t>
  </si>
  <si>
    <t>JNJ_545607</t>
  </si>
  <si>
    <t>Symmetry Scissors Micro Pituitary Straight 200 mm</t>
  </si>
  <si>
    <t>PRODIGO1066577</t>
  </si>
  <si>
    <t>42291614  Surgical scissors</t>
  </si>
  <si>
    <t>Scissor Micro 200 Mm Pituitary Straight Alligator Action Semi Malleable Shaft</t>
  </si>
  <si>
    <t>SCISSOR, SURGICAL, MICRO, 200 MM, PITUITARY, STRAIGHT, ALLIGATOR ACTION, SEMI MALLEABLE SHAFT</t>
  </si>
  <si>
    <t>SCISSOR, SURG, MIC, 200 MM, PIT, STR, ALLIGATOR ACT, SEMI MALL SHFT</t>
  </si>
  <si>
    <t>SCISSOR, SURG, MIC, 200 MM, PIT, STR, ALLIGATOR ACT, SEMI MALL</t>
  </si>
  <si>
    <t>MICRO</t>
  </si>
  <si>
    <t>200 MM</t>
  </si>
  <si>
    <t>PITUITARY</t>
  </si>
  <si>
    <t>STRAIGHT, ALLIGATOR ACTION, SEMI MALLEABLE SHAFT</t>
  </si>
  <si>
    <t>https://shop.symmetrysurgical.com/en/product/sites-of-care-ambulatory-surgery-center/54-5607, https://shop.symmetrysurgical.com/en/Image/GetDocument/48</t>
  </si>
  <si>
    <t>545608</t>
  </si>
  <si>
    <t>54-5608</t>
  </si>
  <si>
    <t>JNJ_545608</t>
  </si>
  <si>
    <t>Symmetry Scissors Micro Curved Left 200 mm</t>
  </si>
  <si>
    <t>PRODIGO1066578</t>
  </si>
  <si>
    <t>Scissor Micro 200 Mm Pituitary Curved Left Alligator Action Semi Malleable Shaft</t>
  </si>
  <si>
    <t>SCISSOR, SURGICAL, MICRO, 200 MM, PITUITARY, CURVED LEFT, ALLIGATOR ACTION, SEMI MALLEABLE SHAFT</t>
  </si>
  <si>
    <t>SCISSOR, SURG, MIC, 200 MM, PIT, CRV LT, ALLIGATOR ACT, SEMI MALL SHFT</t>
  </si>
  <si>
    <t>SCISSOR, SURG, MIC, 200 MM, PIT, CRV LT, ALLIGATOR ACT, SEMI MALL</t>
  </si>
  <si>
    <t>CURVED LEFT, ALLIGATOR ACTION, SEMI MALLEABLE SHAFT</t>
  </si>
  <si>
    <t>https://shop.symmetrysurgical.com/en/product/sites-of-care-ambulatory-surgery-center/54-5608, https://shop.symmetrysurgical.com/en/Image/GetDocument/48</t>
  </si>
  <si>
    <t>545609</t>
  </si>
  <si>
    <t>54-5609</t>
  </si>
  <si>
    <t>JNJ_545609</t>
  </si>
  <si>
    <t>Symmetry Scissors Micro Curved Right 200 mm</t>
  </si>
  <si>
    <t>PRODIGO1066579</t>
  </si>
  <si>
    <t>Scissor Micro 200 Mm Pituitary Curved Right Alligator Action Semi Malleable Shaft</t>
  </si>
  <si>
    <t>SCISSOR, SURGICAL, MICRO, 200 MM, PITUITARY, CURVED RIGHT, ALLIGATOR ACTION, SEMI MALLEABLE SHAFT</t>
  </si>
  <si>
    <t>SCISSOR, SURG, MIC, 200 MM, PIT, CRV RT, ALLIGATOR ACT, SEMI MALL SHFT</t>
  </si>
  <si>
    <t>SCISSOR, SURG, MIC, 200 MM, PIT, CRV RT, ALLIGATOR ACT, SEMI MALL</t>
  </si>
  <si>
    <t>CURVED RIGHT, ALLIGATOR ACTION, SEMI MALLEABLE SHAFT</t>
  </si>
  <si>
    <t>https://shop.symmetrysurgical.com/en/product/sites-of-care-ambulatory-surgery-center/54-5609, https://shop.symmetrysurgical.com/en/Image/GetDocument/48</t>
  </si>
  <si>
    <t>554922</t>
  </si>
  <si>
    <t>55-4922</t>
  </si>
  <si>
    <t>JNJ_554922</t>
  </si>
  <si>
    <t>Symmetry Clamp DeBakey-Castaneda Curved Shanks Angled 25° 1.4 mm Jaw Width 4 3/4 in</t>
  </si>
  <si>
    <t>PRODIGO1066580</t>
  </si>
  <si>
    <t>Clamp 25 Degree 4.75 In 1.4 Mm Debakey-castaneda Angled Curved Shank Non Sterile Latex</t>
  </si>
  <si>
    <t>CLAMP, SURGICAL, DEBAKEY-CASTANEDA, 25 DEGREE, 4.75 IN, 1.4 MM, ANGLED, CURVED SHANK, WITH JAW, NON STERILE, LATEX</t>
  </si>
  <si>
    <t>CLAMP, SURG, DEBAKEY-CASTANEDA, 25 DEG, 4.75 IN, 1.4 MM, ANGLED, CRV SHANK, W/ JAW, NS, LTX</t>
  </si>
  <si>
    <t>CLAMP, SURG, DEBAKEY-CASTANEDA, 25 DEG, 4.75 IN, 1.4 MM, CRV SHANK</t>
  </si>
  <si>
    <t>CLAMP</t>
  </si>
  <si>
    <t>DEBAKEY-CASTANEDA</t>
  </si>
  <si>
    <t>25 DEGREE</t>
  </si>
  <si>
    <t>4.75 IN</t>
  </si>
  <si>
    <t>1.4 MM</t>
  </si>
  <si>
    <t>ANGLED, CURVED SHANK, WITH JAW</t>
  </si>
  <si>
    <t xml:space="preserve">SYMMETRY Width </t>
  </si>
  <si>
    <t>https://shop.symmetrysurgical.com/en/product/sites-of-care-ambulatory-surgery-center/55-4922, https://accessgudid.nlm.nih.gov/devices/00887482037485</t>
  </si>
  <si>
    <t>554923</t>
  </si>
  <si>
    <t>55-4923</t>
  </si>
  <si>
    <t>JNJ_554923</t>
  </si>
  <si>
    <t>Symmetry Clamp DeBakey-Castaneda Curved Shanks Angled 45° 1.4 mm Jaw Width 4 3/4 in</t>
  </si>
  <si>
    <t>PRODIGO1066581</t>
  </si>
  <si>
    <t>Clamp 45 Degree 4.75 In 1.4 Mm Debakey-castaneda Angled Curved Shank Non Sterile Latex</t>
  </si>
  <si>
    <t>CLAMP, SURGICAL, DEBAKEY-CASTANEDA, 45 DEGREE, 4.75 IN, 1.4 MM, ANGLED, CURVED SHANK, WITH JAW, NON STERILE, LATEX</t>
  </si>
  <si>
    <t>CLAMP, SURG, DEBAKEY-CASTANEDA, 45 DEG, 4.75 IN, 1.4 MM, ANGLED, CRV SHANK, W/ JAW, NS, LTX</t>
  </si>
  <si>
    <t>CLAMP, SURG, DEBAKEY-CASTANEDA, 45 DEG, 4.75 IN, 1.4 MM, CRV SHANK</t>
  </si>
  <si>
    <t>45 DEGREE</t>
  </si>
  <si>
    <t>https://shop.symmetrysurgical.com/en/product/sites-of-care-ambulatory-surgery-center/55-4923, https://accessgudid.nlm.nih.gov/devices/00887482037492</t>
  </si>
  <si>
    <t>558999F</t>
  </si>
  <si>
    <t>55-8999F</t>
  </si>
  <si>
    <t>JNJ_558999F</t>
  </si>
  <si>
    <t>Ultra Instruments Blade Retractor Henly 1 in x 5/8 in Center</t>
  </si>
  <si>
    <t>PRODIGO1066582</t>
  </si>
  <si>
    <t>Ultra Instruments Blade 1x5/8 In Henly Center Non Sterile Latex</t>
  </si>
  <si>
    <t>BLADE, RETRACTOR, HENLY, 1X5/8 IN, CENTER, NON STERILE, ULTRA INSTRUMENTS, LATEX</t>
  </si>
  <si>
    <t>BLADE, RETRACTOR, HENLY, 1X5/8 IN, CENTER, NS, ULTRA INSTRMT, LTX</t>
  </si>
  <si>
    <t>HENLY</t>
  </si>
  <si>
    <t>1X5/8 IN</t>
  </si>
  <si>
    <t>CENTER</t>
  </si>
  <si>
    <t>ULTRA INSTRUMENTS</t>
  </si>
  <si>
    <t>https://shop.symmetrysurgical.com/en/product/sites-of-care-ambulatory-surgery-center/55-8999F, https://accessgudid.nlm.nih.gov/devices/00887482090602</t>
  </si>
  <si>
    <t>572214</t>
  </si>
  <si>
    <t>57-2214</t>
  </si>
  <si>
    <t>JNJ_572214</t>
  </si>
  <si>
    <t>Symmetry Rongeur Spurling Straight 4 mm x 10 mm Jaws 6 in</t>
  </si>
  <si>
    <t>PRODIGO1066583</t>
  </si>
  <si>
    <t>Rongeur 4x10 Mm 6 In Kerrison Straight Spurling Non Sterile Latex</t>
  </si>
  <si>
    <t>RONGEUR, SURGICAL, KERRISON, 4X10 MM, 6 IN, STRAIGHT, SPURLING, WITH JAW, NON STERILE, LATEX</t>
  </si>
  <si>
    <t>RONGEUR, SURG, KERRISON, 4X10 MM, 6 IN, STR, SPURLING, W/ JAW, NS, LTX</t>
  </si>
  <si>
    <t>RONGEUR, SURG, KERRISON, 4X10 MM, 6 IN, STR, SPURLING, NS, LTX</t>
  </si>
  <si>
    <t>4X10 MM</t>
  </si>
  <si>
    <t>STRAIGHT, SPURLING, WITH JAW</t>
  </si>
  <si>
    <t>https://shop.symmetrysurgical.com/en/Image/GetDocument/48, https://accessgudid.nlm.nih.gov/devices/00887482045916</t>
  </si>
  <si>
    <t>572244</t>
  </si>
  <si>
    <t>57-2244</t>
  </si>
  <si>
    <t>JNJ_572244</t>
  </si>
  <si>
    <t>Symmetry Rongeur Spurling Angled Up 4 mm x 10 mm Jaws 6 in</t>
  </si>
  <si>
    <t>PRODIGO1066584</t>
  </si>
  <si>
    <t>Rongeur 4x10 Mm 6 In Kerrison Angled Up Spurling Non Sterile Latex</t>
  </si>
  <si>
    <t>RONGEUR, SURGICAL, KERRISON, 4X10 MM, 6 IN, ANGLED UP, SPURLING, WITH JAW, NON STERILE, LATEX</t>
  </si>
  <si>
    <t>RONGEUR, SURG, KERRISON, 4X10 MM, 6 IN, ANGLED UP, SPURLING, W/ JAW, NS, LTX</t>
  </si>
  <si>
    <t>RONGEUR, SURG, KERRISON, 4X10 MM, 6 IN, ANGLED UP, SPURLING, NS, LTX</t>
  </si>
  <si>
    <t>ANGLED UP, SPURLING, WITH JAW</t>
  </si>
  <si>
    <t>https://shop.symmetrysurgical.com/en/Image/GetDocument/48, https://accessgudid.nlm.nih.gov/devices/00887482040850</t>
  </si>
  <si>
    <t>572274</t>
  </si>
  <si>
    <t>57-2274</t>
  </si>
  <si>
    <t>JNJ_572274</t>
  </si>
  <si>
    <t>Symmetry Rongeur Spurling Angle Down 4 mm x 10 mm Jaws 6 in</t>
  </si>
  <si>
    <t>PRODIGO1066585</t>
  </si>
  <si>
    <t>Rongeur 4x10 Mm 6 In Kerrison Angled Down Spurling Non Sterile Latex</t>
  </si>
  <si>
    <t>RONGEUR, SURGICAL, KERRISON, 4X10 MM, 6 IN, ANGLED DOWN, SPURLING, WITH JAW, NON STERILE, LATEX</t>
  </si>
  <si>
    <t>RONGEUR, SURG, KERRISON, 4X10 MM, 6 IN, ANGLED DN, SPURLING, W/ JAW, NS, LTX</t>
  </si>
  <si>
    <t>RONGEUR, SURG, KERRISON, 4X10 MM, 6 IN, ANGLED DN, SPURLING, NS, LTX</t>
  </si>
  <si>
    <t>ANGLED DOWN, SPURLING, WITH JAW</t>
  </si>
  <si>
    <t>https://shop.symmetrysurgical.com/en/Image/GetDocument/48, https://accessgudid.nlm.nih.gov/devices/00887482095003</t>
  </si>
  <si>
    <t>677499</t>
  </si>
  <si>
    <t>67-7499</t>
  </si>
  <si>
    <t>JNJ_677499</t>
  </si>
  <si>
    <t>Bookwalter Retractor Blade Opti-Length Malleable Blade w/Lip 3 in x 11 in Ebonized</t>
  </si>
  <si>
    <t>PRODIGO1066586</t>
  </si>
  <si>
    <t>Bookwalter Opti-length Blade 3x11 In Lip Ebonized Malleable Non Sterile Latex</t>
  </si>
  <si>
    <t>BLADE, RETRACTOR, EBONIZED, 3X11 IN, LIP, MALLEABLE, NON STERILE, BOOKWALTER, OPTI-LENGTH, LATEX</t>
  </si>
  <si>
    <t>BLADE, RETRACTOR, EBONIZED, 3X11 IN, LIP, MALL, NS, BOOKWALTER, OPTI-LENGTH, LTX</t>
  </si>
  <si>
    <t>BLADE, RETRACTOR, EBONIZED, 3X11 IN, LIP, BOOKWALTER, OPTI-LENGTH</t>
  </si>
  <si>
    <t>EBONIZED</t>
  </si>
  <si>
    <t>3X11 IN</t>
  </si>
  <si>
    <t>LIP</t>
  </si>
  <si>
    <t>MALLEABLE</t>
  </si>
  <si>
    <t>BOOKWALTER, OPTI-LENGTH</t>
  </si>
  <si>
    <t>https://www.camaramx.com/wp-content/themes/camara/images/pdf/14-Retractors.pdf, https://accessgudid.nlm.nih.gov/devices/00887482027981</t>
  </si>
  <si>
    <t>677504</t>
  </si>
  <si>
    <t>67-7504</t>
  </si>
  <si>
    <t>JNJ_677504</t>
  </si>
  <si>
    <t>Bookwalter Retractor Blade Opti-Length Malleable Blade w/Lip 2 in x 11 in Ebonized</t>
  </si>
  <si>
    <t>PRODIGO1066587</t>
  </si>
  <si>
    <t>Bookwalter Opti-length Blade 2x11 In Lip Ebonized Malleable Non Sterile Latex</t>
  </si>
  <si>
    <t>BLADE, RETRACTOR, EBONIZED, 2X11 IN, LIP, MALLEABLE, NON STERILE, BOOKWALTER, OPTI-LENGTH, LATEX</t>
  </si>
  <si>
    <t>BLADE, RETRACTOR, EBONIZED, 2X11 IN, LIP, MALL, NS, BOOKWALTER, OPTI-LENGTH, LTX</t>
  </si>
  <si>
    <t>BLADE, RETRACTOR, EBONIZED, 2X11 IN, LIP, BOOKWALTER, OPTI-LENGTH</t>
  </si>
  <si>
    <t>2X11 IN</t>
  </si>
  <si>
    <t>https://www.camaramx.com/wp-content/themes/camara/images/pdf/14-Retractors.pdf, https://accessgudid.nlm.nih.gov/devices/00887482028025</t>
  </si>
  <si>
    <t>677800</t>
  </si>
  <si>
    <t>67-7800</t>
  </si>
  <si>
    <t>JNJ_677800</t>
  </si>
  <si>
    <t>Symmetry Forceps DeBakey 1.5 mm Tip 12 in</t>
  </si>
  <si>
    <t>PRODIGO1066588</t>
  </si>
  <si>
    <t>Forcep 1.5 Mm 12 In Debakey Non Sterile Latex</t>
  </si>
  <si>
    <t>FORCEP, SURGICAL, DEBAKEY, 1.5 MM, 12 IN, WITH TIP, NON STERILE, LATEX</t>
  </si>
  <si>
    <t>FORCEP, SURG, DEBAKEY, 1.5 MM, 12 IN, W/ TIP, NS, LTX</t>
  </si>
  <si>
    <t>DEBAKEY</t>
  </si>
  <si>
    <t>1.5 MM</t>
  </si>
  <si>
    <t>https://shop.symmetrysurgical.com/en/product/sites-of-care-ambulatory-surgery-center/67-7800, https://accessgudid.nlm.nih.gov/devices/00887482028711</t>
  </si>
  <si>
    <t>677858</t>
  </si>
  <si>
    <t>67-7858</t>
  </si>
  <si>
    <t>JNJ_677858</t>
  </si>
  <si>
    <t>Symmetry Suction Tube Fukushima Tapered Teardrop 6 Fr 178 mm</t>
  </si>
  <si>
    <t>PRODIGO1066589</t>
  </si>
  <si>
    <t>42293515  Medical or surgical suction tubings</t>
  </si>
  <si>
    <t>Tube 6 Frx178 Mm Fukushima Tapered Teardrop Non Sterile Latex</t>
  </si>
  <si>
    <t>TUBE, SUCTION, FUKUSHIMA, 6 FRX178 MM, TAPERED, TEARDROP, NON STERILE, LATEX</t>
  </si>
  <si>
    <t>TUBE, SUCTION, FUKUSHIMA, 6 FRX178 MM, TAPR, TEARDROP, NS, LTX</t>
  </si>
  <si>
    <t>TUBE</t>
  </si>
  <si>
    <t>SUCTION</t>
  </si>
  <si>
    <t>FUKUSHIMA</t>
  </si>
  <si>
    <t>6 FRX178 MM</t>
  </si>
  <si>
    <t>TAPERED, TEARDROP</t>
  </si>
  <si>
    <t>https://shop.symmetrysurgical.com/en/product/sites-of-care-ambulatory-surgery-center/67-7858, https://accessgudid.nlm.nih.gov/devices/00887482028834</t>
  </si>
  <si>
    <t>677859</t>
  </si>
  <si>
    <t>67-7859</t>
  </si>
  <si>
    <t>JNJ_677859</t>
  </si>
  <si>
    <t>Symmetry Suction Tube Fukushima Tapered Teardrop 7 Fr 178 mm</t>
  </si>
  <si>
    <t>PRODIGO1066590</t>
  </si>
  <si>
    <t>Tube 7 Frx178 Mm Fukushima Tapered Teardrop Non Sterile Latex</t>
  </si>
  <si>
    <t>TUBE, SUCTION, FUKUSHIMA, 7 FRX178 MM, TAPERED, TEARDROP, NON STERILE, LATEX</t>
  </si>
  <si>
    <t>TUBE, SUCTION, FUKUSHIMA, 7 FRX178 MM, TAPR, TEARDROP, NS, LTX</t>
  </si>
  <si>
    <t>7 FRX178 MM</t>
  </si>
  <si>
    <t>https://shop.symmetrysurgical.com/en/product/sites-of-care-ambulatory-surgery-center/67-7859, https://accessgudid.nlm.nih.gov/devices/00887482028841</t>
  </si>
  <si>
    <t>677860</t>
  </si>
  <si>
    <t>67-7860</t>
  </si>
  <si>
    <t>JNJ_677860</t>
  </si>
  <si>
    <t>Symmetry Suction Tube Fukushima Tapered Teardrop 8 Fr 178 mm</t>
  </si>
  <si>
    <t>PRODIGO1066591</t>
  </si>
  <si>
    <t>Tube 8 Frx178 Mm Fukushima Tapered Teardrop Non Sterile Latex</t>
  </si>
  <si>
    <t>TUBE, SUCTION, FUKUSHIMA, 8 FRX178 MM, TAPERED, TEARDROP, NON STERILE, LATEX</t>
  </si>
  <si>
    <t>TUBE, SUCTION, FUKUSHIMA, 8 FRX178 MM, TAPR, TEARDROP, NS, LTX</t>
  </si>
  <si>
    <t>8 FRX178 MM</t>
  </si>
  <si>
    <t>https://shop.symmetrysurgical.com/en/product/sites-of-care-ambulatory-surgery-center/67-7860, https://accessgudid.nlm.nih.gov/devices/00887482028858</t>
  </si>
  <si>
    <t>677861</t>
  </si>
  <si>
    <t>67-7861</t>
  </si>
  <si>
    <t>JNJ_677861</t>
  </si>
  <si>
    <t>Symmetry Suction Tube Fukushima Tapered Teardrop 9 Fr 178 mm</t>
  </si>
  <si>
    <t>PRODIGO1066592</t>
  </si>
  <si>
    <t>Tube 9 Frx178 Mm Fukushima Tapered Teardrop Non Sterile Latex</t>
  </si>
  <si>
    <t>TUBE, SUCTION, FUKUSHIMA, 9 FRX178 MM, TAPERED, TEARDROP, NON STERILE, LATEX</t>
  </si>
  <si>
    <t>TUBE, SUCTION, FUKUSHIMA, 9 FRX178 MM, TAPR, TEARDROP, NS, LTX</t>
  </si>
  <si>
    <t>9 FRX178 MM</t>
  </si>
  <si>
    <t>https://shop.symmetrysurgical.com/en/product/sites-of-care-ambulatory-surgery-center/67-7861, https://accessgudid.nlm.nih.gov/devices/00887482028865</t>
  </si>
  <si>
    <t>677862</t>
  </si>
  <si>
    <t>67-7862</t>
  </si>
  <si>
    <t>JNJ_677862</t>
  </si>
  <si>
    <t>Symmetry Suction Tube Fukushima Tapered Teardrop 4 Fr 203 mm</t>
  </si>
  <si>
    <t>PRODIGO1066593</t>
  </si>
  <si>
    <t>Tube 4 Frx203 Mm Fukushima Tapered Teardrop Non Sterile Latex</t>
  </si>
  <si>
    <t>TUBE, SUCTION, FUKUSHIMA, 4 FRX203 MM, TAPERED, TEARDROP, NON STERILE, LATEX</t>
  </si>
  <si>
    <t>TUBE, SUCTION, FUKUSHIMA, 4 FRX203 MM, TAPR, TEARDROP, NS, LTX</t>
  </si>
  <si>
    <t>4 FRX203 MM</t>
  </si>
  <si>
    <t>https://shop.symmetrysurgical.com/en/product/sites-of-care-ambulatory-surgery-center/67-7862, https://accessgudid.nlm.nih.gov/devices/00887482028872</t>
  </si>
  <si>
    <t>677863</t>
  </si>
  <si>
    <t>67-7863</t>
  </si>
  <si>
    <t>JNJ_677863</t>
  </si>
  <si>
    <t>Symmetry Suction Tube Fukushima Tapered Teardrop 5 Fr 203 mm</t>
  </si>
  <si>
    <t>PRODIGO1066594</t>
  </si>
  <si>
    <t>Tube 5 Frx203 Mm Fukushima Tapered Teardrop Non Sterile Latex</t>
  </si>
  <si>
    <t>TUBE, SUCTION, FUKUSHIMA, 5 FRX203 MM, TAPERED, TEARDROP, NON STERILE, LATEX</t>
  </si>
  <si>
    <t>TUBE, SUCTION, FUKUSHIMA, 5 FRX203 MM, TAPR, TEARDROP, NS, LTX</t>
  </si>
  <si>
    <t>5 FRX203 MM</t>
  </si>
  <si>
    <t>https://shop.symmetrysurgical.com/en/product/sites-of-care-ambulatory-surgery-center/67-7863, https://accessgudid.nlm.nih.gov/devices/00887482028889</t>
  </si>
  <si>
    <t>677864</t>
  </si>
  <si>
    <t>67-7864</t>
  </si>
  <si>
    <t>JNJ_677864</t>
  </si>
  <si>
    <t>Symmetry Suction Tube Fukushima Tapered Teardrop 6 Fr 203 mm</t>
  </si>
  <si>
    <t>PRODIGO1066595</t>
  </si>
  <si>
    <t>Tube 6 Frx203 Mm Fukushima Tapered Teardrop Non Sterile Latex</t>
  </si>
  <si>
    <t>TUBE, SUCTION, FUKUSHIMA, 6 FRX203 MM, TAPERED, TEARDROP, NON STERILE, LATEX</t>
  </si>
  <si>
    <t>TUBE, SUCTION, FUKUSHIMA, 6 FRX203 MM, TAPR, TEARDROP, NS, LTX</t>
  </si>
  <si>
    <t>6 FRX203 MM</t>
  </si>
  <si>
    <t>https://shop.symmetrysurgical.com/en/product/sites-of-care-ambulatory-surgery-center/67-7864, https://accessgudid.nlm.nih.gov/devices/00887482028896</t>
  </si>
  <si>
    <t>677865</t>
  </si>
  <si>
    <t>67-7865</t>
  </si>
  <si>
    <t>JNJ_677865</t>
  </si>
  <si>
    <t>Symmetry Suction Tube Fukushima Tapered Teardrop 7 Fr 203 mm</t>
  </si>
  <si>
    <t>PRODIGO1066596</t>
  </si>
  <si>
    <t>Tube 7 Frx203 Mm Fukushima Tapered Teardrop Non Sterile Latex</t>
  </si>
  <si>
    <t>TUBE, SUCTION, FUKUSHIMA, 7 FRX203 MM, TAPERED, TEARDROP, NON STERILE, LATEX</t>
  </si>
  <si>
    <t>TUBE, SUCTION, FUKUSHIMA, 7 FRX203 MM, TAPR, TEARDROP, NS, LTX</t>
  </si>
  <si>
    <t>7 FRX203 MM</t>
  </si>
  <si>
    <t>https://shop.symmetrysurgical.com/en/product/sites-of-care-ambulatory-surgery-center/67-7865, https://accessgudid.nlm.nih.gov/devices/00887482028902</t>
  </si>
  <si>
    <t>677866</t>
  </si>
  <si>
    <t>67-7866</t>
  </si>
  <si>
    <t>JNJ_677866</t>
  </si>
  <si>
    <t>Symmetry Suction Tube Fukushima Tapered Teardrop 8 Fr 203 mm</t>
  </si>
  <si>
    <t>PRODIGO1066597</t>
  </si>
  <si>
    <t>Tube 8 Frx203 Mm Fukushima Tapered Teardrop Non Sterile Latex</t>
  </si>
  <si>
    <t>TUBE, SUCTION, FUKUSHIMA, 8 FRX203 MM, TAPERED, TEARDROP, NON STERILE, LATEX</t>
  </si>
  <si>
    <t>TUBE, SUCTION, FUKUSHIMA, 8 FRX203 MM, TAPR, TEARDROP, NS, LTX</t>
  </si>
  <si>
    <t>8 FRX203 MM</t>
  </si>
  <si>
    <t>https://shop.symmetrysurgical.com/en/product/sites-of-care-ambulatory-surgery-center/67-7866, https://accessgudid.nlm.nih.gov/devices/00887482028919</t>
  </si>
  <si>
    <t>677872</t>
  </si>
  <si>
    <t>67-7872</t>
  </si>
  <si>
    <t>JNJ_677872</t>
  </si>
  <si>
    <t>Symmetry Suction Tube Fukushima Tapered Teardrop 8 Fr 229 mm</t>
  </si>
  <si>
    <t>PRODIGO1066598</t>
  </si>
  <si>
    <t>Tube 8 Frx229 Mm Fukushima Tapered Teardrop Non Sterile Latex</t>
  </si>
  <si>
    <t>TUBE, SUCTION, FUKUSHIMA, 8 FRX229 MM, TAPERED, TEARDROP, NON STERILE, LATEX</t>
  </si>
  <si>
    <t>TUBE, SUCTION, FUKUSHIMA, 8 FRX229 MM, TAPR, TEARDROP, NS, LTX</t>
  </si>
  <si>
    <t>8 FRX229 MM</t>
  </si>
  <si>
    <t>https://shop.symmetrysurgical.com/en/product/sites-of-care-ambulatory-surgery-center/67-7872, https://accessgudid.nlm.nih.gov/devices/00887482028971</t>
  </si>
  <si>
    <t>677873</t>
  </si>
  <si>
    <t>67-7873</t>
  </si>
  <si>
    <t>JNJ_677873</t>
  </si>
  <si>
    <t>Symmetry Suction Tube Fukushima Tapered Teardrop 9 Fr 229 mm</t>
  </si>
  <si>
    <t>PRODIGO1066599</t>
  </si>
  <si>
    <t>Tube 9 Frx229 Mm Fukushima Tapered Teardrop Non Sterile Latex</t>
  </si>
  <si>
    <t>TUBE, SUCTION, FUKUSHIMA, 9 FRX229 MM, TAPERED, TEARDROP, NON STERILE, LATEX</t>
  </si>
  <si>
    <t>TUBE, SUCTION, FUKUSHIMA, 9 FRX229 MM, TAPR, TEARDROP, NS, LTX</t>
  </si>
  <si>
    <t>9 FRX229 MM</t>
  </si>
  <si>
    <t>https://shop.symmetrysurgical.com/en/product/sites-of-care-ambulatory-surgery-center/67-7873, https://accessgudid.nlm.nih.gov/devices/00887482028988</t>
  </si>
  <si>
    <t>711012</t>
  </si>
  <si>
    <t>71-1012</t>
  </si>
  <si>
    <t>JNJ_711012</t>
  </si>
  <si>
    <t>Symmetry Adenotome Laforce #2 Medium</t>
  </si>
  <si>
    <t>PRODIGO1066601</t>
  </si>
  <si>
    <t>Adenotome Medium 2 16 Mm Laforce Non Sterile Latex</t>
  </si>
  <si>
    <t>ADENOTOME, SURGICAL, LAFORCE, MEDIUM, 2, 16 MM, NON STERILE, LATEX</t>
  </si>
  <si>
    <t>ADENOTOME, SURG, LAFORCE, MED, 2, 16 MM, NS, LTX</t>
  </si>
  <si>
    <t>ADENOTOME</t>
  </si>
  <si>
    <t>LAFORCE</t>
  </si>
  <si>
    <t>MEDIUM, 2</t>
  </si>
  <si>
    <t>16 MM</t>
  </si>
  <si>
    <t>https://shop.symmetrysurgical.com/en/Image/GetDocument/51, https://accessgudid.nlm.nih.gov/devices/00887482122242</t>
  </si>
  <si>
    <t>711013</t>
  </si>
  <si>
    <t>71-1013</t>
  </si>
  <si>
    <t>JNJ_711013</t>
  </si>
  <si>
    <t>Symmetry Adenotome Laforce #3 Large</t>
  </si>
  <si>
    <t>PRODIGO1066602</t>
  </si>
  <si>
    <t>Adenotome Large 3 18 Mm Laforce Non Sterile Latex</t>
  </si>
  <si>
    <t>ADENOTOME, SURGICAL, LAFORCE, LARGE, 3, 18 MM, NON STERILE, LATEX</t>
  </si>
  <si>
    <t>ADENOTOME, SURG, LAFORCE, LG, 3, 18 MM, NS, LTX</t>
  </si>
  <si>
    <t>LARGE, 3</t>
  </si>
  <si>
    <t>18 MM</t>
  </si>
  <si>
    <t>https://shop.symmetrysurgical.com/en/Image/GetDocument/51, https://accessgudid.nlm.nih.gov/devices/00887482122259</t>
  </si>
  <si>
    <t>711813</t>
  </si>
  <si>
    <t>71-1813</t>
  </si>
  <si>
    <t>JNJ_711813</t>
  </si>
  <si>
    <t>Symmetry Adenotome Shambaugh Large</t>
  </si>
  <si>
    <t>PRODIGO1066603</t>
  </si>
  <si>
    <t>Adenotome Large Shambaugh Non Sterile Latex</t>
  </si>
  <si>
    <t>ADENOTOME, SURGICAL, SHAMBAUGH, LARGE, NON STERILE, LATEX</t>
  </si>
  <si>
    <t>ADENOTOME, SURG, SHAMBAUGH, LG, NS, LTX</t>
  </si>
  <si>
    <t>SHAMBAUGH</t>
  </si>
  <si>
    <t>https://shop.symmetrysurgical.com/en/product/sites-of-care-ambulatory-surgery-center/71-1813, https://accessgudid.nlm.nih.gov/devices/00887482122303</t>
  </si>
  <si>
    <t>801722</t>
  </si>
  <si>
    <t>80-1722</t>
  </si>
  <si>
    <t>JNJ_801722</t>
  </si>
  <si>
    <t>Rhoton Scissors Straight Bayonet 216 mm</t>
  </si>
  <si>
    <t>PRODIGO1066604</t>
  </si>
  <si>
    <t>Rhoton Scissor 216 Mm Straight Bayonet</t>
  </si>
  <si>
    <t>SCISSOR, SURGICAL, STRAIGHT, 216 MM, BAYONET, RHOTON</t>
  </si>
  <si>
    <t>SCISSOR, SURG, STR, 216 MM, BAYNT, RHOTON</t>
  </si>
  <si>
    <t>STRAIGHT</t>
  </si>
  <si>
    <t>216 MM</t>
  </si>
  <si>
    <t>BAYONET</t>
  </si>
  <si>
    <t>RHOTON</t>
  </si>
  <si>
    <t>https://shop.symmetrysurgical.com/en/product/sites-of-care-ambulatory-surgery-center/80-1722</t>
  </si>
  <si>
    <t>801723</t>
  </si>
  <si>
    <t>80-1723</t>
  </si>
  <si>
    <t>JNJ_801723</t>
  </si>
  <si>
    <t>Rhoton Scissors Curved Bayonet 216 mm</t>
  </si>
  <si>
    <t>PRODIGO1066605</t>
  </si>
  <si>
    <t>Rhoton Scissor 216 Mm Curved Bayonet</t>
  </si>
  <si>
    <t>SCISSOR, SURGICAL, CURVED, 216 MM, BAYONET, RHOTON</t>
  </si>
  <si>
    <t>SCISSOR, SURG, CRV, 216 MM, BAYNT, RHOTON</t>
  </si>
  <si>
    <t>CURVED</t>
  </si>
  <si>
    <t>https://shop.symmetrysurgical.com/en/product/sites-of-care-ambulatory-surgery-center/80-1723</t>
  </si>
  <si>
    <t>801728</t>
  </si>
  <si>
    <t>80-1728</t>
  </si>
  <si>
    <t>JNJ_801728</t>
  </si>
  <si>
    <t>Rhoton Needle Holder Bayonet Straight Tip 8 1/2 in</t>
  </si>
  <si>
    <t>PRODIGO1066606</t>
  </si>
  <si>
    <t>42292903  Surgical needle holders</t>
  </si>
  <si>
    <t>Rhoton Holder 8.5 In Straight Bayonet Tip Non Sterile Latex</t>
  </si>
  <si>
    <t>HOLDER, NEEDLE, STRAIGHT, 8.5 IN, BAYONET, TIP, NON STERILE, RHOTON, LATEX</t>
  </si>
  <si>
    <t>HOLDER, NDL, STR, 8.5 IN, BAYNT, TIP, NS, RHOTON, LTX</t>
  </si>
  <si>
    <t>HOLDER</t>
  </si>
  <si>
    <t>NEEDLE</t>
  </si>
  <si>
    <t>BAYONET, TIP</t>
  </si>
  <si>
    <t>https://shop.symmetrysurgical.com/en/product/sites-of-care-ambulatory-surgery-center/80-1728, https://accessgudid.nlm.nih.gov/devices/00887482031674</t>
  </si>
  <si>
    <t>801729</t>
  </si>
  <si>
    <t>80-1729</t>
  </si>
  <si>
    <t>JNJ_801729</t>
  </si>
  <si>
    <t>Rhoton Needle Holder Bayonet Curved</t>
  </si>
  <si>
    <t>PRODIGO1066607</t>
  </si>
  <si>
    <t>Rhoton Holder 8.5 In Curved Bayonet Tip Non Sterile Latex</t>
  </si>
  <si>
    <t>HOLDER, NEEDLE, CURVED, 8.5 IN, BAYONET, TIP, NON STERILE, RHOTON, LATEX</t>
  </si>
  <si>
    <t>HOLDER, NDL, CRV, 8.5 IN, BAYNT, TIP, NS, RHOTON, LTX</t>
  </si>
  <si>
    <t>https://shop.symmetrysurgical.com/en/product/sites-of-care-ambulatory-surgery-center/80-1729, https://accessgudid.nlm.nih.gov/devices/00887482031681</t>
  </si>
  <si>
    <t>802000</t>
  </si>
  <si>
    <t>80-2000</t>
  </si>
  <si>
    <t>JNJ_802000</t>
  </si>
  <si>
    <t>Symmetry Forceps Micro Straight 0.3 mm Wide Teeth 5 1/2 in</t>
  </si>
  <si>
    <t>PRODIGO1066608</t>
  </si>
  <si>
    <t>Forcep Micro 0.3 Mm 5.5 In Straight Wide Teeth</t>
  </si>
  <si>
    <t>FORCEP, SURGICAL, MICRO, 0.3 MM, 5.5 IN, STRAIGHT, WIDE TEETH</t>
  </si>
  <si>
    <t>FORCEP, SURG, MIC, 0.3 MM, 5.5 IN, STR, WIDE TEETH</t>
  </si>
  <si>
    <t>MICRO, 0.3 MM</t>
  </si>
  <si>
    <t>5.5 IN</t>
  </si>
  <si>
    <t>STRAIGHT, WIDE TEETH</t>
  </si>
  <si>
    <t>https://shop.symmetrysurgical.com/en/product/sites-of-care-ambulatory-surgery-center/80-2000</t>
  </si>
  <si>
    <t>802006</t>
  </si>
  <si>
    <t>80-2006</t>
  </si>
  <si>
    <t>JNJ_802006</t>
  </si>
  <si>
    <t>Symmetry Scissors Micro Curved Sharp/Sharp 5 1/2 in</t>
  </si>
  <si>
    <t>PRODIGO1066609</t>
  </si>
  <si>
    <t>Scissor Micro 5.5 In Curved Sharp/sharp</t>
  </si>
  <si>
    <t>SCISSOR, SURGICAL, MICRO, 5.5 IN, CURVED, SHARP/SHARP</t>
  </si>
  <si>
    <t>SCISSOR, SURG, MIC, 5.5 IN, CRV, SHARP/SHARP</t>
  </si>
  <si>
    <t>CURVED, SHARP/SHARP</t>
  </si>
  <si>
    <t>https://shop.symmetrysurgical.com/en/product/sites-of-care-ambulatory-surgery-center/80-2006</t>
  </si>
  <si>
    <t>802009</t>
  </si>
  <si>
    <t>80-2009</t>
  </si>
  <si>
    <t>JNJ_802009</t>
  </si>
  <si>
    <t>Symmetry Forceps Micro Straight 0.3 mm Wide Teeth 7 in</t>
  </si>
  <si>
    <t>PRODIGO1066610</t>
  </si>
  <si>
    <t>Forcep Micro 0.3 Mm 7 In Straight Wide Teeth</t>
  </si>
  <si>
    <t>FORCEP, SURGICAL, MICRO, 0.3 MM, 7 IN, STRAIGHT, WIDE TEETH</t>
  </si>
  <si>
    <t>FORCEP, SURG, MIC, 0.3 MM, 7 IN, STR, WIDE TEETH</t>
  </si>
  <si>
    <t>https://shop.symmetrysurgical.com/en/product/sites-of-care-ambulatory-surgery-center/80-2009</t>
  </si>
  <si>
    <t>802016</t>
  </si>
  <si>
    <t>80-2016</t>
  </si>
  <si>
    <t>JNJ_802016</t>
  </si>
  <si>
    <t>Symmetry Scissors Micro Curved Sharp/Sharp 7 in</t>
  </si>
  <si>
    <t>PRODIGO1066611</t>
  </si>
  <si>
    <t>Scissor Micro 7 In Curved Sharp/sharp</t>
  </si>
  <si>
    <t>SCISSOR, SURGICAL, MICRO, 7 IN, CURVED, SHARP/SHARP</t>
  </si>
  <si>
    <t>SCISSOR, SURG, MIC, 7 IN, CRV, SHARP/SHARP</t>
  </si>
  <si>
    <t>https://shop.symmetrysurgical.com/en/product/sites-of-care-ambulatory-surgery-center/80-2016</t>
  </si>
  <si>
    <t>861032</t>
  </si>
  <si>
    <t>86-1032</t>
  </si>
  <si>
    <t>JNJ_861032</t>
  </si>
  <si>
    <t>Symmetry Scissors Potts-Smith 25° Angle Serrated Black Handle 7 in</t>
  </si>
  <si>
    <t>PRODIGO1066612</t>
  </si>
  <si>
    <t>Scissor 25 Degree 7 In Potts-smith Angled Serrated Blade Handle Black Non Sterile Latex</t>
  </si>
  <si>
    <t>SCISSOR, SURGICAL, POTTS-SMITH, 25 DEGREE, 7 IN, ANGLED, SERRATED BLADE, HANDLE, BLACK, NON STERILE, LATEX</t>
  </si>
  <si>
    <t>SCISSOR, SURG, POTT SMITH, 25 DEG, 7 IN, ANGLED, SERRATED BLADE, HNDL, BLK, NS, LTX</t>
  </si>
  <si>
    <t>SCISSOR, SURG, POTT SMITH, 25 DEG, 7 IN, ANGLED, SERRATED BLADE</t>
  </si>
  <si>
    <t>POTTS-SMITH</t>
  </si>
  <si>
    <t>ANGLED, SERRATED BLADE, HANDLE</t>
  </si>
  <si>
    <t>https://shop.symmetrysurgical.com/en/product/sites-of-care-ambulatory-surgery-center/86-1032, https://accessgudid.nlm.nih.gov/devices/00887482127995</t>
  </si>
  <si>
    <t>861034</t>
  </si>
  <si>
    <t>86-1034</t>
  </si>
  <si>
    <t>JNJ_861034</t>
  </si>
  <si>
    <t>Symmetry Scissors Potts-Smith 60° Angle Serrated Blades Black Handle 7 in</t>
  </si>
  <si>
    <t>PRODIGO1066613</t>
  </si>
  <si>
    <t>Scissor 60 Degree 7 In Potts-smith Angled Serrated Blade Handle Black Non Sterile Latex</t>
  </si>
  <si>
    <t>SCISSOR, SURGICAL, POTTS-SMITH, 60 DEGREE, 7 IN, ANGLED, SERRATED BLADE, HANDLE, BLACK, NON STERILE, LATEX</t>
  </si>
  <si>
    <t>SCISSOR, SURG, POTT SMITH, 60 DEG, 7 IN, ANGLED, SERRATED BLADE, HNDL, BLK, NS, LTX</t>
  </si>
  <si>
    <t>SCISSOR, SURG, POTT SMITH, 60 DEG, 7 IN, ANGLED, SERRATED BLADE</t>
  </si>
  <si>
    <t>60 DEGREE</t>
  </si>
  <si>
    <t>https://shop.symmetrysurgical.com/en/product/sites-of-care-ambulatory-surgery-center/86-1034, https://accessgudid.nlm.nih.gov/devices/00887482128015</t>
  </si>
  <si>
    <t>901030B</t>
  </si>
  <si>
    <t>90-1030B</t>
  </si>
  <si>
    <t>JNJ_901030B</t>
  </si>
  <si>
    <t>Symmetry Insert Bottle Nose Dissecting Forceps 5 mm</t>
  </si>
  <si>
    <t>PRODIGO1066614</t>
  </si>
  <si>
    <t>42294908  Endoscopic clamp or dissector or grasper or forceps</t>
  </si>
  <si>
    <t>Insert 5 Mm Bottle Nose Dissecting Double Action Monopolar Insulated Handle Replacement Jaw Assembly Non Sterile Latex</t>
  </si>
  <si>
    <t>INSERT, FORCEP, BOTTLE NOSE, 5 MM, DISSECTING, DOUBLE ACTION, MONOPOLAR, INSULATED HANDLE, REPLACEMENT JAW ASSEMBLY, NON STERILE, LATEX</t>
  </si>
  <si>
    <t>INSERT, FORCEP, BTL NOSE, 5 MM, DISECT, DBL ACT, MONOPOLAR, INSUL HNDL, REPL JAW ASMBLY, NS, LTX</t>
  </si>
  <si>
    <t>INSERT, FORCEP, BTL NOSE, 5 MM, DISECT, DBL ACT, MONOPOLAR, INSUL</t>
  </si>
  <si>
    <t>BOTTLE NOSE</t>
  </si>
  <si>
    <t>DISSECTING, DOUBLE ACTION, MONOPOLAR, INSULATED HANDLE, REPLACEMENT JAW ASSEMBLY</t>
  </si>
  <si>
    <t>https://shop.symmetrysurgical.com/en/product/sites-of-care-ambulatory-surgery-center/90-1030B, https://accessgudid.nlm.nih.gov/devices/00887482128732</t>
  </si>
  <si>
    <t>901030I</t>
  </si>
  <si>
    <t>90-1030I</t>
  </si>
  <si>
    <t>JNJ_901030I</t>
  </si>
  <si>
    <t>Symmetry Forceps Bottle Nose Dissecting Insulated 5 mm Tip 320 mm</t>
  </si>
  <si>
    <t>PRODIGO1066615</t>
  </si>
  <si>
    <t>Forcep 5x320 Mm Bottle Nose Dissecting Double Action Monopolar Insulated Handle</t>
  </si>
  <si>
    <t>FORCEP, ENDOSCOPIC, BOTTLE NOSE, 5X320 MM, DISSECTING, DOUBLE ACTION, MONOPOLAR, INSULATED HANDLE</t>
  </si>
  <si>
    <t>FORCEP, ENDOSCP, BTL NOSE, 5X320 MM, DISECT, DBL ACT, MONOPOLAR, INSUL HNDL</t>
  </si>
  <si>
    <t>FORCEP, ENDOSCP, BTL NOSE, 5X320 MM, DISECT, DBL ACT, MONOPOLAR</t>
  </si>
  <si>
    <t>ENDOSCOPIC</t>
  </si>
  <si>
    <t>5X320 MM</t>
  </si>
  <si>
    <t>DISSECTING, DOUBLE ACTION, MONOPOLAR, INSULATED HANDLE</t>
  </si>
  <si>
    <t xml:space="preserve">SYMMETRY Tip </t>
  </si>
  <si>
    <t>https://shop.symmetrysurgical.com/en/product/sites-of-care-ambulatory-surgery-center/90-1030I, https://shop.symmetrysurgical.com/en/product/sites-of-care-ambulatory-surgery-center/90-1030I</t>
  </si>
  <si>
    <t>901035I</t>
  </si>
  <si>
    <t>90-1035I</t>
  </si>
  <si>
    <t>JNJ_901035I</t>
  </si>
  <si>
    <t>Symmetry Forceps Monopolar Cup Tooth Dissecting Insulated Handle 5 mm 320 mm</t>
  </si>
  <si>
    <t>PRODIGO1066616</t>
  </si>
  <si>
    <t>Forcep 5x320 Mm Cup Tooth Dissecting Double Action Monopolar Insulated Handle Non Sterile Latex</t>
  </si>
  <si>
    <t>FORCEP, ENDOSCOPIC, CUP TOOTH, 5X320 MM, DISSECTING, DOUBLE ACTION, MONOPOLAR, INSULATED HANDLE, NON STERILE, LATEX</t>
  </si>
  <si>
    <t>FORCEP, ENDOSCP, CUP TOOTH, 5X320 MM, DISECT, DBL ACT, MONOPOLAR, INSUL HNDL, NS, LTX</t>
  </si>
  <si>
    <t>FORCEP, ENDOSCP, CUP TOOTH, 5X320 MM, DISECT, DBL ACT, MONOPOLAR</t>
  </si>
  <si>
    <t>CUP TOOTH</t>
  </si>
  <si>
    <t>https://www.camaramx.com/wp-content/themes/camara/images/pdf/15-%20Laparoscopic.pdf, https://accessgudid.nlm.nih.gov/devices/00887482142080</t>
  </si>
  <si>
    <t>901035IL</t>
  </si>
  <si>
    <t>90-1035IL</t>
  </si>
  <si>
    <t>JNJ_901035IL</t>
  </si>
  <si>
    <t>Symmetry Forceps Grasping 5 mm</t>
  </si>
  <si>
    <t>PRODIGO1066617</t>
  </si>
  <si>
    <t>Forcep 5 Mm Grasping</t>
  </si>
  <si>
    <t>FORCEP, ENDOSCOPIC, GRASPING, 5 MM</t>
  </si>
  <si>
    <t>FORCEP, ENDOSCP, GRASPING, 5 MM</t>
  </si>
  <si>
    <t>https://shop.symmetrysurgical.com/en/product/sites-of-care-ambulatory-surgery-center/90-1035IL</t>
  </si>
  <si>
    <t>901040B</t>
  </si>
  <si>
    <t>90-1040B</t>
  </si>
  <si>
    <t>JNJ_901040B</t>
  </si>
  <si>
    <t>Symmetry Insert Duckbill Grasping Forceps 5 mm 320 mm</t>
  </si>
  <si>
    <t>PRODIGO1066618</t>
  </si>
  <si>
    <t>Insert 5x320 Mm Duckbill Grasping Dissecting Double Action Monopolar Fully Insulated Flattened Serrated Jaw Insulated Handle Replacement Jaw Assembly</t>
  </si>
  <si>
    <t>INSERT, FORCEP, DUCKBILL, 5X320 MM, GRASPING, DISSECTING, DOUBLE ACTION, MONOPOLAR, FULLY INSULATED, FLATTENED SERRATED JAW, INSULATED HANDLE, REPLACEMENT JAW ASSEMBLY</t>
  </si>
  <si>
    <t>INSERT, FORCEP, DUCKBILL, 5X320 MM, GRASPING, DISECT, DBL ACT, MONOPOLAR, FULL INSUL, FLATTENED SERRATED JAW, INSUL HNDL, REPL JAW ASMBLY</t>
  </si>
  <si>
    <t>INSERT, FORCEP, DUCKBILL, 5X320 MM, GRASPING, DISECT, DBL ACT</t>
  </si>
  <si>
    <t>DUCKBILL</t>
  </si>
  <si>
    <t>GRASPING, DISSECTING, DOUBLE ACTION, MONOPOLAR, FULLY INSULATED, FLATTENED SERRATED JAW, INSULATED HANDLE, REPLACEMENT JAW ASSEMBLY</t>
  </si>
  <si>
    <t>https://shop.symmetrysurgical.com/en/product/sites-of-care-ambulatory-surgery-center/90-1040B</t>
  </si>
  <si>
    <t>901040I</t>
  </si>
  <si>
    <t>90-1040I</t>
  </si>
  <si>
    <t>JNJ_901040I</t>
  </si>
  <si>
    <t>Symmetry Forceps Monopolar Duckbill Grasping Insulated 5 mm 320 mm</t>
  </si>
  <si>
    <t>PRODIGO1066619</t>
  </si>
  <si>
    <t>Forcep 5x320 Mm Duckbill Grasping Dissecting Double Action Monopolar Fully Insulated Flattened Serrated Jaw Insulated Handle Non Sterile Latex</t>
  </si>
  <si>
    <t>FORCEP, ENDOSCOPIC, DUCKBILL, 5X320 MM, GRASPING, DISSECTING, DOUBLE ACTION, MONOPOLAR, FULLY INSULATED, FLATTENED SERRATED JAW, INSULATED HANDLE, NON STERILE, LATEX</t>
  </si>
  <si>
    <t>FORCEP, ENDOSCP, DUCKBILL, 5X320 MM, GRASPING, DISECT, DBL ACT, MONOPOLAR, FULL INSUL, FLATTENED SERRATED JAW, INSUL HNDL, NS, LTX</t>
  </si>
  <si>
    <t>FORCEP, ENDOSCP, DUCKBILL, 5X320 MM, GRASPING, DISECT, DBL ACT</t>
  </si>
  <si>
    <t>GRASPING, DISSECTING, DOUBLE ACTION, MONOPOLAR, FULLY INSULATED, FLATTENED SERRATED JAW, INSULATED HANDLE</t>
  </si>
  <si>
    <t>https://www.camaramx.com/wp-content/themes/camara/images/pdf/15-%20Laparoscopic.pdf, https://accessgudid.nlm.nih.gov/devices/00887482142097</t>
  </si>
  <si>
    <t>901050B</t>
  </si>
  <si>
    <t>90-1050B</t>
  </si>
  <si>
    <t>JNJ_901050B</t>
  </si>
  <si>
    <t>Symmetry Insert Fundus Tri-Max Grasper Forceps 5 mm 320 mm</t>
  </si>
  <si>
    <t>PRODIGO1066620</t>
  </si>
  <si>
    <t>Insert 5x320 Mm Fundus Grasping Double Action Trimax Ratchet Handle</t>
  </si>
  <si>
    <t>INSERT, FORCEP, FUNDUS, 5X320 MM, GRASPING, DOUBLE ACTION, TRIMAX, RATCHET HANDLE</t>
  </si>
  <si>
    <t>INSERT, FORCEP, FUND, 5X320 MM, GRASPING, DBL ACT, TRIMAX, RATCH HNDL</t>
  </si>
  <si>
    <t>INSERT, FORCEP, FUND, 5X320 MM, GRASPING, DBL ACT, TRIMAX, RATCH</t>
  </si>
  <si>
    <t>FUNDUS</t>
  </si>
  <si>
    <t>GRASPING, DOUBLE ACTION, TRIMAX, RATCHET HANDLE</t>
  </si>
  <si>
    <t>https://www.camaramx.com/wp-content/themes/camara/images/pdf/15-%20Laparoscopic.pdf</t>
  </si>
  <si>
    <t>901050R</t>
  </si>
  <si>
    <t>90-1050R</t>
  </si>
  <si>
    <t>JNJ_901050R</t>
  </si>
  <si>
    <t>Symmetry Forceps Fundus Tri-Max Grasper Ratchet Handle 5 mm 320 mm</t>
  </si>
  <si>
    <t>PRODIGO1066621</t>
  </si>
  <si>
    <t>Forcep 5x320 Mm Fundus Grasping Double Action Trimax Ratchet Handle Replacement Jaw Assembly</t>
  </si>
  <si>
    <t>FORCEP, ENDOSCOPIC, FUNDUS, 5X320 MM, GRASPING, DOUBLE ACTION, TRIMAX, RATCHET HANDLE, REPLACEMENT JAW ASSEMBLY</t>
  </si>
  <si>
    <t>FORCEP, ENDOSCP, FUND, 5X320 MM, GRASPING, DBL ACT, TRIMAX, RATCH HNDL, REPL JAW ASMBLY</t>
  </si>
  <si>
    <t>FORCEP, ENDOSCP, FUND, 5X320 MM, GRASPING, DBL ACT, TRIMAX</t>
  </si>
  <si>
    <t>GRASPING, DOUBLE ACTION, TRIMAX, RATCHET HANDLE, REPLACEMENT JAW ASSEMBLY</t>
  </si>
  <si>
    <t>901065I</t>
  </si>
  <si>
    <t>90-1065I</t>
  </si>
  <si>
    <t>JNJ_901065I</t>
  </si>
  <si>
    <t>Symmetry Forceps Monopolar Maryland Dissecting Insulated 10 mm 317 mm</t>
  </si>
  <si>
    <t>PRODIGO1066622</t>
  </si>
  <si>
    <t>Forcep 10x317 Mm Maryland Dissecting Double Action Monopolar Fully Insulated Non Sterile Latex</t>
  </si>
  <si>
    <t>FORCEP, ENDOSCOPIC, MARYLAND, 10X317 MM, DISSECTING, DOUBLE ACTION, MONOPOLAR, FULLY INSULATED, NON STERILE, LATEX</t>
  </si>
  <si>
    <t>FORCEP, ENDOSCP, MARYLAND, 10X317 MM, DISECT, DBL ACT, MONOPOLAR, FULL INSUL, NS, LTX</t>
  </si>
  <si>
    <t>FORCEP, ENDOSCP, MARYLAND, 10X317 MM, DISECT, DBL ACT, MONOPOLAR</t>
  </si>
  <si>
    <t>MARYLAND</t>
  </si>
  <si>
    <t>10X317 MM</t>
  </si>
  <si>
    <t>DISSECTING, DOUBLE ACTION, MONOPOLAR, FULLY INSULATED</t>
  </si>
  <si>
    <t>https://www.camaramx.com/wp-content/themes/camara/images/pdf/15-%20Laparoscopic.pdf, https://accessgudid.nlm.nih.gov/devices/00190776081966</t>
  </si>
  <si>
    <t>901069B</t>
  </si>
  <si>
    <t>90-1069B</t>
  </si>
  <si>
    <t>JNJ_901069B</t>
  </si>
  <si>
    <t>Symmetry Insert Grasping Forceps Snake Tooth 5 mm 320 mm</t>
  </si>
  <si>
    <t>PRODIGO1066623</t>
  </si>
  <si>
    <t>Insert 5x320 Mm Snake Tooth 2x2 Teeth Grasping Double Action Rotation Knob Non Insulated Without Flushport Ratchet Handle Replacement Jaw Assembly</t>
  </si>
  <si>
    <t>INSERT, FORCEP, SNAKE TOOTH, 5X320 MM, 2X2 TEETH, GRASPING, DOUBLE ACTION, ROTATION KNOB, NON INSULATED, WITHOUT FLUSHPORT, RATCHET HANDLE, REPLACEMENT JAW ASSEMBLY</t>
  </si>
  <si>
    <t>INSERT, FORCEP, SNAKE TOOTH, 5X320 MM, 2X2 TEETH, GRASPING, DBL ACT, ROT KNOB, N INSUL, W/O FLUSHPORT, RATCH HNDL, REPL JAW ASMBLY</t>
  </si>
  <si>
    <t>INSERT, FORCEP, SNAKE TOOTH, 5X320 MM, 2X2 TEETH, GRASPING</t>
  </si>
  <si>
    <t>SNAKE TOOTH</t>
  </si>
  <si>
    <t>2X2 TEETH, GRASPING, DOUBLE ACTION, ROTATION KNOB, NON INSULATED, WITHOUT FLUSHPORT, RATCHET HANDLE, REPLACEMENT JAW ASSEMBLY</t>
  </si>
  <si>
    <t>901069R</t>
  </si>
  <si>
    <t>90-1069R</t>
  </si>
  <si>
    <t>JNJ_901069R</t>
  </si>
  <si>
    <t>Symmetry Forceps Grasping w/O Flushport Ratchet Handle Snake Tooth 5 mm 320 mm</t>
  </si>
  <si>
    <t>PRODIGO1066624</t>
  </si>
  <si>
    <t>Forcep 5x320 Mm Snake Tooth 2x2 Teeth Grasping Double Action Rotation Knob Non Insulated Without Flushport Ratchet Handle</t>
  </si>
  <si>
    <t>FORCEP, ENDOSCOPIC, SNAKE TOOTH, 5X320 MM, 2X2 TEETH, GRASPING, DOUBLE ACTION, ROTATION KNOB, NON INSULATED, WITHOUT FLUSHPORT, RATCHET HANDLE</t>
  </si>
  <si>
    <t>FORCEP, ENDOSCP, SNAKE TOOTH, 5X320 MM, 2X2 TEETH, GRASPING, DBL ACT, ROT KNOB, N INSUL, W/O FLUSHPORT, RATCH HNDL</t>
  </si>
  <si>
    <t>FORCEP, ENDOSCP, SNAKE TOOTH, 5X320 MM, 2X2 TEETH, GRASPING</t>
  </si>
  <si>
    <t>2X2 TEETH, GRASPING, DOUBLE ACTION, ROTATION KNOB, NON INSULATED, WITHOUT FLUSHPORT, RATCHET HANDLE</t>
  </si>
  <si>
    <t>901115</t>
  </si>
  <si>
    <t>90-1115</t>
  </si>
  <si>
    <t>JNJ_901115</t>
  </si>
  <si>
    <t>Symmetry Sheath 5 mm Diameter w/Flushport 320 mm</t>
  </si>
  <si>
    <t>PRODIGO1066625</t>
  </si>
  <si>
    <t>42294978  Endoscopic trocar or sheath or obturator or cannula</t>
  </si>
  <si>
    <t>Sheath 5x320 Mm With Flushport</t>
  </si>
  <si>
    <t>SHEATH, ENDOSCOPIC, 5X320 MM, WITH FLUSHPORT</t>
  </si>
  <si>
    <t>SHEATH, ENDOSCP, 5X320 MM, W/ FLUSHPORT</t>
  </si>
  <si>
    <t>SHEATH</t>
  </si>
  <si>
    <t>WITH FLUSHPORT</t>
  </si>
  <si>
    <t>https://shop.symmetrysurgical.com/en/product/sites-of-care-ambulatory-surgery-center/90-1115</t>
  </si>
  <si>
    <t>901115L</t>
  </si>
  <si>
    <t>90-1115L</t>
  </si>
  <si>
    <t>JNJ_901115L</t>
  </si>
  <si>
    <t>Symmetry Sheath 5 mm Diameter w/Flushport 450 mm</t>
  </si>
  <si>
    <t>PRODIGO1066626</t>
  </si>
  <si>
    <t>Sheath 5x450 Mm Outer With Flushport Insulated</t>
  </si>
  <si>
    <t>SHEATH, ENDOSCOPIC, OUTER, 5X450 MM, WITH FLUSHPORT, INSULATED</t>
  </si>
  <si>
    <t>SHEATH, ENDOSCP, OUTER, 5X450 MM, W/ FLUSHPORT, INSUL</t>
  </si>
  <si>
    <t>OUTER</t>
  </si>
  <si>
    <t>5X450 MM</t>
  </si>
  <si>
    <t>WITH FLUSHPORT, INSULATED</t>
  </si>
  <si>
    <t>905050</t>
  </si>
  <si>
    <t>90-5050</t>
  </si>
  <si>
    <t>JNJ_905050</t>
  </si>
  <si>
    <t>Symmetry Needle Puncture Needle 5.0 mm Diameter 19 Gauge w/Irrigation 13 in 33 cm</t>
  </si>
  <si>
    <t>PRODIGO1066627</t>
  </si>
  <si>
    <t>42294903  Endoscopic aspiration or biopsy needles</t>
  </si>
  <si>
    <t>Needle 5 Mmx13 In 19 Ga Irrigation Puncture Aspiration Non Sterile Latex</t>
  </si>
  <si>
    <t>NEEDLE, ENDOSCOPIC, IRRIGATION, 5 MMX13 IN, 19 GA, PUNCTURE, ASPIRATION, NON STERILE, LATEX</t>
  </si>
  <si>
    <t>NEEDLE, ENDOSCP, IRRIGATION, 5 MMX13 IN, 19 GA, PUNC, ASPIR, NS, LTX</t>
  </si>
  <si>
    <t>IRRIGATION</t>
  </si>
  <si>
    <t>5 MMX13 IN</t>
  </si>
  <si>
    <t>19 GA</t>
  </si>
  <si>
    <t>PUNCTURE, ASPIRATION</t>
  </si>
  <si>
    <t>SYMMETRY 33 cm</t>
  </si>
  <si>
    <t>https://shop.symmetrysurgical.com/en/product/sites-of-care-ambulatory-surgery-center/90-5050, https://accessgudid.nlm.nih.gov/devices/00887482129807</t>
  </si>
  <si>
    <t>905050L</t>
  </si>
  <si>
    <t>90-5050L</t>
  </si>
  <si>
    <t>JNJ_905050L</t>
  </si>
  <si>
    <t>Symmetry Needle Puncture Needle 5.0 mm Diameter 19 Gauge w/Irrigation 45 cm</t>
  </si>
  <si>
    <t>PRODIGO1066628</t>
  </si>
  <si>
    <t>Needle 5 Mmx45 Cm 19 Ga Irrigation Puncture Aspiration Non Sterile Latex</t>
  </si>
  <si>
    <t>NEEDLE, ENDOSCOPIC, IRRIGATION, 5 MMX45 CM, 19 GA, PUNCTURE, ASPIRATION, NON STERILE, LATEX</t>
  </si>
  <si>
    <t>NEEDLE, ENDOSCP, IRRIGATION, 5 MMX45 CM, 19 GA, PUNC, ASPIR, NS, LTX</t>
  </si>
  <si>
    <t>5 MMX45 CM</t>
  </si>
  <si>
    <t>https://www.camaramx.com/wp-content/themes/camara/images/pdf/15-%20Laparoscopic.pdf, https://accessgudid.nlm.nih.gov/devices/00887482129814</t>
  </si>
  <si>
    <t>905053</t>
  </si>
  <si>
    <t>90-5053</t>
  </si>
  <si>
    <t>JNJ_905053</t>
  </si>
  <si>
    <t>Symmetry Probe Palpitation 12 5/8 in 32 cm</t>
  </si>
  <si>
    <t>PRODIGO1066629</t>
  </si>
  <si>
    <t>42294928  Endoscopic probes</t>
  </si>
  <si>
    <t>Probe 12-5/8 In Palpation Non Sterile Latex</t>
  </si>
  <si>
    <t>PROBE, ENDOSCOPIC, PALPATION, 12-5/8 IN, NON STERILE, LATEX</t>
  </si>
  <si>
    <t>PROBE, ENDOSCP, PALPATION, 12-5/8 IN, NS, LTX</t>
  </si>
  <si>
    <t>PALPATION</t>
  </si>
  <si>
    <t>12-5/8 IN</t>
  </si>
  <si>
    <t>SYMMETRY 32 cm</t>
  </si>
  <si>
    <t>https://shop.symmetrysurgical.com/en/product/sites-of-care-ambulatory-surgery-center/90-5053, https://accessgudid.nlm.nih.gov/devices/00887482129869</t>
  </si>
  <si>
    <t>905053L</t>
  </si>
  <si>
    <t>90-5053L</t>
  </si>
  <si>
    <t>JNJ_905053L</t>
  </si>
  <si>
    <t>Symmetry Probe Palpitation 17 3/4 in 45 cm</t>
  </si>
  <si>
    <t>PRODIGO1066630</t>
  </si>
  <si>
    <t>Probe 5 Mmx45 Cm Palpation With Centimeter Graduations Non Sterile Latex</t>
  </si>
  <si>
    <t>PROBE, ENDOSCOPIC, PALPATION, 5 MMX45 CM, WITH CENTIMETER GRADUATIONS, NON STERILE, LATEX</t>
  </si>
  <si>
    <t>PROBE, ENDOSCP, PALPATION, 5 MMX45 CM, W/ CM GRADUATIONS, NS, LTX</t>
  </si>
  <si>
    <t>WITH CENTIMETER GRADUATIONS</t>
  </si>
  <si>
    <t>SYMMETRY 17 3/4 in</t>
  </si>
  <si>
    <t>https://www.camaramx.com/wp-content/themes/camara/images/pdf/15-%20Laparoscopic.pdf, https://accessgudid.nlm.nih.gov/devices/00887482129876</t>
  </si>
  <si>
    <t>951048SLDA</t>
  </si>
  <si>
    <t>95-1048SL-DA</t>
  </si>
  <si>
    <t>JNJ_951048SLDA</t>
  </si>
  <si>
    <t>Symmetry Grasper Slide Locking Double-Action 5.0 mm Aggressive Jaw 330 mm</t>
  </si>
  <si>
    <t>PRODIGO1066631</t>
  </si>
  <si>
    <t>Grasper 5x330 Mm Double Action Slide Locking Aggressive Jaw</t>
  </si>
  <si>
    <t>GRASPER, ENDOSCOPIC, 5X330 MM, DOUBLE ACTION, SLIDE LOCKING, AGGRESSIVE JAW</t>
  </si>
  <si>
    <t>GRASPER, ENDOSCP, 5X330 MM, DBL ACT, SLIDE LCK, AGGRESSIVE JAW</t>
  </si>
  <si>
    <t>GRASPER</t>
  </si>
  <si>
    <t>5X330 MM</t>
  </si>
  <si>
    <t>DOUBLE ACTION, SLIDE LOCKING, AGGRESSIVE JAW</t>
  </si>
  <si>
    <t>https://shop.symmetrysurgical.com/en/product/sites-of-care-ambulatory-surgery-center/95-1048SL-DA</t>
  </si>
  <si>
    <t>961079R</t>
  </si>
  <si>
    <t>96-1079R</t>
  </si>
  <si>
    <t>JNJ_961079R</t>
  </si>
  <si>
    <t>RapidClean Grasper Modular CFH Babcock Ratchet Lock Handle 10.0 mm 330 mm</t>
  </si>
  <si>
    <t>PRODIGO1066632</t>
  </si>
  <si>
    <t>Rapidclean Grasper 10x330 Mm Babcock Double Action Locking Ratchet Handle Modular Carbon Fiber Handle Non Sterile Latex</t>
  </si>
  <si>
    <t>GRASPER, ENDOSCOPIC, BABCOCK, 10X330 MM, DOUBLE ACTION, LOCKING, RATCHET HANDLE, MODULAR CARBON FIBER HANDLE, NON STERILE, RAPIDCLEAN, LATEX</t>
  </si>
  <si>
    <t>GRASPER, ENDOSCP, BABCOCK, 10X330 MM, DBL ACT, LCK, RATCH HNDL, MOD CARBON FIBER HNDL, NS, RAPIDCLEAN, LTX</t>
  </si>
  <si>
    <t>GRASPER, ENDOSCP, BABCOCK, 10X330 MM, DBL ACT, LCK, RAPIDCLEAN</t>
  </si>
  <si>
    <t>10X330 MM</t>
  </si>
  <si>
    <t>DOUBLE ACTION, LOCKING, RATCHET HANDLE, MODULAR CARBON FIBER HANDLE</t>
  </si>
  <si>
    <t>RAPIDCLEAN</t>
  </si>
  <si>
    <t>https://www.camaramx.com/wp-content/themes/camara/images/pdf/15-%20Laparoscopic.pdf, https://accessgudid.nlm.nih.gov/devices/00887482131718</t>
  </si>
  <si>
    <t>961089R45</t>
  </si>
  <si>
    <t>96-1089R-45</t>
  </si>
  <si>
    <t>JNJ_961089R45</t>
  </si>
  <si>
    <t>RapidClean Grasper Modular CFH Babcock Ratchet Lock Handle 5.0 mm 450 mm</t>
  </si>
  <si>
    <t>PRODIGO1066633</t>
  </si>
  <si>
    <t>Rapidclean Grasper 5x450 Mm Babcock Double Action Locking Ratchet Handle Modular Carbon Fiber Handle Non Sterile Latex</t>
  </si>
  <si>
    <t>GRASPER, ENDOSCOPIC, BABCOCK, 5X450 MM, DOUBLE ACTION, LOCKING, RATCHET HANDLE, MODULAR CARBON FIBER HANDLE, NON STERILE, RAPIDCLEAN, LATEX</t>
  </si>
  <si>
    <t>GRASPER, ENDOSCP, BABCOCK, 5X450 MM, DBL ACT, LCK, RATCH HNDL, MOD CARBON FIBER HNDL, NS, RAPIDCLEAN, LTX</t>
  </si>
  <si>
    <t>GRASPER, ENDOSCP, BABCOCK, 5X450 MM, DBL ACT, LCK, RAPIDCLEAN</t>
  </si>
  <si>
    <t>https://www.camaramx.com/wp-content/themes/camara/images/pdf/15-%20Laparoscopic.pdf, https://accessgudid.nlm.nih.gov/devices/00887482143391</t>
  </si>
  <si>
    <t>971035RC</t>
  </si>
  <si>
    <t>97-1035RC</t>
  </si>
  <si>
    <t>JNJ_971035RC</t>
  </si>
  <si>
    <t>Symmetry Forceps Dissecting Rotating Cup Tooth 5 mm 350 mm</t>
  </si>
  <si>
    <t>PRODIGO1066634</t>
  </si>
  <si>
    <t>Forcep 5x350 Mm Cup Tooth Dissecting Double Action Rotation Fully Insulated Non Locking Handle Non Sterile Latex</t>
  </si>
  <si>
    <t>FORCEP, ENDOSCOPIC, CUP TOOTH, 5X350 MM, DISSECTING, DOUBLE ACTION, ROTATION, FULLY INSULATED, NON LOCKING HANDLE, NON STERILE, LATEX</t>
  </si>
  <si>
    <t>FORCEP, ENDOSCP, CUP TOOTH, 5X350 MM, DISECT, DBL ACT, ROT, FULL INSUL, N LCK HNDL, NS, LTX</t>
  </si>
  <si>
    <t>FORCEP, ENDOSCP, CUP TOOTH, 5X350 MM, DISECT, DBL ACT, ROT</t>
  </si>
  <si>
    <t>5X350 MM</t>
  </si>
  <si>
    <t>DISSECTING, DOUBLE ACTION, ROTATION, FULLY INSULATED, NON LOCKING HANDLE</t>
  </si>
  <si>
    <t>https://www.camaramx.com/wp-content/themes/camara/images/pdf/15-%20Laparoscopic.pdf, https://accessgudid.nlm.nih.gov/devices/00887482131916</t>
  </si>
  <si>
    <t>971050RC</t>
  </si>
  <si>
    <t>97-1050RC</t>
  </si>
  <si>
    <t>JNJ_971050RC</t>
  </si>
  <si>
    <t>Symmetry Grasper Fundus 5 mm 362 mm</t>
  </si>
  <si>
    <t>PRODIGO1066635</t>
  </si>
  <si>
    <t>Grasper 5x362 Mm Fundus Non Sterile Latex</t>
  </si>
  <si>
    <t>GRASPER, ENDOSCOPIC, FUNDUS, 5X362 MM, NON STERILE, LATEX</t>
  </si>
  <si>
    <t>GRASPER, ENDOSCP, FUND, 5X362 MM, NS, LTX</t>
  </si>
  <si>
    <t>5X362 MM</t>
  </si>
  <si>
    <t>https://shop.symmetrysurgical.com/en/product/sites-of-care-ambulatory-surgery-center/97-1050RC, https://accessgudid.nlm.nih.gov/devices/00887482131961</t>
  </si>
  <si>
    <t>971055RC</t>
  </si>
  <si>
    <t>97-1055RC</t>
  </si>
  <si>
    <t>JNJ_971055RC</t>
  </si>
  <si>
    <t>Symmetry Forceps Cup Ratchet Handle &amp; Rotation 5 mm 320 mm</t>
  </si>
  <si>
    <t>PRODIGO1066636</t>
  </si>
  <si>
    <t>Forcep 5x320 Mm Cup Tooth Grasping Double Action Rotation Ratchet Handle Non Sterile Latex</t>
  </si>
  <si>
    <t>FORCEP, ENDOSCOPIC, CUP TOOTH, 5X320 MM, GRASPING, DOUBLE ACTION, ROTATION, RATCHET HANDLE, NON STERILE, LATEX</t>
  </si>
  <si>
    <t>FORCEP, ENDOSCP, CUP TOOTH, 5X320 MM, GRASPING, DBL ACT, ROT, RATCH HNDL, NS, LTX</t>
  </si>
  <si>
    <t>FORCEP, ENDOSCP, CUP TOOTH, 5X320 MM, GRASPING, DBL ACT, ROT</t>
  </si>
  <si>
    <t>GRASPING, DOUBLE ACTION, ROTATION, RATCHET HANDLE</t>
  </si>
  <si>
    <t>https://www.camaramx.com/wp-content/themes/camara/images/pdf/15-%20Laparoscopic.pdf, https://accessgudid.nlm.nih.gov/devices/00887482131992</t>
  </si>
  <si>
    <t>971078RC</t>
  </si>
  <si>
    <t>97-1078RC</t>
  </si>
  <si>
    <t>JNJ_971078RC</t>
  </si>
  <si>
    <t>Symmetry Forceps Allis Grasping Ratchet Handle &amp; Rotation</t>
  </si>
  <si>
    <t>PRODIGO1066637</t>
  </si>
  <si>
    <t>Forcep 5x320 Mm Allis Grasping Rotation Ratchet Handle Non Sterile Latex</t>
  </si>
  <si>
    <t>FORCEP, ENDOSCOPIC, ALLIS, 5X320 MM, GRASPING, ROTATION, RATCHET HANDLE, NON STERILE, LATEX</t>
  </si>
  <si>
    <t>FORCEP, ENDOSCP, ALLIS, 5X320 MM, GRASPING, ROT, RATCH HNDL, NS, LTX</t>
  </si>
  <si>
    <t>ALLIS</t>
  </si>
  <si>
    <t>GRASPING, ROTATION, RATCHET HANDLE</t>
  </si>
  <si>
    <t>https://www.camaramx.com/wp-content/themes/camara/images/pdf/15-%20Laparoscopic.pdf, https://accessgudid.nlm.nih.gov/devices/00887482132159</t>
  </si>
  <si>
    <t>971083RC</t>
  </si>
  <si>
    <t>97-1083RC</t>
  </si>
  <si>
    <t>JNJ_971083RC</t>
  </si>
  <si>
    <t>Symmetry Forceps Duval Ratchet Handle &amp; Rotation 10 mm 320 mm</t>
  </si>
  <si>
    <t>PRODIGO1066638</t>
  </si>
  <si>
    <t>Forcep 10x320 Mm Duval Grasping Rotation Ratchet Handle Non Sterile Latex</t>
  </si>
  <si>
    <t>FORCEP, ENDOSCOPIC, DUVAL, 10X320 MM, GRASPING, ROTATION, RATCHET HANDLE, NON STERILE, LATEX</t>
  </si>
  <si>
    <t>FORCEP, ENDOSCP, DUVAL, 10X320 MM, GRASPING, ROT, RATCH HNDL, NS, LTX</t>
  </si>
  <si>
    <t>FORCEP, ENDOSCP, DUVAL, 10X320 MM, GRASPING, ROT, RATCH HNDL, NS</t>
  </si>
  <si>
    <t>DUVAL</t>
  </si>
  <si>
    <t>10X320 MM</t>
  </si>
  <si>
    <t>https://www.camaramx.com/wp-content/themes/camara/images/pdf/15-%20Laparoscopic.pdf, https://accessgudid.nlm.nih.gov/devices/00887482132180</t>
  </si>
  <si>
    <t>LSH02</t>
  </si>
  <si>
    <t>LSH-02</t>
  </si>
  <si>
    <t>JNJ_LSH02</t>
  </si>
  <si>
    <t>Liquid Scope HelpOR™ II Liquid Scope WarmOR™ Long two trocar swabs (5-8mm and 10-12mm) one microfiber cloth Sterile (10/bx)</t>
  </si>
  <si>
    <t>PRODIGO1066639</t>
  </si>
  <si>
    <t>42191906  Blanket or solution warmer cabinets</t>
  </si>
  <si>
    <t>Liquid Scope Helpor Ii Liquid Scope Warmor Warmer 5-8 Mm 10-12 Mm Two Long Trocar Swab One Microfiber Cloth Sterile Latex-free</t>
  </si>
  <si>
    <t>WARMER, INSTRUMENT, 5-8 MM, 10-12 MM, TWO LONG TROCAR SWAB, ONE MICROFIBER CLOTH, STERILE, LIQUID SCOPE HELPOR II, LIQUID SCOPE WARMOR, LATEX-FREE</t>
  </si>
  <si>
    <t>WARMER, INSTRUMENT, 5-8 MM, 10-12 MM, TWO LNG TROCAR SWAB, 1 MICROFIBER CLTH, STRL, LIQ SCP HELPOR II, LIQ SCP WARMOR, LF</t>
  </si>
  <si>
    <t>WARMER, INSTRUMENT, 5-8 MM, 10-12 MM, LIQ SCP HELPOR II</t>
  </si>
  <si>
    <t>WARMER</t>
  </si>
  <si>
    <t>5-8 MM, 10-12 MM</t>
  </si>
  <si>
    <t>TWO LONG TROCAR SWAB, ONE MICROFIBER CLOTH</t>
  </si>
  <si>
    <t>LIQUID SCOPE HELPOR II, LIQUID SCOPE WARMOR</t>
  </si>
  <si>
    <t>(10/bx)</t>
  </si>
  <si>
    <t>https://shop.symmetrysurgical.com/en/product/portfolios-minimally-invasive-surgery/LSH-01.02--LSH-02, https://accessgudid.nlm.nih.gov/devices/09349967004869</t>
  </si>
  <si>
    <t>Classified to nearest level</t>
  </si>
  <si>
    <t>OB01</t>
  </si>
  <si>
    <t>OB-01</t>
  </si>
  <si>
    <t>JNJ_OB01</t>
  </si>
  <si>
    <t>Uterine ElevatOR PRO with Occluder Balloon Balloon Only Sterile Box/6</t>
  </si>
  <si>
    <t>PRODIGO1066640</t>
  </si>
  <si>
    <t>42143115  Uterine manipulators or injectors</t>
  </si>
  <si>
    <t>Elevator Pro Manipulator Uterine With Occluder Balloon Sterile Latex</t>
  </si>
  <si>
    <t>MANIPULATOR, SURGICAL, UTERINE, WITH OCCLUDER, BALLOON, STERILE, ELEVATOR PRO, LATEX</t>
  </si>
  <si>
    <t>MANIPULATOR, SURG, UTER, W/ OCCL, BALLOON, STRL, ELEV PRO, LTX</t>
  </si>
  <si>
    <t>MANIPULATOR</t>
  </si>
  <si>
    <t>UTERINE</t>
  </si>
  <si>
    <t>WITH OCCLUDER, BALLOON</t>
  </si>
  <si>
    <t>ELEVATOR PRO</t>
  </si>
  <si>
    <t xml:space="preserve">Box/6 Only </t>
  </si>
  <si>
    <t>https://shop.symmetrysurgical.com/en/product/portfolios-minimally-invasive-surgery-trans-vaginal-management/UE-TVPRO-32.35.37--OB-01, https://accessgudid.nlm.nih.gov/devices/09349967004890</t>
  </si>
  <si>
    <t>CHJ</t>
  </si>
  <si>
    <t>https://www.yumpu.com/en/document/read/50710116/amdproduct-list-2010pdf-karras-medical-inc, https://accessgudid.nlm.nih.gov/devices/00848340000058</t>
  </si>
  <si>
    <t>https://www.advancemedicaldesigns.com/category/banded-bags-dome-covers/banded-bags, https://www.yumpu.com/en/document/read/50710116/amdproduct-list-2010pdf-karras-medical-inc, https://accessgudid.nlm.nih.gov/devices/00848340006791</t>
  </si>
  <si>
    <t>https://www.advancemedicaldesigns.com/category/banded-bags-dome-covers/banded-bags, https://www.yumpu.com/en/document/read/50710116/amdproduct-list-2010pdf-karras-medical-inc, https://accessgudid.nlm.nih.gov/devices/00848340000072</t>
  </si>
  <si>
    <t>https://www.advancemedicaldesigns.com/category/banded-bags-dome-covers/banded-bags, https://www.yumpu.com/en/document/read/50710116/amdproduct-list-2010pdf-karras-medical-inc, https://accessgudid.nlm.nih.gov/devices/00848340000089</t>
  </si>
  <si>
    <t>https://www.advancemedicaldesigns.com/category/banded-bags-dome-covers/banded-bags, https://www.yumpu.com/en/document/read/50710116/amdproduct-list-2010pdf-karras-medical-inc, https://accessgudid.nlm.nih.gov/devices/00848340000096</t>
  </si>
  <si>
    <t>https://www.advancemedicaldesigns.com/category/banded-bags-dome-covers/banded-bags, https://www.yumpu.com/en/document/read/50710116/amdproduct-list-2010pdf-karras-medical-inc, https://accessgudid.nlm.nih.gov/devices/00848340000119</t>
  </si>
  <si>
    <t>https://www.advancemedicaldesigns.com/category/banded-bags-dome-covers/banded-bags, https://www.yumpu.com/en/document/read/50710116/amdproduct-list-2010pdf-karras-medical-inc, https://accessgudid.nlm.nih.gov/devices/00848340000133</t>
  </si>
  <si>
    <t>https://www.advancemedicaldesigns.com/category/banded-bags-dome-covers/banded-bags, https://www.yumpu.com/en/document/read/50710116/amdproduct-list-2010pdf-karras-medical-inc, https://accessgudid.nlm.nih.gov/devices/00848340000126</t>
  </si>
  <si>
    <t>https://www.advancemedicaldesigns.com/category/banded-bags-dome-covers/banded-bags, https://www.yumpu.com/en/document/read/50710116/amdproduct-list-2010pdf-karras-medical-inc, https://accessgudid.nlm.nih.gov/devices/00848340000157</t>
  </si>
  <si>
    <t>https://www.advancemedicaldesigns.com/category/banded-bags-dome-covers/banded-bags, https://www.yumpu.com/en/document/read/50710116/amdproduct-list-2010pdf-karras-medical-inc, https://accessgudid.nlm.nih.gov/devices/00848340000171</t>
  </si>
  <si>
    <t>https://www.advancemedicaldesigns.com/category/banded-bags-dome-covers/banded-bags, https://accessgudid.nlm.nih.gov/devices/00848340000294</t>
  </si>
  <si>
    <t>https://www.advancemedicaldesigns.com/category/banded-bags-dome-covers/banded-bags, https://accessgudid.nlm.nih.gov/devices/00848340000300</t>
  </si>
  <si>
    <t>https://www.advancemedicaldesigns.com/category/banded-bags-dome-covers/banded-bags, https://accessgudid.nlm.nih.gov/devices/00848340000317</t>
  </si>
  <si>
    <t>https://www.advancemedicaldesigns.com/category/banded-bags-dome-covers/banded-bags, https://accessgudid.nlm.nih.gov/devices/00848340000324</t>
  </si>
  <si>
    <t>https://www.advancemedicaldesigns.com/category/banded-bags-dome-covers/banded-bags, https://accessgudid.nlm.nih.gov/devices/00848340000355</t>
  </si>
  <si>
    <t>https://www.advancemedicaldesigns.com/category/banded-bags-dome-covers/banded-bags, https://accessgudid.nlm.nih.gov/devices/00848340000362</t>
  </si>
  <si>
    <t>https://www.advancemedicaldesigns.com/category/banded-bags-dome-covers/banded-bags, https://accessgudid.nlm.nih.gov/devices/00848340000379</t>
  </si>
  <si>
    <t>https://www.advancemedicaldesigns.com/category/banded-bags-dome-covers/banded-bags, https://accessgudid.nlm.nih.gov/devices/00848340000386</t>
  </si>
  <si>
    <t>https://www.advancemedicaldesigns.com/category/banded-bags-dome-covers/banded-bags, https://accessgudid.nlm.nih.gov/devices/00848340000409</t>
  </si>
  <si>
    <t>https://www.advancemedicaldesigns.com/category/banded-bags-dome-covers/banded-bags, https://accessgudid.nlm.nih.gov/devices/00848340000416</t>
  </si>
  <si>
    <t>https://www.advancemedicaldesigns.com/category/banded-bags-dome-covers/banded-bags, https://accessgudid.nlm.nih.gov/devices/00848340000423</t>
  </si>
  <si>
    <t>https://www.advancemedicaldesigns.com/category/accessory-drapes/drape-sheets, https://accessgudid.nlm.nih.gov/devices/00848340001604</t>
  </si>
  <si>
    <t>https://www.advancemedicaldesigns.com/category/accessory-drapes/drape-sheets, https://accessgudid.nlm.nih.gov/devices/00848340001642</t>
  </si>
  <si>
    <t>https://www.advancemedicaldesigns.com/category/accessory-drapes/drape-sheets, https://accessgudid.nlm.nih.gov/devices/00848340001659</t>
  </si>
  <si>
    <t>https://www.advancemedicaldesigns.com/category/banded-bags-dome-covers/banded-bags, https://accessgudid.nlm.nih.gov/devices/00848340000225</t>
  </si>
  <si>
    <t>https://www.advancemedicaldesigns.com/category/banded-bags-dome-covers/banded-bags, https://accessgudid.nlm.nih.gov/devices/00848340008672</t>
  </si>
  <si>
    <t>https://www.advancemedicaldesigns.com/category/banded-bags-dome-covers/dome-covers, https://accessgudid.nlm.nih.gov/devices/00848340000430</t>
  </si>
  <si>
    <t>https://www.advancemedicaldesigns.com/category/banded-bags-dome-covers/dome-covers, https://accessgudid.nlm.nih.gov/devices/00848340000508</t>
  </si>
  <si>
    <t>https://www.advancemedicaldesigns.com/category/banded-bags-dome-covers/dome-covers, https://accessgudid.nlm.nih.gov/devices/00848340000515</t>
  </si>
  <si>
    <t>https://www.advancemedicaldesigns.com/category/camera-drapes/camera-laser-covers, https://accessgudid.nlm.nih.gov/devices/00848340001505</t>
  </si>
  <si>
    <t>https://www.advancemedicaldesigns.com/category/camera-drapes/camera-laser-covers, https://accessgudid.nlm.nih.gov/devices/00848340001512</t>
  </si>
  <si>
    <t>https://www.advancemedicaldesigns.com/category/camera-drapes/camera-laser-covers, https://accessgudid.nlm.nih.gov/devices/00848340001536</t>
  </si>
  <si>
    <t>https://www.advancemedicaldesigns.com/category/camera-drapes/camera-laser-covers, https://accessgudid.nlm.nih.gov/devices/00848340007071</t>
  </si>
  <si>
    <t>https://www.advancemedicaldesigns.com/category/camera-drapes/camera-laser-covers, https://accessgudid.nlm.nih.gov/devices/00848340001550</t>
  </si>
  <si>
    <t>https://www.advancemedicaldesigns.com/category/camera-drapes/closed-camera-system, https://accessgudid.nlm.nih.gov/devices/00848340001581</t>
  </si>
  <si>
    <t>https://www.advancemedicaldesigns.com/category/accessory-drapes/accessory-drape, https://accessgudid.nlm.nih.gov/devices/00848340002175</t>
  </si>
  <si>
    <t>https://www.advancemedicaldesigns.com/category/accessory-drapes/accessory-drape, https://accessgudid.nlm.nih.gov/devices/00848340002182</t>
  </si>
  <si>
    <t>https://www.yumpu.com/en/document/read/50710116/amdproduct-list-2010pdf-karras-medical-inc, https://accessgudid.nlm.nih.gov/devices/00848340002199</t>
  </si>
  <si>
    <t>https://www.advancemedicaldesigns.com/category/accessory-drapes/accessory-drape, https://accessgudid.nlm.nih.gov/devices/00848340000065</t>
  </si>
  <si>
    <t>https://www.advancemedicaldesigns.com/category/accessory-drapes/accessory-drape, https://accessgudid.nlm.nih.gov/devices/00848340002205</t>
  </si>
  <si>
    <t>https://www.advancemedicaldesigns.com/category/accessory-drapes/towel-drape, https://accessgudid.nlm.nih.gov/devices/00848340007996</t>
  </si>
  <si>
    <t>https://www.advancemedicaldesigns.com/category/accessory-drapes/towel-drape, https://accessgudid.nlm.nih.gov/devices/00848340007217</t>
  </si>
  <si>
    <t>https://www.advancemedicaldesigns.com/category/light-handle-covers-camera-handle-covers/camera-handle-cover, https://accessgudid.nlm.nih.gov/devices/00848340000522</t>
  </si>
  <si>
    <t>https://www.advancemedicaldesigns.com/category/light-handle-covers-camera-handle-covers/camera-handle-cover, https://accessgudid.nlm.nih.gov/devices/00848340000539</t>
  </si>
  <si>
    <t>https://www.advancemedicaldesigns.com/category/light-handle-covers-camera-handle-covers/light-handle-covers, https://accessgudid.nlm.nih.gov/devices/00848340000546</t>
  </si>
  <si>
    <t>https://www.advancemedicaldesigns.com/category/light-handle-covers-camera-handle-covers/light-handle-covers, https://accessgudid.nlm.nih.gov/devices/00848340000553</t>
  </si>
  <si>
    <t>https://www.advancemedicaldesigns.com/category/light-handle-covers-camera-handle-covers/light-handle-covers, https://accessgudid.nlm.nih.gov/devices/00848340000560</t>
  </si>
  <si>
    <t>https://www.advancemedicaldesigns.com/category/light-handle-covers-camera-handle-covers/light-handle-covers, https://accessgudid.nlm.nih.gov/devices/00848340000591</t>
  </si>
  <si>
    <t>https://www.advancemedicaldesigns.com/category/light-handle-covers-camera-handle-covers/light-handle-covers, https://accessgudid.nlm.nih.gov/devices/00848340004995</t>
  </si>
  <si>
    <t>https://www.advancemedicaldesigns.com/category/c-arm-drapes/c-arm-drape, https://accessgudid.nlm.nih.gov/devices/00848340001376</t>
  </si>
  <si>
    <t>https://www.advancemedicaldesigns.com/category/c-arm-drapes/c-arm-drape, https://accessgudid.nlm.nih.gov/devices/00848340001406</t>
  </si>
  <si>
    <t>https://www.advancemedicaldesigns.com/category/c-arm-drapes/c-arm-drape, https://accessgudid.nlm.nih.gov/devices/00848340001451</t>
  </si>
  <si>
    <t>https://www.advancemedicaldesigns.com/category/c-arm-drapes/c-arm-drape, https://accessgudid.nlm.nih.gov/devices/00848340001468</t>
  </si>
  <si>
    <t>https://www.advancemedicaldesigns.com/category/c-arm-drapes/mini-c-arm-drape, https://accessgudid.nlm.nih.gov/devices/00848340008320</t>
  </si>
  <si>
    <t>https://www.advancemedicaldesigns.com/category/c-arm-drapes/mini-c-arm-drape, https://accessgudid.nlm.nih.gov/devices/00848340008177</t>
  </si>
  <si>
    <t>https://www.advancemedicaldesigns.com/category/microscope-drapes/knob-handle-bar-covers, https://accessgudid.nlm.nih.gov/devices/00848340006975</t>
  </si>
  <si>
    <t>https://www.advancemedicaldesigns.com/category/microscope-drapes/knob-handle-bar-covers, https://accessgudid.nlm.nih.gov/devices/00848340007125</t>
  </si>
  <si>
    <t>QC User Comments</t>
  </si>
  <si>
    <t>Status</t>
  </si>
  <si>
    <t>Production Comments</t>
  </si>
  <si>
    <t>Production Completed</t>
  </si>
  <si>
    <t>QC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</si>
</sst>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/>
    <xf numFmtId="0" fontId="4" fillId="0" borderId="0" xfId="0" quotePrefix="1" applyFont="1" applyAlignment="1"/>
    <xf numFmtId="0" fontId="4" fillId="0" borderId="0" xfId="0" applyNumberFormat="1" applyFont="1" applyAlignment="1"/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6" fillId="0" borderId="0" xfId="0" applyFont="1" applyFill="1" applyBorder="1" applyAlignment="1"/>
    <xf numFmtId="0" fontId="4" fillId="0" borderId="0" xfId="0" applyNumberFormat="1" applyFont="1" applyFill="1" applyBorder="1" applyAlignment="1">
      <alignment vertical="center"/>
    </xf>
    <xf numFmtId="0" fontId="7" fillId="0" borderId="0" xfId="0" applyNumberFormat="1" applyFont="1" applyAlignment="1"/>
    <xf numFmtId="0" fontId="4" fillId="0" borderId="0" xfId="0" quotePrefix="1" applyNumberFormat="1" applyFont="1" applyAlignment="1"/>
    <xf numFmtId="0" fontId="4" fillId="0" borderId="1" xfId="0" applyFont="1" applyBorder="1" applyAlignment="1"/>
    <xf numFmtId="0" fontId="4" fillId="0" borderId="0" xfId="0" applyFont="1" applyAlignment="1">
      <alignment vertical="center"/>
    </xf>
    <xf numFmtId="0" fontId="4" fillId="0" borderId="0" xfId="0" applyFont="1" applyFill="1" applyAlignment="1"/>
    <xf numFmtId="0" fontId="4" fillId="0" borderId="0" xfId="0" applyNumberFormat="1" applyFont="1" applyFill="1" applyAlignment="1"/>
    <xf numFmtId="17" fontId="4" fillId="0" borderId="0" xfId="0" quotePrefix="1" applyNumberFormat="1" applyFont="1" applyAlignment="1"/>
    <xf numFmtId="17" fontId="4" fillId="0" borderId="0" xfId="0" applyNumberFormat="1" applyFont="1" applyAlignment="1"/>
    <xf numFmtId="49" fontId="4" fillId="0" borderId="0" xfId="0" applyNumberFormat="1" applyFont="1" applyAlignment="1"/>
    <xf numFmtId="0" fontId="5" fillId="0" borderId="0" xfId="0" applyFont="1" applyBorder="1" applyAlignment="1"/>
    <xf numFmtId="0" fontId="9" fillId="0" borderId="0" xfId="1" applyFont="1" applyAlignment="1"/>
    <xf numFmtId="0" fontId="4" fillId="0" borderId="0" xfId="0" applyFont="1" applyAlignment="1">
      <alignment wrapText="1"/>
    </xf>
    <xf numFmtId="16" fontId="4" fillId="0" borderId="0" xfId="0" quotePrefix="1" applyNumberFormat="1" applyFont="1" applyAlignment="1"/>
    <xf numFmtId="0" fontId="4" fillId="0" borderId="2" xfId="0" applyFont="1" applyBorder="1" applyAlignment="1"/>
    <xf numFmtId="0" fontId="5" fillId="0" borderId="0" xfId="0" applyFont="1" applyAlignment="1">
      <alignment vertical="center"/>
    </xf>
    <xf numFmtId="0" fontId="4" fillId="0" borderId="3" xfId="0" applyFont="1" applyBorder="1" applyAlignment="1"/>
    <xf numFmtId="0" fontId="4" fillId="0" borderId="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87"/>
  <sheetViews>
    <sheetView tabSelected="1" workbookViewId="0">
      <selection activeCell="H1" sqref="H1"/>
    </sheetView>
  </sheetViews>
  <sheetFormatPr defaultRowHeight="15" x14ac:dyDescent="0.25"/>
  <cols>
    <col min="71" max="71" width="6.28515625" customWidth="1"/>
    <col min="112" max="113" width="18.7109375" bestFit="1" customWidth="1"/>
  </cols>
  <sheetData>
    <row r="1" spans="1:113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4598</v>
      </c>
      <c r="I1" s="1" t="s">
        <v>4594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" t="s">
        <v>20</v>
      </c>
      <c r="X1" s="2" t="s">
        <v>21</v>
      </c>
      <c r="Y1" s="3" t="s">
        <v>22</v>
      </c>
      <c r="Z1" s="4" t="s">
        <v>23</v>
      </c>
      <c r="AA1" s="5" t="s">
        <v>24</v>
      </c>
      <c r="AB1" s="3" t="s">
        <v>25</v>
      </c>
      <c r="AC1" s="4" t="s">
        <v>26</v>
      </c>
      <c r="AD1" s="5" t="s">
        <v>27</v>
      </c>
      <c r="AE1" s="1" t="s">
        <v>28</v>
      </c>
      <c r="AF1" s="1" t="s">
        <v>29</v>
      </c>
      <c r="AG1" s="6" t="s">
        <v>30</v>
      </c>
      <c r="AH1" s="1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5" t="s">
        <v>40</v>
      </c>
      <c r="AR1" s="1" t="s">
        <v>41</v>
      </c>
      <c r="AS1" s="1" t="s">
        <v>42</v>
      </c>
      <c r="AT1" s="7" t="s">
        <v>43</v>
      </c>
      <c r="AU1" s="5" t="s">
        <v>44</v>
      </c>
      <c r="AV1" s="5" t="s">
        <v>45</v>
      </c>
      <c r="AW1" s="8" t="s">
        <v>46</v>
      </c>
      <c r="AX1" s="8" t="s">
        <v>47</v>
      </c>
      <c r="AY1" s="9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5" t="s">
        <v>68</v>
      </c>
      <c r="BT1" s="5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10" t="s">
        <v>78</v>
      </c>
      <c r="CD1" s="10" t="s">
        <v>79</v>
      </c>
      <c r="CE1" s="10" t="s">
        <v>80</v>
      </c>
      <c r="CF1" s="10" t="s">
        <v>81</v>
      </c>
      <c r="CG1" s="10" t="s">
        <v>82</v>
      </c>
      <c r="CH1" s="10" t="s">
        <v>83</v>
      </c>
      <c r="CI1" s="10" t="s">
        <v>84</v>
      </c>
      <c r="CJ1" s="10" t="s">
        <v>85</v>
      </c>
      <c r="CK1" s="10" t="s">
        <v>86</v>
      </c>
      <c r="CL1" s="10" t="s">
        <v>87</v>
      </c>
      <c r="CM1" s="10" t="s">
        <v>88</v>
      </c>
      <c r="CN1" s="10" t="s">
        <v>89</v>
      </c>
      <c r="CO1" s="10" t="s">
        <v>90</v>
      </c>
      <c r="CP1" s="10" t="s">
        <v>91</v>
      </c>
      <c r="CQ1" s="10" t="s">
        <v>92</v>
      </c>
      <c r="CR1" s="10" t="s">
        <v>93</v>
      </c>
      <c r="CS1" s="10" t="s">
        <v>94</v>
      </c>
      <c r="CT1" s="10" t="s">
        <v>95</v>
      </c>
      <c r="CU1" s="10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11" t="s">
        <v>101</v>
      </c>
      <c r="DA1" s="12" t="s">
        <v>102</v>
      </c>
      <c r="DB1" s="11" t="s">
        <v>103</v>
      </c>
      <c r="DC1" s="13" t="s">
        <v>104</v>
      </c>
      <c r="DD1" s="13" t="s">
        <v>105</v>
      </c>
      <c r="DE1" s="13" t="s">
        <v>106</v>
      </c>
      <c r="DF1" s="13" t="s">
        <v>107</v>
      </c>
      <c r="DG1" s="13" t="s">
        <v>108</v>
      </c>
      <c r="DH1" s="14" t="s">
        <v>4595</v>
      </c>
      <c r="DI1" s="14" t="s">
        <v>4596</v>
      </c>
    </row>
    <row r="2" spans="1:113" s="15" customFormat="1" ht="12.75" x14ac:dyDescent="0.2">
      <c r="A2" s="15" t="s">
        <v>109</v>
      </c>
      <c r="B2" s="16" t="s">
        <v>493</v>
      </c>
      <c r="C2" s="15" t="s">
        <v>494</v>
      </c>
      <c r="D2" s="15" t="s">
        <v>112</v>
      </c>
      <c r="E2" s="17" t="s">
        <v>1337</v>
      </c>
      <c r="F2" s="15" t="s">
        <v>112</v>
      </c>
      <c r="G2" s="15" t="s">
        <v>114</v>
      </c>
      <c r="H2" s="15" t="s">
        <v>1111</v>
      </c>
      <c r="J2" s="18" t="s">
        <v>115</v>
      </c>
      <c r="W2" s="15">
        <v>130</v>
      </c>
      <c r="X2" s="15">
        <v>105</v>
      </c>
      <c r="Y2" s="15" t="s">
        <v>495</v>
      </c>
      <c r="Z2" s="15" t="s">
        <v>496</v>
      </c>
      <c r="AA2" s="41" t="s">
        <v>495</v>
      </c>
      <c r="AB2" s="15" t="s">
        <v>1716</v>
      </c>
      <c r="AC2" s="15" t="s">
        <v>1716</v>
      </c>
      <c r="AD2" s="15" t="s">
        <v>1717</v>
      </c>
      <c r="AE2" s="15" t="s">
        <v>496</v>
      </c>
      <c r="AF2" s="15" t="s">
        <v>1717</v>
      </c>
      <c r="AG2" s="15">
        <v>10104</v>
      </c>
      <c r="AH2" s="15" t="s">
        <v>1718</v>
      </c>
      <c r="AL2" s="15" t="s">
        <v>1719</v>
      </c>
      <c r="AN2" s="15">
        <v>81</v>
      </c>
      <c r="AO2" s="15" t="s">
        <v>1720</v>
      </c>
      <c r="AQ2" s="15" t="s">
        <v>1721</v>
      </c>
      <c r="AT2" s="17" t="s">
        <v>1722</v>
      </c>
      <c r="AU2" s="15" t="s">
        <v>1723</v>
      </c>
      <c r="AV2" s="15" t="s">
        <v>1723</v>
      </c>
      <c r="AW2" s="15" t="s">
        <v>1724</v>
      </c>
      <c r="AX2" s="15" t="s">
        <v>1725</v>
      </c>
      <c r="AY2" s="15">
        <f t="shared" ref="AY2:AY33" si="0">LEN(SUBSTITUTE(AX2, ", "," "))</f>
        <v>58</v>
      </c>
      <c r="AZ2" s="17" t="s">
        <v>1321</v>
      </c>
      <c r="BA2" s="17" t="s">
        <v>1726</v>
      </c>
      <c r="BB2" s="17"/>
      <c r="BC2" s="17"/>
      <c r="BD2" s="17"/>
      <c r="BE2" s="17"/>
      <c r="BF2" s="17"/>
      <c r="BG2" s="17"/>
      <c r="BH2" s="17"/>
      <c r="BI2" s="17"/>
      <c r="BJ2" s="17" t="s">
        <v>1727</v>
      </c>
      <c r="BK2" s="17"/>
      <c r="BL2" s="17"/>
      <c r="BM2" s="17"/>
      <c r="BN2" s="17" t="s">
        <v>511</v>
      </c>
      <c r="BO2" s="17"/>
      <c r="BP2" s="17" t="s">
        <v>140</v>
      </c>
      <c r="BQ2" s="17"/>
      <c r="BS2" s="15" t="s">
        <v>1728</v>
      </c>
      <c r="DH2" s="15" t="s">
        <v>4597</v>
      </c>
      <c r="DI2" s="15" t="s">
        <v>4597</v>
      </c>
    </row>
    <row r="3" spans="1:113" s="15" customFormat="1" ht="12.75" x14ac:dyDescent="0.2">
      <c r="A3" s="15" t="s">
        <v>109</v>
      </c>
      <c r="B3" s="16" t="s">
        <v>493</v>
      </c>
      <c r="C3" s="15" t="s">
        <v>494</v>
      </c>
      <c r="D3" s="15" t="s">
        <v>112</v>
      </c>
      <c r="E3" s="17" t="s">
        <v>113</v>
      </c>
      <c r="F3" s="15" t="s">
        <v>112</v>
      </c>
      <c r="G3" s="15" t="s">
        <v>114</v>
      </c>
      <c r="H3" s="15" t="s">
        <v>1111</v>
      </c>
      <c r="J3" s="18" t="s">
        <v>115</v>
      </c>
      <c r="W3" s="15">
        <v>26</v>
      </c>
      <c r="X3" s="15">
        <v>1</v>
      </c>
      <c r="Y3" s="15" t="s">
        <v>495</v>
      </c>
      <c r="Z3" s="15" t="s">
        <v>496</v>
      </c>
      <c r="AA3" s="15" t="s">
        <v>495</v>
      </c>
      <c r="AB3" s="15" t="s">
        <v>497</v>
      </c>
      <c r="AC3" s="15" t="s">
        <v>498</v>
      </c>
      <c r="AD3" s="16" t="s">
        <v>499</v>
      </c>
      <c r="AE3" s="15" t="s">
        <v>496</v>
      </c>
      <c r="AF3" s="16" t="s">
        <v>499</v>
      </c>
      <c r="AG3" s="15">
        <v>10512</v>
      </c>
      <c r="AH3" s="15" t="s">
        <v>500</v>
      </c>
      <c r="AL3" s="15" t="s">
        <v>501</v>
      </c>
      <c r="AN3" s="15">
        <v>81</v>
      </c>
      <c r="AO3" s="15" t="s">
        <v>502</v>
      </c>
      <c r="AQ3" s="15" t="s">
        <v>503</v>
      </c>
      <c r="AT3" s="17" t="s">
        <v>504</v>
      </c>
      <c r="AU3" s="15" t="s">
        <v>505</v>
      </c>
      <c r="AV3" s="15" t="s">
        <v>505</v>
      </c>
      <c r="AW3" s="15" t="s">
        <v>506</v>
      </c>
      <c r="AX3" s="15" t="s">
        <v>506</v>
      </c>
      <c r="AY3" s="15">
        <f t="shared" si="0"/>
        <v>51</v>
      </c>
      <c r="AZ3" s="17" t="s">
        <v>253</v>
      </c>
      <c r="BA3" s="17" t="s">
        <v>507</v>
      </c>
      <c r="BB3" s="17" t="s">
        <v>508</v>
      </c>
      <c r="BC3" s="17"/>
      <c r="BD3" s="17"/>
      <c r="BE3" s="17" t="s">
        <v>509</v>
      </c>
      <c r="BF3" s="17"/>
      <c r="BG3" s="17"/>
      <c r="BH3" s="17"/>
      <c r="BI3" s="17"/>
      <c r="BJ3" s="17" t="s">
        <v>510</v>
      </c>
      <c r="BK3" s="17"/>
      <c r="BL3" s="17"/>
      <c r="BM3" s="17"/>
      <c r="BN3" s="17" t="s">
        <v>511</v>
      </c>
      <c r="BO3" s="17"/>
      <c r="BP3" s="17" t="s">
        <v>140</v>
      </c>
      <c r="BQ3" s="17"/>
      <c r="BS3" s="15" t="s">
        <v>4537</v>
      </c>
      <c r="DH3" s="15" t="s">
        <v>4597</v>
      </c>
      <c r="DI3" s="15" t="s">
        <v>4597</v>
      </c>
    </row>
    <row r="4" spans="1:113" s="15" customFormat="1" ht="12.75" x14ac:dyDescent="0.2">
      <c r="A4" s="15" t="s">
        <v>109</v>
      </c>
      <c r="B4" s="16" t="s">
        <v>493</v>
      </c>
      <c r="C4" s="15" t="s">
        <v>494</v>
      </c>
      <c r="D4" s="15" t="s">
        <v>112</v>
      </c>
      <c r="E4" s="17" t="s">
        <v>113</v>
      </c>
      <c r="F4" s="15" t="s">
        <v>112</v>
      </c>
      <c r="G4" s="15" t="s">
        <v>114</v>
      </c>
      <c r="H4" s="15" t="s">
        <v>1111</v>
      </c>
      <c r="J4" s="18" t="s">
        <v>115</v>
      </c>
      <c r="W4" s="15">
        <v>27</v>
      </c>
      <c r="X4" s="15">
        <v>2</v>
      </c>
      <c r="Y4" s="15" t="s">
        <v>495</v>
      </c>
      <c r="Z4" s="15" t="s">
        <v>496</v>
      </c>
      <c r="AA4" s="15" t="s">
        <v>495</v>
      </c>
      <c r="AB4" s="15" t="s">
        <v>512</v>
      </c>
      <c r="AC4" s="15" t="s">
        <v>513</v>
      </c>
      <c r="AD4" s="16" t="s">
        <v>514</v>
      </c>
      <c r="AE4" s="15" t="s">
        <v>496</v>
      </c>
      <c r="AF4" s="16" t="s">
        <v>514</v>
      </c>
      <c r="AG4" s="15">
        <v>10615</v>
      </c>
      <c r="AH4" s="15" t="s">
        <v>515</v>
      </c>
      <c r="AL4" s="15" t="s">
        <v>516</v>
      </c>
      <c r="AN4" s="15">
        <v>81</v>
      </c>
      <c r="AO4" s="15" t="s">
        <v>517</v>
      </c>
      <c r="AQ4" s="15" t="s">
        <v>503</v>
      </c>
      <c r="AT4" s="17" t="s">
        <v>518</v>
      </c>
      <c r="AU4" s="15" t="s">
        <v>519</v>
      </c>
      <c r="AV4" s="15" t="s">
        <v>519</v>
      </c>
      <c r="AW4" s="15" t="s">
        <v>520</v>
      </c>
      <c r="AX4" s="15" t="s">
        <v>520</v>
      </c>
      <c r="AY4" s="15">
        <f t="shared" si="0"/>
        <v>51</v>
      </c>
      <c r="AZ4" s="17" t="s">
        <v>253</v>
      </c>
      <c r="BA4" s="17" t="s">
        <v>507</v>
      </c>
      <c r="BB4" s="17" t="s">
        <v>508</v>
      </c>
      <c r="BC4" s="17"/>
      <c r="BD4" s="17"/>
      <c r="BE4" s="17" t="s">
        <v>521</v>
      </c>
      <c r="BF4" s="17"/>
      <c r="BG4" s="17"/>
      <c r="BH4" s="17"/>
      <c r="BI4" s="17"/>
      <c r="BJ4" s="17" t="s">
        <v>510</v>
      </c>
      <c r="BK4" s="17"/>
      <c r="BL4" s="17"/>
      <c r="BM4" s="17"/>
      <c r="BN4" s="17" t="s">
        <v>511</v>
      </c>
      <c r="BO4" s="17"/>
      <c r="BP4" s="17" t="s">
        <v>140</v>
      </c>
      <c r="BQ4" s="17"/>
      <c r="BS4" s="15" t="s">
        <v>4538</v>
      </c>
      <c r="DH4" s="15" t="s">
        <v>4597</v>
      </c>
      <c r="DI4" s="15" t="s">
        <v>4597</v>
      </c>
    </row>
    <row r="5" spans="1:113" s="15" customFormat="1" ht="12.75" x14ac:dyDescent="0.2">
      <c r="A5" s="15" t="s">
        <v>109</v>
      </c>
      <c r="B5" s="16" t="s">
        <v>493</v>
      </c>
      <c r="C5" s="15" t="s">
        <v>494</v>
      </c>
      <c r="D5" s="15" t="s">
        <v>112</v>
      </c>
      <c r="E5" s="17" t="s">
        <v>113</v>
      </c>
      <c r="F5" s="15" t="s">
        <v>112</v>
      </c>
      <c r="G5" s="15" t="s">
        <v>114</v>
      </c>
      <c r="H5" s="15" t="s">
        <v>1111</v>
      </c>
      <c r="J5" s="18" t="s">
        <v>115</v>
      </c>
      <c r="W5" s="15">
        <v>28</v>
      </c>
      <c r="X5" s="15">
        <v>3</v>
      </c>
      <c r="Y5" s="15" t="s">
        <v>495</v>
      </c>
      <c r="Z5" s="15" t="s">
        <v>496</v>
      </c>
      <c r="AA5" s="15" t="s">
        <v>495</v>
      </c>
      <c r="AB5" s="15" t="s">
        <v>522</v>
      </c>
      <c r="AC5" s="15" t="s">
        <v>523</v>
      </c>
      <c r="AD5" s="16" t="s">
        <v>524</v>
      </c>
      <c r="AE5" s="15" t="s">
        <v>496</v>
      </c>
      <c r="AF5" s="16" t="s">
        <v>524</v>
      </c>
      <c r="AG5" s="15">
        <v>11010</v>
      </c>
      <c r="AH5" s="15" t="s">
        <v>525</v>
      </c>
      <c r="AL5" s="15" t="s">
        <v>526</v>
      </c>
      <c r="AN5" s="15">
        <v>81</v>
      </c>
      <c r="AO5" s="15" t="s">
        <v>527</v>
      </c>
      <c r="AQ5" s="15" t="s">
        <v>503</v>
      </c>
      <c r="AT5" s="17" t="s">
        <v>528</v>
      </c>
      <c r="AU5" s="15" t="s">
        <v>529</v>
      </c>
      <c r="AV5" s="15" t="s">
        <v>529</v>
      </c>
      <c r="AW5" s="15" t="s">
        <v>530</v>
      </c>
      <c r="AX5" s="15" t="s">
        <v>530</v>
      </c>
      <c r="AY5" s="15">
        <f t="shared" si="0"/>
        <v>52</v>
      </c>
      <c r="AZ5" s="17" t="s">
        <v>253</v>
      </c>
      <c r="BA5" s="17" t="s">
        <v>507</v>
      </c>
      <c r="BB5" s="17" t="s">
        <v>508</v>
      </c>
      <c r="BC5" s="17"/>
      <c r="BD5" s="17"/>
      <c r="BE5" s="17" t="s">
        <v>531</v>
      </c>
      <c r="BF5" s="17"/>
      <c r="BG5" s="17"/>
      <c r="BH5" s="17"/>
      <c r="BI5" s="17"/>
      <c r="BJ5" s="17" t="s">
        <v>510</v>
      </c>
      <c r="BK5" s="17"/>
      <c r="BL5" s="17"/>
      <c r="BM5" s="17"/>
      <c r="BN5" s="17" t="s">
        <v>511</v>
      </c>
      <c r="BO5" s="17"/>
      <c r="BP5" s="17" t="s">
        <v>140</v>
      </c>
      <c r="BQ5" s="17"/>
      <c r="BS5" s="15" t="s">
        <v>4539</v>
      </c>
      <c r="DH5" s="15" t="s">
        <v>4597</v>
      </c>
      <c r="DI5" s="15" t="s">
        <v>4597</v>
      </c>
    </row>
    <row r="6" spans="1:113" s="15" customFormat="1" ht="12.75" x14ac:dyDescent="0.2">
      <c r="A6" s="15" t="s">
        <v>109</v>
      </c>
      <c r="B6" s="16" t="s">
        <v>493</v>
      </c>
      <c r="C6" s="15" t="s">
        <v>494</v>
      </c>
      <c r="D6" s="15" t="s">
        <v>112</v>
      </c>
      <c r="E6" s="17" t="s">
        <v>113</v>
      </c>
      <c r="F6" s="15" t="s">
        <v>112</v>
      </c>
      <c r="G6" s="15" t="s">
        <v>114</v>
      </c>
      <c r="H6" s="15" t="s">
        <v>1111</v>
      </c>
      <c r="J6" s="18" t="s">
        <v>115</v>
      </c>
      <c r="W6" s="15">
        <v>29</v>
      </c>
      <c r="X6" s="15">
        <v>4</v>
      </c>
      <c r="Y6" s="15" t="s">
        <v>495</v>
      </c>
      <c r="Z6" s="15" t="s">
        <v>496</v>
      </c>
      <c r="AA6" s="15" t="s">
        <v>495</v>
      </c>
      <c r="AB6" s="15" t="s">
        <v>532</v>
      </c>
      <c r="AC6" s="15" t="s">
        <v>533</v>
      </c>
      <c r="AD6" s="16" t="s">
        <v>534</v>
      </c>
      <c r="AE6" s="15" t="s">
        <v>496</v>
      </c>
      <c r="AF6" s="16" t="s">
        <v>534</v>
      </c>
      <c r="AG6" s="15">
        <v>11020</v>
      </c>
      <c r="AH6" s="15" t="s">
        <v>535</v>
      </c>
      <c r="AL6" s="15" t="s">
        <v>536</v>
      </c>
      <c r="AN6" s="15">
        <v>81</v>
      </c>
      <c r="AO6" s="15" t="s">
        <v>537</v>
      </c>
      <c r="AQ6" s="15" t="s">
        <v>503</v>
      </c>
      <c r="AT6" s="17" t="s">
        <v>538</v>
      </c>
      <c r="AU6" s="15" t="s">
        <v>539</v>
      </c>
      <c r="AV6" s="15" t="s">
        <v>539</v>
      </c>
      <c r="AW6" s="15" t="s">
        <v>540</v>
      </c>
      <c r="AX6" s="15" t="s">
        <v>540</v>
      </c>
      <c r="AY6" s="15">
        <f t="shared" si="0"/>
        <v>52</v>
      </c>
      <c r="AZ6" s="17" t="s">
        <v>253</v>
      </c>
      <c r="BA6" s="17" t="s">
        <v>507</v>
      </c>
      <c r="BB6" s="17" t="s">
        <v>508</v>
      </c>
      <c r="BC6" s="17"/>
      <c r="BD6" s="17"/>
      <c r="BE6" s="17" t="s">
        <v>541</v>
      </c>
      <c r="BF6" s="17"/>
      <c r="BG6" s="17"/>
      <c r="BH6" s="17"/>
      <c r="BI6" s="17"/>
      <c r="BJ6" s="17" t="s">
        <v>510</v>
      </c>
      <c r="BK6" s="17"/>
      <c r="BL6" s="17"/>
      <c r="BM6" s="17"/>
      <c r="BN6" s="17" t="s">
        <v>511</v>
      </c>
      <c r="BO6" s="17"/>
      <c r="BP6" s="17" t="s">
        <v>140</v>
      </c>
      <c r="BQ6" s="17"/>
      <c r="BS6" s="15" t="s">
        <v>4540</v>
      </c>
      <c r="DH6" s="15" t="s">
        <v>4597</v>
      </c>
      <c r="DI6" s="15" t="s">
        <v>4597</v>
      </c>
    </row>
    <row r="7" spans="1:113" s="15" customFormat="1" ht="12.75" x14ac:dyDescent="0.2">
      <c r="A7" s="15" t="s">
        <v>109</v>
      </c>
      <c r="B7" s="16" t="s">
        <v>493</v>
      </c>
      <c r="C7" s="15" t="s">
        <v>494</v>
      </c>
      <c r="D7" s="15" t="s">
        <v>112</v>
      </c>
      <c r="E7" s="17" t="s">
        <v>113</v>
      </c>
      <c r="F7" s="15" t="s">
        <v>112</v>
      </c>
      <c r="G7" s="15" t="s">
        <v>114</v>
      </c>
      <c r="H7" s="15" t="s">
        <v>1111</v>
      </c>
      <c r="J7" s="18" t="s">
        <v>115</v>
      </c>
      <c r="W7" s="15">
        <v>30</v>
      </c>
      <c r="X7" s="15">
        <v>5</v>
      </c>
      <c r="Y7" s="15" t="s">
        <v>495</v>
      </c>
      <c r="Z7" s="15" t="s">
        <v>496</v>
      </c>
      <c r="AA7" s="15" t="s">
        <v>495</v>
      </c>
      <c r="AB7" s="15" t="s">
        <v>542</v>
      </c>
      <c r="AC7" s="15" t="s">
        <v>543</v>
      </c>
      <c r="AD7" s="16" t="s">
        <v>544</v>
      </c>
      <c r="AE7" s="15" t="s">
        <v>496</v>
      </c>
      <c r="AF7" s="16" t="s">
        <v>544</v>
      </c>
      <c r="AG7" s="15">
        <v>11212</v>
      </c>
      <c r="AH7" s="15" t="s">
        <v>545</v>
      </c>
      <c r="AL7" s="15" t="s">
        <v>546</v>
      </c>
      <c r="AN7" s="15">
        <v>81</v>
      </c>
      <c r="AO7" s="15" t="s">
        <v>547</v>
      </c>
      <c r="AQ7" s="15" t="s">
        <v>503</v>
      </c>
      <c r="AT7" s="17" t="s">
        <v>548</v>
      </c>
      <c r="AU7" s="15" t="s">
        <v>549</v>
      </c>
      <c r="AV7" s="15" t="s">
        <v>549</v>
      </c>
      <c r="AW7" s="15" t="s">
        <v>550</v>
      </c>
      <c r="AX7" s="15" t="s">
        <v>550</v>
      </c>
      <c r="AY7" s="15">
        <f t="shared" si="0"/>
        <v>52</v>
      </c>
      <c r="AZ7" s="17" t="s">
        <v>253</v>
      </c>
      <c r="BA7" s="17" t="s">
        <v>507</v>
      </c>
      <c r="BB7" s="17" t="s">
        <v>508</v>
      </c>
      <c r="BC7" s="17"/>
      <c r="BD7" s="17"/>
      <c r="BE7" s="17" t="s">
        <v>551</v>
      </c>
      <c r="BF7" s="17"/>
      <c r="BG7" s="17"/>
      <c r="BH7" s="17"/>
      <c r="BI7" s="17"/>
      <c r="BJ7" s="17" t="s">
        <v>510</v>
      </c>
      <c r="BK7" s="17"/>
      <c r="BL7" s="17"/>
      <c r="BM7" s="17"/>
      <c r="BN7" s="17" t="s">
        <v>511</v>
      </c>
      <c r="BO7" s="17"/>
      <c r="BP7" s="17" t="s">
        <v>140</v>
      </c>
      <c r="BQ7" s="17"/>
      <c r="BS7" s="15" t="s">
        <v>4541</v>
      </c>
      <c r="DH7" s="15" t="s">
        <v>4597</v>
      </c>
      <c r="DI7" s="15" t="s">
        <v>4597</v>
      </c>
    </row>
    <row r="8" spans="1:113" s="15" customFormat="1" ht="12.75" x14ac:dyDescent="0.2">
      <c r="A8" s="15" t="s">
        <v>109</v>
      </c>
      <c r="B8" s="16" t="s">
        <v>493</v>
      </c>
      <c r="C8" s="15" t="s">
        <v>494</v>
      </c>
      <c r="D8" s="15" t="s">
        <v>112</v>
      </c>
      <c r="E8" s="17" t="s">
        <v>113</v>
      </c>
      <c r="F8" s="15" t="s">
        <v>112</v>
      </c>
      <c r="G8" s="15" t="s">
        <v>114</v>
      </c>
      <c r="H8" s="15" t="s">
        <v>1111</v>
      </c>
      <c r="J8" s="18" t="s">
        <v>115</v>
      </c>
      <c r="W8" s="15">
        <v>31</v>
      </c>
      <c r="X8" s="15">
        <v>6</v>
      </c>
      <c r="Y8" s="15" t="s">
        <v>495</v>
      </c>
      <c r="Z8" s="15" t="s">
        <v>496</v>
      </c>
      <c r="AA8" s="15" t="s">
        <v>495</v>
      </c>
      <c r="AB8" s="15" t="s">
        <v>552</v>
      </c>
      <c r="AC8" s="15" t="s">
        <v>553</v>
      </c>
      <c r="AD8" s="16" t="s">
        <v>554</v>
      </c>
      <c r="AE8" s="15" t="s">
        <v>496</v>
      </c>
      <c r="AF8" s="16" t="s">
        <v>554</v>
      </c>
      <c r="AG8" s="15">
        <v>12028</v>
      </c>
      <c r="AH8" s="15" t="s">
        <v>555</v>
      </c>
      <c r="AL8" s="15" t="s">
        <v>556</v>
      </c>
      <c r="AN8" s="15">
        <v>81</v>
      </c>
      <c r="AO8" s="15" t="s">
        <v>557</v>
      </c>
      <c r="AQ8" s="15" t="s">
        <v>503</v>
      </c>
      <c r="AT8" s="17" t="s">
        <v>558</v>
      </c>
      <c r="AU8" s="15" t="s">
        <v>559</v>
      </c>
      <c r="AV8" s="15" t="s">
        <v>559</v>
      </c>
      <c r="AW8" s="15" t="s">
        <v>560</v>
      </c>
      <c r="AX8" s="15" t="s">
        <v>560</v>
      </c>
      <c r="AY8" s="15">
        <f t="shared" si="0"/>
        <v>52</v>
      </c>
      <c r="AZ8" s="17" t="s">
        <v>253</v>
      </c>
      <c r="BA8" s="17" t="s">
        <v>507</v>
      </c>
      <c r="BB8" s="17" t="s">
        <v>508</v>
      </c>
      <c r="BC8" s="17"/>
      <c r="BD8" s="17"/>
      <c r="BE8" s="17" t="s">
        <v>561</v>
      </c>
      <c r="BF8" s="17"/>
      <c r="BG8" s="17"/>
      <c r="BH8" s="17"/>
      <c r="BI8" s="17"/>
      <c r="BJ8" s="17" t="s">
        <v>510</v>
      </c>
      <c r="BK8" s="17"/>
      <c r="BL8" s="17"/>
      <c r="BM8" s="17"/>
      <c r="BN8" s="17" t="s">
        <v>511</v>
      </c>
      <c r="BO8" s="17"/>
      <c r="BP8" s="17" t="s">
        <v>140</v>
      </c>
      <c r="BQ8" s="17"/>
      <c r="BS8" s="15" t="s">
        <v>4542</v>
      </c>
      <c r="DH8" s="15" t="s">
        <v>4597</v>
      </c>
      <c r="DI8" s="15" t="s">
        <v>4597</v>
      </c>
    </row>
    <row r="9" spans="1:113" s="15" customFormat="1" ht="12.75" x14ac:dyDescent="0.2">
      <c r="A9" s="15" t="s">
        <v>109</v>
      </c>
      <c r="B9" s="16" t="s">
        <v>493</v>
      </c>
      <c r="C9" s="15" t="s">
        <v>494</v>
      </c>
      <c r="D9" s="15" t="s">
        <v>112</v>
      </c>
      <c r="E9" s="17" t="s">
        <v>113</v>
      </c>
      <c r="F9" s="15" t="s">
        <v>112</v>
      </c>
      <c r="G9" s="15" t="s">
        <v>114</v>
      </c>
      <c r="H9" s="15" t="s">
        <v>1111</v>
      </c>
      <c r="J9" s="18" t="s">
        <v>115</v>
      </c>
      <c r="W9" s="15">
        <v>32</v>
      </c>
      <c r="X9" s="15">
        <v>7</v>
      </c>
      <c r="Y9" s="15" t="s">
        <v>495</v>
      </c>
      <c r="Z9" s="15" t="s">
        <v>496</v>
      </c>
      <c r="AA9" s="15" t="s">
        <v>495</v>
      </c>
      <c r="AB9" s="15" t="s">
        <v>562</v>
      </c>
      <c r="AC9" s="15" t="s">
        <v>563</v>
      </c>
      <c r="AD9" s="16" t="s">
        <v>564</v>
      </c>
      <c r="AE9" s="15" t="s">
        <v>496</v>
      </c>
      <c r="AF9" s="16" t="s">
        <v>564</v>
      </c>
      <c r="AG9" s="15">
        <v>12036</v>
      </c>
      <c r="AH9" s="15" t="s">
        <v>565</v>
      </c>
      <c r="AL9" s="15" t="s">
        <v>566</v>
      </c>
      <c r="AN9" s="15">
        <v>81</v>
      </c>
      <c r="AO9" s="15" t="s">
        <v>567</v>
      </c>
      <c r="AQ9" s="15" t="s">
        <v>503</v>
      </c>
      <c r="AT9" s="17" t="s">
        <v>568</v>
      </c>
      <c r="AU9" s="15" t="s">
        <v>569</v>
      </c>
      <c r="AV9" s="15" t="s">
        <v>569</v>
      </c>
      <c r="AW9" s="15" t="s">
        <v>570</v>
      </c>
      <c r="AX9" s="15" t="s">
        <v>570</v>
      </c>
      <c r="AY9" s="15">
        <f t="shared" si="0"/>
        <v>52</v>
      </c>
      <c r="AZ9" s="17" t="s">
        <v>253</v>
      </c>
      <c r="BA9" s="17" t="s">
        <v>507</v>
      </c>
      <c r="BB9" s="17" t="s">
        <v>508</v>
      </c>
      <c r="BC9" s="17"/>
      <c r="BD9" s="17"/>
      <c r="BE9" s="17" t="s">
        <v>571</v>
      </c>
      <c r="BF9" s="17"/>
      <c r="BG9" s="17"/>
      <c r="BH9" s="17"/>
      <c r="BI9" s="17"/>
      <c r="BJ9" s="17" t="s">
        <v>510</v>
      </c>
      <c r="BK9" s="17"/>
      <c r="BL9" s="17"/>
      <c r="BM9" s="17"/>
      <c r="BN9" s="17" t="s">
        <v>511</v>
      </c>
      <c r="BO9" s="17"/>
      <c r="BP9" s="17" t="s">
        <v>140</v>
      </c>
      <c r="BQ9" s="17"/>
      <c r="BS9" s="15" t="s">
        <v>4543</v>
      </c>
      <c r="DH9" s="15" t="s">
        <v>4597</v>
      </c>
      <c r="DI9" s="15" t="s">
        <v>4597</v>
      </c>
    </row>
    <row r="10" spans="1:113" s="15" customFormat="1" ht="12.75" x14ac:dyDescent="0.2">
      <c r="A10" s="15" t="s">
        <v>109</v>
      </c>
      <c r="B10" s="16" t="s">
        <v>493</v>
      </c>
      <c r="C10" s="15" t="s">
        <v>494</v>
      </c>
      <c r="D10" s="15" t="s">
        <v>112</v>
      </c>
      <c r="E10" s="17" t="s">
        <v>113</v>
      </c>
      <c r="F10" s="15" t="s">
        <v>112</v>
      </c>
      <c r="G10" s="15" t="s">
        <v>114</v>
      </c>
      <c r="H10" s="15" t="s">
        <v>1111</v>
      </c>
      <c r="J10" s="18" t="s">
        <v>115</v>
      </c>
      <c r="W10" s="15">
        <v>33</v>
      </c>
      <c r="X10" s="15">
        <v>8</v>
      </c>
      <c r="Y10" s="15" t="s">
        <v>495</v>
      </c>
      <c r="Z10" s="15" t="s">
        <v>496</v>
      </c>
      <c r="AA10" s="15" t="s">
        <v>495</v>
      </c>
      <c r="AB10" s="15" t="s">
        <v>572</v>
      </c>
      <c r="AC10" s="15" t="s">
        <v>573</v>
      </c>
      <c r="AD10" s="16" t="s">
        <v>574</v>
      </c>
      <c r="AE10" s="15" t="s">
        <v>496</v>
      </c>
      <c r="AF10" s="16" t="s">
        <v>574</v>
      </c>
      <c r="AG10" s="15">
        <v>12040</v>
      </c>
      <c r="AH10" s="15" t="s">
        <v>575</v>
      </c>
      <c r="AL10" s="15" t="s">
        <v>576</v>
      </c>
      <c r="AN10" s="15">
        <v>81</v>
      </c>
      <c r="AO10" s="15" t="s">
        <v>577</v>
      </c>
      <c r="AQ10" s="15" t="s">
        <v>503</v>
      </c>
      <c r="AT10" s="17" t="s">
        <v>578</v>
      </c>
      <c r="AU10" s="15" t="s">
        <v>579</v>
      </c>
      <c r="AV10" s="15" t="s">
        <v>579</v>
      </c>
      <c r="AW10" s="15" t="s">
        <v>580</v>
      </c>
      <c r="AX10" s="15" t="s">
        <v>580</v>
      </c>
      <c r="AY10" s="15">
        <f t="shared" si="0"/>
        <v>52</v>
      </c>
      <c r="AZ10" s="17" t="s">
        <v>253</v>
      </c>
      <c r="BA10" s="17" t="s">
        <v>507</v>
      </c>
      <c r="BB10" s="17" t="s">
        <v>508</v>
      </c>
      <c r="BC10" s="17"/>
      <c r="BD10" s="17"/>
      <c r="BE10" s="17" t="s">
        <v>581</v>
      </c>
      <c r="BF10" s="17"/>
      <c r="BG10" s="17"/>
      <c r="BH10" s="17"/>
      <c r="BI10" s="17"/>
      <c r="BJ10" s="17" t="s">
        <v>510</v>
      </c>
      <c r="BK10" s="17"/>
      <c r="BL10" s="17"/>
      <c r="BM10" s="17"/>
      <c r="BN10" s="17" t="s">
        <v>511</v>
      </c>
      <c r="BO10" s="17"/>
      <c r="BP10" s="17" t="s">
        <v>140</v>
      </c>
      <c r="BQ10" s="17"/>
      <c r="BS10" s="15" t="s">
        <v>4544</v>
      </c>
      <c r="DH10" s="15" t="s">
        <v>4597</v>
      </c>
      <c r="DI10" s="15" t="s">
        <v>4597</v>
      </c>
    </row>
    <row r="11" spans="1:113" s="15" customFormat="1" ht="12.75" x14ac:dyDescent="0.2">
      <c r="A11" s="15" t="s">
        <v>109</v>
      </c>
      <c r="B11" s="16" t="s">
        <v>493</v>
      </c>
      <c r="C11" s="15" t="s">
        <v>494</v>
      </c>
      <c r="D11" s="15" t="s">
        <v>112</v>
      </c>
      <c r="E11" s="17" t="s">
        <v>113</v>
      </c>
      <c r="F11" s="15" t="s">
        <v>112</v>
      </c>
      <c r="G11" s="15" t="s">
        <v>114</v>
      </c>
      <c r="H11" s="15" t="s">
        <v>1111</v>
      </c>
      <c r="J11" s="18" t="s">
        <v>115</v>
      </c>
      <c r="W11" s="15">
        <v>34</v>
      </c>
      <c r="X11" s="15">
        <v>9</v>
      </c>
      <c r="Y11" s="15" t="s">
        <v>495</v>
      </c>
      <c r="Z11" s="15" t="s">
        <v>496</v>
      </c>
      <c r="AA11" s="15" t="s">
        <v>495</v>
      </c>
      <c r="AB11" s="15" t="s">
        <v>582</v>
      </c>
      <c r="AC11" s="15" t="s">
        <v>583</v>
      </c>
      <c r="AD11" s="16" t="s">
        <v>584</v>
      </c>
      <c r="AE11" s="15" t="s">
        <v>496</v>
      </c>
      <c r="AF11" s="16" t="s">
        <v>584</v>
      </c>
      <c r="AG11" s="15">
        <v>12812</v>
      </c>
      <c r="AH11" s="15" t="s">
        <v>585</v>
      </c>
      <c r="AL11" s="15" t="s">
        <v>586</v>
      </c>
      <c r="AN11" s="15">
        <v>81</v>
      </c>
      <c r="AO11" s="15" t="s">
        <v>587</v>
      </c>
      <c r="AQ11" s="15" t="s">
        <v>503</v>
      </c>
      <c r="AT11" s="17" t="s">
        <v>588</v>
      </c>
      <c r="AU11" s="15" t="s">
        <v>589</v>
      </c>
      <c r="AV11" s="15" t="s">
        <v>589</v>
      </c>
      <c r="AW11" s="15" t="s">
        <v>590</v>
      </c>
      <c r="AX11" s="15" t="s">
        <v>590</v>
      </c>
      <c r="AY11" s="15">
        <f t="shared" si="0"/>
        <v>52</v>
      </c>
      <c r="AZ11" s="17" t="s">
        <v>253</v>
      </c>
      <c r="BA11" s="17" t="s">
        <v>507</v>
      </c>
      <c r="BB11" s="17" t="s">
        <v>508</v>
      </c>
      <c r="BC11" s="17"/>
      <c r="BD11" s="17"/>
      <c r="BE11" s="17" t="s">
        <v>591</v>
      </c>
      <c r="BF11" s="17"/>
      <c r="BG11" s="17"/>
      <c r="BH11" s="17"/>
      <c r="BI11" s="17"/>
      <c r="BJ11" s="17" t="s">
        <v>510</v>
      </c>
      <c r="BK11" s="17"/>
      <c r="BL11" s="17"/>
      <c r="BM11" s="17"/>
      <c r="BN11" s="17" t="s">
        <v>511</v>
      </c>
      <c r="BO11" s="17"/>
      <c r="BP11" s="17" t="s">
        <v>140</v>
      </c>
      <c r="BQ11" s="17"/>
      <c r="BS11" s="15" t="s">
        <v>4545</v>
      </c>
      <c r="DH11" s="15" t="s">
        <v>4597</v>
      </c>
      <c r="DI11" s="15" t="s">
        <v>4597</v>
      </c>
    </row>
    <row r="12" spans="1:113" s="15" customFormat="1" ht="12.75" x14ac:dyDescent="0.2">
      <c r="A12" s="15" t="s">
        <v>109</v>
      </c>
      <c r="B12" s="16" t="s">
        <v>493</v>
      </c>
      <c r="C12" s="15" t="s">
        <v>494</v>
      </c>
      <c r="D12" s="15" t="s">
        <v>112</v>
      </c>
      <c r="E12" s="17" t="s">
        <v>113</v>
      </c>
      <c r="F12" s="15" t="s">
        <v>112</v>
      </c>
      <c r="G12" s="15" t="s">
        <v>114</v>
      </c>
      <c r="H12" s="15" t="s">
        <v>1111</v>
      </c>
      <c r="J12" s="18" t="s">
        <v>115</v>
      </c>
      <c r="W12" s="15">
        <v>35</v>
      </c>
      <c r="X12" s="15">
        <v>10</v>
      </c>
      <c r="Y12" s="15" t="s">
        <v>495</v>
      </c>
      <c r="Z12" s="15" t="s">
        <v>496</v>
      </c>
      <c r="AA12" s="15" t="s">
        <v>495</v>
      </c>
      <c r="AB12" s="15" t="s">
        <v>592</v>
      </c>
      <c r="AC12" s="15" t="s">
        <v>593</v>
      </c>
      <c r="AD12" s="16" t="s">
        <v>594</v>
      </c>
      <c r="AE12" s="15" t="s">
        <v>496</v>
      </c>
      <c r="AF12" s="16" t="s">
        <v>594</v>
      </c>
      <c r="AG12" s="15">
        <v>13012</v>
      </c>
      <c r="AH12" s="15" t="s">
        <v>595</v>
      </c>
      <c r="AL12" s="15" t="s">
        <v>596</v>
      </c>
      <c r="AN12" s="15">
        <v>81</v>
      </c>
      <c r="AO12" s="15" t="s">
        <v>597</v>
      </c>
      <c r="AQ12" s="15" t="s">
        <v>503</v>
      </c>
      <c r="AT12" s="17" t="s">
        <v>598</v>
      </c>
      <c r="AU12" s="15" t="s">
        <v>599</v>
      </c>
      <c r="AV12" s="15" t="s">
        <v>599</v>
      </c>
      <c r="AW12" s="15" t="s">
        <v>600</v>
      </c>
      <c r="AX12" s="15" t="s">
        <v>600</v>
      </c>
      <c r="AY12" s="15">
        <f t="shared" si="0"/>
        <v>52</v>
      </c>
      <c r="AZ12" s="17" t="s">
        <v>253</v>
      </c>
      <c r="BA12" s="17" t="s">
        <v>507</v>
      </c>
      <c r="BB12" s="17" t="s">
        <v>508</v>
      </c>
      <c r="BC12" s="17"/>
      <c r="BD12" s="17"/>
      <c r="BE12" s="17" t="s">
        <v>601</v>
      </c>
      <c r="BF12" s="17"/>
      <c r="BG12" s="17"/>
      <c r="BH12" s="17"/>
      <c r="BI12" s="17"/>
      <c r="BJ12" s="17" t="s">
        <v>510</v>
      </c>
      <c r="BK12" s="17"/>
      <c r="BL12" s="17"/>
      <c r="BM12" s="17"/>
      <c r="BN12" s="17" t="s">
        <v>511</v>
      </c>
      <c r="BO12" s="17"/>
      <c r="BP12" s="17" t="s">
        <v>140</v>
      </c>
      <c r="BQ12" s="17"/>
      <c r="BS12" s="15" t="s">
        <v>4546</v>
      </c>
      <c r="DH12" s="15" t="s">
        <v>4597</v>
      </c>
      <c r="DI12" s="15" t="s">
        <v>4597</v>
      </c>
    </row>
    <row r="13" spans="1:113" s="15" customFormat="1" ht="12.75" x14ac:dyDescent="0.2">
      <c r="A13" s="15" t="s">
        <v>109</v>
      </c>
      <c r="B13" s="16" t="s">
        <v>493</v>
      </c>
      <c r="C13" s="15" t="s">
        <v>494</v>
      </c>
      <c r="D13" s="15" t="s">
        <v>112</v>
      </c>
      <c r="E13" s="17" t="s">
        <v>113</v>
      </c>
      <c r="F13" s="15" t="s">
        <v>112</v>
      </c>
      <c r="G13" s="15" t="s">
        <v>114</v>
      </c>
      <c r="H13" s="15" t="s">
        <v>1111</v>
      </c>
      <c r="J13" s="18" t="s">
        <v>115</v>
      </c>
      <c r="W13" s="15">
        <v>37</v>
      </c>
      <c r="X13" s="15">
        <v>12</v>
      </c>
      <c r="Y13" s="15" t="s">
        <v>495</v>
      </c>
      <c r="Z13" s="15" t="s">
        <v>496</v>
      </c>
      <c r="AA13" s="15" t="s">
        <v>495</v>
      </c>
      <c r="AB13" s="15" t="s">
        <v>614</v>
      </c>
      <c r="AC13" s="15" t="s">
        <v>615</v>
      </c>
      <c r="AD13" s="16" t="s">
        <v>616</v>
      </c>
      <c r="AE13" s="15" t="s">
        <v>496</v>
      </c>
      <c r="AF13" s="16" t="s">
        <v>616</v>
      </c>
      <c r="AG13" s="15">
        <v>13654</v>
      </c>
      <c r="AH13" s="15" t="s">
        <v>617</v>
      </c>
      <c r="AL13" s="15" t="s">
        <v>618</v>
      </c>
      <c r="AN13" s="15">
        <v>81</v>
      </c>
      <c r="AO13" s="15" t="s">
        <v>619</v>
      </c>
      <c r="AQ13" s="15" t="s">
        <v>503</v>
      </c>
      <c r="AT13" s="17" t="s">
        <v>620</v>
      </c>
      <c r="AU13" s="15" t="s">
        <v>621</v>
      </c>
      <c r="AV13" s="15" t="s">
        <v>621</v>
      </c>
      <c r="AW13" s="15" t="s">
        <v>622</v>
      </c>
      <c r="AX13" s="15" t="s">
        <v>623</v>
      </c>
      <c r="AY13" s="15">
        <f t="shared" si="0"/>
        <v>60</v>
      </c>
      <c r="AZ13" s="17" t="s">
        <v>253</v>
      </c>
      <c r="BA13" s="17" t="s">
        <v>507</v>
      </c>
      <c r="BB13" s="17" t="s">
        <v>508</v>
      </c>
      <c r="BC13" s="17"/>
      <c r="BD13" s="17"/>
      <c r="BE13" s="17" t="s">
        <v>624</v>
      </c>
      <c r="BF13" s="17"/>
      <c r="BG13" s="17"/>
      <c r="BH13" s="17"/>
      <c r="BI13" s="17"/>
      <c r="BJ13" s="17" t="s">
        <v>625</v>
      </c>
      <c r="BK13" s="17"/>
      <c r="BL13" s="17"/>
      <c r="BM13" s="17"/>
      <c r="BN13" s="17" t="s">
        <v>511</v>
      </c>
      <c r="BO13" s="17"/>
      <c r="BP13" s="17" t="s">
        <v>140</v>
      </c>
      <c r="BQ13" s="17"/>
      <c r="BS13" s="15" t="s">
        <v>4547</v>
      </c>
      <c r="DH13" s="15" t="s">
        <v>4597</v>
      </c>
      <c r="DI13" s="15" t="s">
        <v>4597</v>
      </c>
    </row>
    <row r="14" spans="1:113" s="15" customFormat="1" ht="12.75" x14ac:dyDescent="0.2">
      <c r="A14" s="15" t="s">
        <v>109</v>
      </c>
      <c r="B14" s="16" t="s">
        <v>493</v>
      </c>
      <c r="C14" s="15" t="s">
        <v>494</v>
      </c>
      <c r="D14" s="15" t="s">
        <v>112</v>
      </c>
      <c r="E14" s="17" t="s">
        <v>113</v>
      </c>
      <c r="F14" s="15" t="s">
        <v>112</v>
      </c>
      <c r="G14" s="15" t="s">
        <v>114</v>
      </c>
      <c r="H14" s="15" t="s">
        <v>1111</v>
      </c>
      <c r="J14" s="18" t="s">
        <v>115</v>
      </c>
      <c r="W14" s="15">
        <v>39</v>
      </c>
      <c r="X14" s="15">
        <v>14</v>
      </c>
      <c r="Y14" s="15" t="s">
        <v>495</v>
      </c>
      <c r="Z14" s="15" t="s">
        <v>496</v>
      </c>
      <c r="AA14" s="15" t="s">
        <v>495</v>
      </c>
      <c r="AB14" s="15" t="s">
        <v>637</v>
      </c>
      <c r="AC14" s="15" t="s">
        <v>638</v>
      </c>
      <c r="AD14" s="16" t="s">
        <v>639</v>
      </c>
      <c r="AE14" s="15" t="s">
        <v>496</v>
      </c>
      <c r="AF14" s="16" t="s">
        <v>639</v>
      </c>
      <c r="AG14" s="15">
        <v>13670</v>
      </c>
      <c r="AH14" s="15" t="s">
        <v>640</v>
      </c>
      <c r="AL14" s="15" t="s">
        <v>641</v>
      </c>
      <c r="AN14" s="15">
        <v>81</v>
      </c>
      <c r="AO14" s="15" t="s">
        <v>642</v>
      </c>
      <c r="AQ14" s="15" t="s">
        <v>503</v>
      </c>
      <c r="AT14" s="17" t="s">
        <v>643</v>
      </c>
      <c r="AU14" s="15" t="s">
        <v>644</v>
      </c>
      <c r="AV14" s="15" t="s">
        <v>644</v>
      </c>
      <c r="AW14" s="15" t="s">
        <v>645</v>
      </c>
      <c r="AX14" s="15" t="s">
        <v>645</v>
      </c>
      <c r="AY14" s="15">
        <f t="shared" si="0"/>
        <v>52</v>
      </c>
      <c r="AZ14" s="17" t="s">
        <v>253</v>
      </c>
      <c r="BA14" s="17" t="s">
        <v>507</v>
      </c>
      <c r="BB14" s="17" t="s">
        <v>508</v>
      </c>
      <c r="BC14" s="17"/>
      <c r="BD14" s="17"/>
      <c r="BE14" s="17" t="s">
        <v>646</v>
      </c>
      <c r="BF14" s="17"/>
      <c r="BG14" s="17"/>
      <c r="BH14" s="17"/>
      <c r="BI14" s="17"/>
      <c r="BJ14" s="17" t="s">
        <v>510</v>
      </c>
      <c r="BK14" s="17"/>
      <c r="BL14" s="17"/>
      <c r="BM14" s="17"/>
      <c r="BN14" s="17" t="s">
        <v>511</v>
      </c>
      <c r="BO14" s="17"/>
      <c r="BP14" s="17" t="s">
        <v>140</v>
      </c>
      <c r="BQ14" s="17"/>
      <c r="BS14" s="15" t="s">
        <v>4548</v>
      </c>
      <c r="DH14" s="15" t="s">
        <v>4597</v>
      </c>
      <c r="DI14" s="15" t="s">
        <v>4597</v>
      </c>
    </row>
    <row r="15" spans="1:113" s="15" customFormat="1" ht="12.75" x14ac:dyDescent="0.2">
      <c r="A15" s="15" t="s">
        <v>109</v>
      </c>
      <c r="B15" s="16" t="s">
        <v>493</v>
      </c>
      <c r="C15" s="15" t="s">
        <v>494</v>
      </c>
      <c r="D15" s="15" t="s">
        <v>112</v>
      </c>
      <c r="E15" s="17" t="s">
        <v>113</v>
      </c>
      <c r="F15" s="15" t="s">
        <v>112</v>
      </c>
      <c r="G15" s="15" t="s">
        <v>114</v>
      </c>
      <c r="H15" s="15" t="s">
        <v>1111</v>
      </c>
      <c r="J15" s="18" t="s">
        <v>115</v>
      </c>
      <c r="W15" s="15">
        <v>40</v>
      </c>
      <c r="X15" s="15">
        <v>15</v>
      </c>
      <c r="Y15" s="15" t="s">
        <v>495</v>
      </c>
      <c r="Z15" s="15" t="s">
        <v>496</v>
      </c>
      <c r="AA15" s="15" t="s">
        <v>495</v>
      </c>
      <c r="AB15" s="15" t="s">
        <v>647</v>
      </c>
      <c r="AC15" s="15" t="s">
        <v>648</v>
      </c>
      <c r="AD15" s="16" t="s">
        <v>649</v>
      </c>
      <c r="AE15" s="15" t="s">
        <v>496</v>
      </c>
      <c r="AF15" s="16" t="s">
        <v>649</v>
      </c>
      <c r="AG15" s="15">
        <v>13690</v>
      </c>
      <c r="AH15" s="15" t="s">
        <v>650</v>
      </c>
      <c r="AL15" s="15" t="s">
        <v>651</v>
      </c>
      <c r="AN15" s="15">
        <v>81</v>
      </c>
      <c r="AO15" s="15" t="s">
        <v>652</v>
      </c>
      <c r="AQ15" s="15" t="s">
        <v>503</v>
      </c>
      <c r="AT15" s="17" t="s">
        <v>653</v>
      </c>
      <c r="AU15" s="15" t="s">
        <v>654</v>
      </c>
      <c r="AV15" s="15" t="s">
        <v>654</v>
      </c>
      <c r="AW15" s="15" t="s">
        <v>655</v>
      </c>
      <c r="AX15" s="15" t="s">
        <v>656</v>
      </c>
      <c r="AY15" s="15">
        <f t="shared" si="0"/>
        <v>60</v>
      </c>
      <c r="AZ15" s="17" t="s">
        <v>253</v>
      </c>
      <c r="BA15" s="17" t="s">
        <v>507</v>
      </c>
      <c r="BB15" s="17" t="s">
        <v>508</v>
      </c>
      <c r="BC15" s="17"/>
      <c r="BD15" s="17"/>
      <c r="BE15" s="17" t="s">
        <v>657</v>
      </c>
      <c r="BF15" s="17"/>
      <c r="BG15" s="17"/>
      <c r="BH15" s="17"/>
      <c r="BI15" s="17"/>
      <c r="BJ15" s="17" t="s">
        <v>625</v>
      </c>
      <c r="BK15" s="17"/>
      <c r="BL15" s="17"/>
      <c r="BM15" s="17"/>
      <c r="BN15" s="17" t="s">
        <v>511</v>
      </c>
      <c r="BO15" s="17"/>
      <c r="BP15" s="17" t="s">
        <v>140</v>
      </c>
      <c r="BQ15" s="17"/>
      <c r="BS15" s="15" t="s">
        <v>4549</v>
      </c>
      <c r="DH15" s="15" t="s">
        <v>4597</v>
      </c>
      <c r="DI15" s="15" t="s">
        <v>4597</v>
      </c>
    </row>
    <row r="16" spans="1:113" s="15" customFormat="1" ht="12.75" x14ac:dyDescent="0.2">
      <c r="A16" s="15" t="s">
        <v>109</v>
      </c>
      <c r="B16" s="16" t="s">
        <v>493</v>
      </c>
      <c r="C16" s="15" t="s">
        <v>494</v>
      </c>
      <c r="D16" s="15" t="s">
        <v>112</v>
      </c>
      <c r="E16" s="17" t="s">
        <v>113</v>
      </c>
      <c r="F16" s="15" t="s">
        <v>112</v>
      </c>
      <c r="G16" s="15" t="s">
        <v>114</v>
      </c>
      <c r="H16" s="15" t="s">
        <v>1111</v>
      </c>
      <c r="J16" s="18" t="s">
        <v>115</v>
      </c>
      <c r="W16" s="15">
        <v>41</v>
      </c>
      <c r="X16" s="15">
        <v>16</v>
      </c>
      <c r="Y16" s="15" t="s">
        <v>495</v>
      </c>
      <c r="Z16" s="15" t="s">
        <v>496</v>
      </c>
      <c r="AA16" s="15" t="s">
        <v>495</v>
      </c>
      <c r="AB16" s="15" t="s">
        <v>658</v>
      </c>
      <c r="AC16" s="15" t="s">
        <v>659</v>
      </c>
      <c r="AD16" s="16" t="s">
        <v>660</v>
      </c>
      <c r="AE16" s="15" t="s">
        <v>496</v>
      </c>
      <c r="AF16" s="16" t="s">
        <v>660</v>
      </c>
      <c r="AG16" s="15">
        <v>14020</v>
      </c>
      <c r="AH16" s="15" t="s">
        <v>661</v>
      </c>
      <c r="AL16" s="15" t="s">
        <v>662</v>
      </c>
      <c r="AN16" s="15">
        <v>81</v>
      </c>
      <c r="AO16" s="15" t="s">
        <v>663</v>
      </c>
      <c r="AQ16" s="15" t="s">
        <v>503</v>
      </c>
      <c r="AT16" s="17" t="s">
        <v>664</v>
      </c>
      <c r="AU16" s="15" t="s">
        <v>665</v>
      </c>
      <c r="AV16" s="15" t="s">
        <v>665</v>
      </c>
      <c r="AW16" s="15" t="s">
        <v>666</v>
      </c>
      <c r="AX16" s="15" t="s">
        <v>667</v>
      </c>
      <c r="AY16" s="15">
        <f t="shared" si="0"/>
        <v>60</v>
      </c>
      <c r="AZ16" s="17" t="s">
        <v>253</v>
      </c>
      <c r="BA16" s="17" t="s">
        <v>507</v>
      </c>
      <c r="BB16" s="17" t="s">
        <v>508</v>
      </c>
      <c r="BC16" s="17"/>
      <c r="BD16" s="17"/>
      <c r="BE16" s="17" t="s">
        <v>668</v>
      </c>
      <c r="BF16" s="17"/>
      <c r="BG16" s="17"/>
      <c r="BH16" s="17"/>
      <c r="BI16" s="17"/>
      <c r="BJ16" s="17" t="s">
        <v>625</v>
      </c>
      <c r="BK16" s="17"/>
      <c r="BL16" s="17"/>
      <c r="BM16" s="17"/>
      <c r="BN16" s="17" t="s">
        <v>511</v>
      </c>
      <c r="BO16" s="17"/>
      <c r="BP16" s="17" t="s">
        <v>140</v>
      </c>
      <c r="BQ16" s="17"/>
      <c r="BS16" s="15" t="s">
        <v>4550</v>
      </c>
      <c r="DH16" s="15" t="s">
        <v>4597</v>
      </c>
      <c r="DI16" s="15" t="s">
        <v>4597</v>
      </c>
    </row>
    <row r="17" spans="1:113" s="15" customFormat="1" ht="12.75" x14ac:dyDescent="0.2">
      <c r="A17" s="15" t="s">
        <v>109</v>
      </c>
      <c r="B17" s="16" t="s">
        <v>493</v>
      </c>
      <c r="C17" s="15" t="s">
        <v>494</v>
      </c>
      <c r="D17" s="15" t="s">
        <v>112</v>
      </c>
      <c r="E17" s="17" t="s">
        <v>113</v>
      </c>
      <c r="F17" s="15" t="s">
        <v>112</v>
      </c>
      <c r="G17" s="15" t="s">
        <v>114</v>
      </c>
      <c r="H17" s="15" t="s">
        <v>1111</v>
      </c>
      <c r="J17" s="18" t="s">
        <v>115</v>
      </c>
      <c r="W17" s="15">
        <v>42</v>
      </c>
      <c r="X17" s="15">
        <v>17</v>
      </c>
      <c r="Y17" s="15" t="s">
        <v>495</v>
      </c>
      <c r="Z17" s="15" t="s">
        <v>496</v>
      </c>
      <c r="AA17" s="15" t="s">
        <v>495</v>
      </c>
      <c r="AB17" s="15" t="s">
        <v>669</v>
      </c>
      <c r="AC17" s="15" t="s">
        <v>670</v>
      </c>
      <c r="AD17" s="16" t="s">
        <v>671</v>
      </c>
      <c r="AE17" s="15" t="s">
        <v>496</v>
      </c>
      <c r="AF17" s="16" t="s">
        <v>671</v>
      </c>
      <c r="AG17" s="15">
        <v>14060</v>
      </c>
      <c r="AH17" s="15" t="s">
        <v>672</v>
      </c>
      <c r="AL17" s="15" t="s">
        <v>673</v>
      </c>
      <c r="AN17" s="15">
        <v>81</v>
      </c>
      <c r="AO17" s="15" t="s">
        <v>674</v>
      </c>
      <c r="AQ17" s="15" t="s">
        <v>503</v>
      </c>
      <c r="AT17" s="17" t="s">
        <v>675</v>
      </c>
      <c r="AU17" s="15" t="s">
        <v>676</v>
      </c>
      <c r="AV17" s="15" t="s">
        <v>676</v>
      </c>
      <c r="AW17" s="15" t="s">
        <v>677</v>
      </c>
      <c r="AX17" s="15" t="s">
        <v>677</v>
      </c>
      <c r="AY17" s="15">
        <f t="shared" si="0"/>
        <v>52</v>
      </c>
      <c r="AZ17" s="17" t="s">
        <v>253</v>
      </c>
      <c r="BA17" s="17" t="s">
        <v>507</v>
      </c>
      <c r="BB17" s="17" t="s">
        <v>508</v>
      </c>
      <c r="BC17" s="17"/>
      <c r="BD17" s="17"/>
      <c r="BE17" s="17" t="s">
        <v>678</v>
      </c>
      <c r="BF17" s="17"/>
      <c r="BG17" s="17"/>
      <c r="BH17" s="17"/>
      <c r="BI17" s="17"/>
      <c r="BJ17" s="17" t="s">
        <v>510</v>
      </c>
      <c r="BK17" s="17"/>
      <c r="BL17" s="17"/>
      <c r="BM17" s="17"/>
      <c r="BN17" s="17" t="s">
        <v>511</v>
      </c>
      <c r="BO17" s="17"/>
      <c r="BP17" s="17" t="s">
        <v>140</v>
      </c>
      <c r="BQ17" s="17"/>
      <c r="BS17" s="15" t="s">
        <v>4551</v>
      </c>
      <c r="DH17" s="15" t="s">
        <v>4597</v>
      </c>
      <c r="DI17" s="15" t="s">
        <v>4597</v>
      </c>
    </row>
    <row r="18" spans="1:113" s="15" customFormat="1" ht="12.75" x14ac:dyDescent="0.2">
      <c r="A18" s="15" t="s">
        <v>109</v>
      </c>
      <c r="B18" s="16" t="s">
        <v>493</v>
      </c>
      <c r="C18" s="15" t="s">
        <v>494</v>
      </c>
      <c r="D18" s="15" t="s">
        <v>112</v>
      </c>
      <c r="E18" s="17" t="s">
        <v>113</v>
      </c>
      <c r="F18" s="15" t="s">
        <v>112</v>
      </c>
      <c r="G18" s="15" t="s">
        <v>114</v>
      </c>
      <c r="H18" s="15" t="s">
        <v>1111</v>
      </c>
      <c r="J18" s="18" t="s">
        <v>115</v>
      </c>
      <c r="W18" s="15">
        <v>43</v>
      </c>
      <c r="X18" s="15">
        <v>18</v>
      </c>
      <c r="Y18" s="15" t="s">
        <v>495</v>
      </c>
      <c r="Z18" s="15" t="s">
        <v>496</v>
      </c>
      <c r="AA18" s="15" t="s">
        <v>495</v>
      </c>
      <c r="AB18" s="15" t="s">
        <v>679</v>
      </c>
      <c r="AC18" s="15" t="s">
        <v>680</v>
      </c>
      <c r="AD18" s="16" t="s">
        <v>681</v>
      </c>
      <c r="AE18" s="15" t="s">
        <v>496</v>
      </c>
      <c r="AF18" s="16" t="s">
        <v>681</v>
      </c>
      <c r="AG18" s="15">
        <v>14425</v>
      </c>
      <c r="AH18" s="15" t="s">
        <v>682</v>
      </c>
      <c r="AL18" s="15" t="s">
        <v>683</v>
      </c>
      <c r="AN18" s="15">
        <v>81</v>
      </c>
      <c r="AO18" s="15" t="s">
        <v>684</v>
      </c>
      <c r="AQ18" s="15" t="s">
        <v>503</v>
      </c>
      <c r="AT18" s="17" t="s">
        <v>685</v>
      </c>
      <c r="AU18" s="15" t="s">
        <v>686</v>
      </c>
      <c r="AV18" s="15" t="s">
        <v>686</v>
      </c>
      <c r="AW18" s="15" t="s">
        <v>687</v>
      </c>
      <c r="AX18" s="15" t="s">
        <v>687</v>
      </c>
      <c r="AY18" s="15">
        <f t="shared" si="0"/>
        <v>52</v>
      </c>
      <c r="AZ18" s="17" t="s">
        <v>253</v>
      </c>
      <c r="BA18" s="17" t="s">
        <v>507</v>
      </c>
      <c r="BB18" s="17" t="s">
        <v>508</v>
      </c>
      <c r="BC18" s="17"/>
      <c r="BD18" s="17"/>
      <c r="BE18" s="17" t="s">
        <v>688</v>
      </c>
      <c r="BF18" s="17"/>
      <c r="BG18" s="17"/>
      <c r="BH18" s="17"/>
      <c r="BI18" s="17"/>
      <c r="BJ18" s="17" t="s">
        <v>510</v>
      </c>
      <c r="BK18" s="17"/>
      <c r="BL18" s="17"/>
      <c r="BM18" s="17"/>
      <c r="BN18" s="17" t="s">
        <v>511</v>
      </c>
      <c r="BO18" s="17"/>
      <c r="BP18" s="17" t="s">
        <v>140</v>
      </c>
      <c r="BQ18" s="17"/>
      <c r="BS18" s="15" t="s">
        <v>4552</v>
      </c>
      <c r="DH18" s="15" t="s">
        <v>4597</v>
      </c>
      <c r="DI18" s="15" t="s">
        <v>4597</v>
      </c>
    </row>
    <row r="19" spans="1:113" s="15" customFormat="1" ht="12.75" x14ac:dyDescent="0.2">
      <c r="A19" s="15" t="s">
        <v>109</v>
      </c>
      <c r="B19" s="16" t="s">
        <v>493</v>
      </c>
      <c r="C19" s="15" t="s">
        <v>494</v>
      </c>
      <c r="D19" s="15" t="s">
        <v>112</v>
      </c>
      <c r="E19" s="17" t="s">
        <v>113</v>
      </c>
      <c r="F19" s="15" t="s">
        <v>112</v>
      </c>
      <c r="G19" s="15" t="s">
        <v>114</v>
      </c>
      <c r="H19" s="15" t="s">
        <v>1111</v>
      </c>
      <c r="J19" s="18" t="s">
        <v>115</v>
      </c>
      <c r="W19" s="15">
        <v>44</v>
      </c>
      <c r="X19" s="15">
        <v>19</v>
      </c>
      <c r="Y19" s="15" t="s">
        <v>495</v>
      </c>
      <c r="Z19" s="15" t="s">
        <v>496</v>
      </c>
      <c r="AA19" s="15" t="s">
        <v>495</v>
      </c>
      <c r="AB19" s="15" t="s">
        <v>689</v>
      </c>
      <c r="AC19" s="15" t="s">
        <v>690</v>
      </c>
      <c r="AD19" s="16" t="s">
        <v>691</v>
      </c>
      <c r="AE19" s="15" t="s">
        <v>496</v>
      </c>
      <c r="AF19" s="16" t="s">
        <v>691</v>
      </c>
      <c r="AG19" s="15">
        <v>15020</v>
      </c>
      <c r="AH19" s="15" t="s">
        <v>692</v>
      </c>
      <c r="AL19" s="15" t="s">
        <v>693</v>
      </c>
      <c r="AN19" s="15">
        <v>81</v>
      </c>
      <c r="AO19" s="15" t="s">
        <v>694</v>
      </c>
      <c r="AQ19" s="15" t="s">
        <v>503</v>
      </c>
      <c r="AT19" s="17" t="s">
        <v>695</v>
      </c>
      <c r="AU19" s="15" t="s">
        <v>696</v>
      </c>
      <c r="AV19" s="15" t="s">
        <v>696</v>
      </c>
      <c r="AW19" s="15" t="s">
        <v>697</v>
      </c>
      <c r="AX19" s="15" t="s">
        <v>697</v>
      </c>
      <c r="AY19" s="15">
        <f t="shared" si="0"/>
        <v>52</v>
      </c>
      <c r="AZ19" s="17" t="s">
        <v>253</v>
      </c>
      <c r="BA19" s="17" t="s">
        <v>507</v>
      </c>
      <c r="BB19" s="17" t="s">
        <v>508</v>
      </c>
      <c r="BC19" s="17"/>
      <c r="BD19" s="17"/>
      <c r="BE19" s="17" t="s">
        <v>698</v>
      </c>
      <c r="BF19" s="17"/>
      <c r="BG19" s="17"/>
      <c r="BH19" s="17"/>
      <c r="BI19" s="17"/>
      <c r="BJ19" s="17" t="s">
        <v>510</v>
      </c>
      <c r="BK19" s="17"/>
      <c r="BL19" s="17"/>
      <c r="BM19" s="17"/>
      <c r="BN19" s="17" t="s">
        <v>511</v>
      </c>
      <c r="BO19" s="17"/>
      <c r="BP19" s="17" t="s">
        <v>140</v>
      </c>
      <c r="BQ19" s="17"/>
      <c r="BS19" s="15" t="s">
        <v>4553</v>
      </c>
      <c r="DH19" s="15" t="s">
        <v>4597</v>
      </c>
      <c r="DI19" s="15" t="s">
        <v>4597</v>
      </c>
    </row>
    <row r="20" spans="1:113" s="15" customFormat="1" ht="12.75" x14ac:dyDescent="0.2">
      <c r="A20" s="15" t="s">
        <v>109</v>
      </c>
      <c r="B20" s="16" t="s">
        <v>493</v>
      </c>
      <c r="C20" s="15" t="s">
        <v>494</v>
      </c>
      <c r="D20" s="15" t="s">
        <v>112</v>
      </c>
      <c r="E20" s="17" t="s">
        <v>113</v>
      </c>
      <c r="F20" s="15" t="s">
        <v>112</v>
      </c>
      <c r="G20" s="15" t="s">
        <v>114</v>
      </c>
      <c r="H20" s="15" t="s">
        <v>1111</v>
      </c>
      <c r="J20" s="18" t="s">
        <v>115</v>
      </c>
      <c r="W20" s="15">
        <v>45</v>
      </c>
      <c r="X20" s="15">
        <v>20</v>
      </c>
      <c r="Y20" s="15" t="s">
        <v>495</v>
      </c>
      <c r="Z20" s="15" t="s">
        <v>496</v>
      </c>
      <c r="AA20" s="15" t="s">
        <v>495</v>
      </c>
      <c r="AB20" s="15" t="s">
        <v>699</v>
      </c>
      <c r="AC20" s="15" t="s">
        <v>700</v>
      </c>
      <c r="AD20" s="16" t="s">
        <v>701</v>
      </c>
      <c r="AE20" s="15" t="s">
        <v>496</v>
      </c>
      <c r="AF20" s="16" t="s">
        <v>701</v>
      </c>
      <c r="AG20" s="15">
        <v>15030</v>
      </c>
      <c r="AH20" s="15" t="s">
        <v>702</v>
      </c>
      <c r="AL20" s="15" t="s">
        <v>703</v>
      </c>
      <c r="AN20" s="15">
        <v>81</v>
      </c>
      <c r="AO20" s="15" t="s">
        <v>704</v>
      </c>
      <c r="AQ20" s="15" t="s">
        <v>503</v>
      </c>
      <c r="AT20" s="17" t="s">
        <v>705</v>
      </c>
      <c r="AU20" s="15" t="s">
        <v>706</v>
      </c>
      <c r="AV20" s="15" t="s">
        <v>706</v>
      </c>
      <c r="AW20" s="15" t="s">
        <v>707</v>
      </c>
      <c r="AX20" s="15" t="s">
        <v>707</v>
      </c>
      <c r="AY20" s="15">
        <f t="shared" si="0"/>
        <v>52</v>
      </c>
      <c r="AZ20" s="17" t="s">
        <v>253</v>
      </c>
      <c r="BA20" s="17" t="s">
        <v>507</v>
      </c>
      <c r="BB20" s="17" t="s">
        <v>508</v>
      </c>
      <c r="BC20" s="17"/>
      <c r="BD20" s="17"/>
      <c r="BE20" s="17" t="s">
        <v>708</v>
      </c>
      <c r="BF20" s="17"/>
      <c r="BG20" s="17"/>
      <c r="BH20" s="17"/>
      <c r="BI20" s="17"/>
      <c r="BJ20" s="17" t="s">
        <v>510</v>
      </c>
      <c r="BK20" s="17"/>
      <c r="BL20" s="17"/>
      <c r="BM20" s="17"/>
      <c r="BN20" s="17" t="s">
        <v>511</v>
      </c>
      <c r="BO20" s="17"/>
      <c r="BP20" s="17" t="s">
        <v>140</v>
      </c>
      <c r="BQ20" s="17"/>
      <c r="BS20" s="15" t="s">
        <v>4554</v>
      </c>
      <c r="DH20" s="15" t="s">
        <v>4597</v>
      </c>
      <c r="DI20" s="15" t="s">
        <v>4597</v>
      </c>
    </row>
    <row r="21" spans="1:113" s="15" customFormat="1" ht="12.75" x14ac:dyDescent="0.2">
      <c r="A21" s="15" t="s">
        <v>109</v>
      </c>
      <c r="B21" s="16" t="s">
        <v>493</v>
      </c>
      <c r="C21" s="15" t="s">
        <v>494</v>
      </c>
      <c r="D21" s="15" t="s">
        <v>112</v>
      </c>
      <c r="E21" s="17" t="s">
        <v>113</v>
      </c>
      <c r="F21" s="15" t="s">
        <v>112</v>
      </c>
      <c r="G21" s="15" t="s">
        <v>114</v>
      </c>
      <c r="H21" s="15" t="s">
        <v>1111</v>
      </c>
      <c r="J21" s="18" t="s">
        <v>115</v>
      </c>
      <c r="W21" s="15">
        <v>46</v>
      </c>
      <c r="X21" s="15">
        <v>21</v>
      </c>
      <c r="Y21" s="15" t="s">
        <v>495</v>
      </c>
      <c r="Z21" s="15" t="s">
        <v>496</v>
      </c>
      <c r="AA21" s="15" t="s">
        <v>495</v>
      </c>
      <c r="AB21" s="15" t="s">
        <v>709</v>
      </c>
      <c r="AC21" s="15" t="s">
        <v>710</v>
      </c>
      <c r="AD21" s="16" t="s">
        <v>711</v>
      </c>
      <c r="AE21" s="15" t="s">
        <v>496</v>
      </c>
      <c r="AF21" s="16" t="s">
        <v>711</v>
      </c>
      <c r="AG21" s="15">
        <v>15050</v>
      </c>
      <c r="AH21" s="15" t="s">
        <v>712</v>
      </c>
      <c r="AL21" s="15" t="s">
        <v>713</v>
      </c>
      <c r="AN21" s="15">
        <v>81</v>
      </c>
      <c r="AO21" s="15" t="s">
        <v>714</v>
      </c>
      <c r="AQ21" s="15" t="s">
        <v>503</v>
      </c>
      <c r="AT21" s="17" t="s">
        <v>715</v>
      </c>
      <c r="AU21" s="15" t="s">
        <v>716</v>
      </c>
      <c r="AV21" s="15" t="s">
        <v>716</v>
      </c>
      <c r="AW21" s="15" t="s">
        <v>717</v>
      </c>
      <c r="AX21" s="15" t="s">
        <v>717</v>
      </c>
      <c r="AY21" s="15">
        <f t="shared" si="0"/>
        <v>52</v>
      </c>
      <c r="AZ21" s="17" t="s">
        <v>253</v>
      </c>
      <c r="BA21" s="17" t="s">
        <v>507</v>
      </c>
      <c r="BB21" s="17" t="s">
        <v>508</v>
      </c>
      <c r="BC21" s="17"/>
      <c r="BD21" s="17"/>
      <c r="BE21" s="17" t="s">
        <v>718</v>
      </c>
      <c r="BF21" s="17"/>
      <c r="BG21" s="17"/>
      <c r="BH21" s="17"/>
      <c r="BI21" s="17"/>
      <c r="BJ21" s="17" t="s">
        <v>510</v>
      </c>
      <c r="BK21" s="17"/>
      <c r="BL21" s="17"/>
      <c r="BM21" s="17"/>
      <c r="BN21" s="17" t="s">
        <v>511</v>
      </c>
      <c r="BO21" s="17"/>
      <c r="BP21" s="17" t="s">
        <v>140</v>
      </c>
      <c r="BQ21" s="17"/>
      <c r="BS21" s="15" t="s">
        <v>4555</v>
      </c>
      <c r="DH21" s="15" t="s">
        <v>4597</v>
      </c>
      <c r="DI21" s="15" t="s">
        <v>4597</v>
      </c>
    </row>
    <row r="22" spans="1:113" s="15" customFormat="1" ht="12.75" x14ac:dyDescent="0.2">
      <c r="A22" s="15" t="s">
        <v>109</v>
      </c>
      <c r="B22" s="16" t="s">
        <v>493</v>
      </c>
      <c r="C22" s="15" t="s">
        <v>494</v>
      </c>
      <c r="D22" s="15" t="s">
        <v>112</v>
      </c>
      <c r="E22" s="17" t="s">
        <v>113</v>
      </c>
      <c r="F22" s="15" t="s">
        <v>112</v>
      </c>
      <c r="G22" s="15" t="s">
        <v>114</v>
      </c>
      <c r="H22" s="15" t="s">
        <v>1111</v>
      </c>
      <c r="J22" s="18" t="s">
        <v>115</v>
      </c>
      <c r="W22" s="15">
        <v>47</v>
      </c>
      <c r="X22" s="15">
        <v>22</v>
      </c>
      <c r="Y22" s="15" t="s">
        <v>495</v>
      </c>
      <c r="Z22" s="15" t="s">
        <v>496</v>
      </c>
      <c r="AA22" s="15" t="s">
        <v>495</v>
      </c>
      <c r="AB22" s="15" t="s">
        <v>719</v>
      </c>
      <c r="AC22" s="15" t="s">
        <v>720</v>
      </c>
      <c r="AD22" s="16" t="s">
        <v>721</v>
      </c>
      <c r="AE22" s="15" t="s">
        <v>496</v>
      </c>
      <c r="AF22" s="16" t="s">
        <v>721</v>
      </c>
      <c r="AG22" s="15">
        <v>15242</v>
      </c>
      <c r="AH22" s="15" t="s">
        <v>722</v>
      </c>
      <c r="AL22" s="15" t="s">
        <v>723</v>
      </c>
      <c r="AN22" s="15">
        <v>81</v>
      </c>
      <c r="AO22" s="15" t="s">
        <v>724</v>
      </c>
      <c r="AQ22" s="15" t="s">
        <v>503</v>
      </c>
      <c r="AT22" s="17" t="s">
        <v>725</v>
      </c>
      <c r="AU22" s="15" t="s">
        <v>726</v>
      </c>
      <c r="AV22" s="15" t="s">
        <v>726</v>
      </c>
      <c r="AW22" s="15" t="s">
        <v>727</v>
      </c>
      <c r="AX22" s="15" t="s">
        <v>728</v>
      </c>
      <c r="AY22" s="15">
        <f t="shared" si="0"/>
        <v>58</v>
      </c>
      <c r="AZ22" s="17" t="s">
        <v>253</v>
      </c>
      <c r="BA22" s="17" t="s">
        <v>507</v>
      </c>
      <c r="BB22" s="17" t="s">
        <v>508</v>
      </c>
      <c r="BC22" s="17"/>
      <c r="BD22" s="17"/>
      <c r="BE22" s="17" t="s">
        <v>729</v>
      </c>
      <c r="BF22" s="17"/>
      <c r="BG22" s="17"/>
      <c r="BH22" s="17"/>
      <c r="BI22" s="17"/>
      <c r="BJ22" s="17" t="s">
        <v>730</v>
      </c>
      <c r="BK22" s="17"/>
      <c r="BL22" s="17"/>
      <c r="BM22" s="17"/>
      <c r="BN22" s="17" t="s">
        <v>511</v>
      </c>
      <c r="BO22" s="17"/>
      <c r="BP22" s="17" t="s">
        <v>140</v>
      </c>
      <c r="BQ22" s="17"/>
      <c r="BS22" s="15" t="s">
        <v>4556</v>
      </c>
      <c r="DH22" s="15" t="s">
        <v>4597</v>
      </c>
      <c r="DI22" s="15" t="s">
        <v>4597</v>
      </c>
    </row>
    <row r="23" spans="1:113" s="15" customFormat="1" ht="12.75" x14ac:dyDescent="0.2">
      <c r="A23" s="15" t="s">
        <v>109</v>
      </c>
      <c r="B23" s="16" t="s">
        <v>493</v>
      </c>
      <c r="C23" s="15" t="s">
        <v>494</v>
      </c>
      <c r="D23" s="15" t="s">
        <v>112</v>
      </c>
      <c r="E23" s="17" t="s">
        <v>113</v>
      </c>
      <c r="F23" s="15" t="s">
        <v>112</v>
      </c>
      <c r="G23" s="15" t="s">
        <v>114</v>
      </c>
      <c r="H23" s="15" t="s">
        <v>1111</v>
      </c>
      <c r="J23" s="18" t="s">
        <v>115</v>
      </c>
      <c r="W23" s="15">
        <v>48</v>
      </c>
      <c r="X23" s="15">
        <v>23</v>
      </c>
      <c r="Y23" s="15" t="s">
        <v>495</v>
      </c>
      <c r="Z23" s="15" t="s">
        <v>496</v>
      </c>
      <c r="AA23" s="15" t="s">
        <v>495</v>
      </c>
      <c r="AB23" s="15" t="s">
        <v>731</v>
      </c>
      <c r="AC23" s="15" t="s">
        <v>732</v>
      </c>
      <c r="AD23" s="16" t="s">
        <v>733</v>
      </c>
      <c r="AE23" s="15" t="s">
        <v>496</v>
      </c>
      <c r="AF23" s="16" t="s">
        <v>733</v>
      </c>
      <c r="AG23" s="15">
        <v>15490</v>
      </c>
      <c r="AH23" s="15" t="s">
        <v>734</v>
      </c>
      <c r="AL23" s="15" t="s">
        <v>735</v>
      </c>
      <c r="AN23" s="15">
        <v>81</v>
      </c>
      <c r="AO23" s="15" t="s">
        <v>736</v>
      </c>
      <c r="AQ23" s="15" t="s">
        <v>503</v>
      </c>
      <c r="AT23" s="17" t="s">
        <v>737</v>
      </c>
      <c r="AU23" s="15" t="s">
        <v>738</v>
      </c>
      <c r="AV23" s="15" t="s">
        <v>738</v>
      </c>
      <c r="AW23" s="15" t="s">
        <v>739</v>
      </c>
      <c r="AX23" s="15" t="s">
        <v>739</v>
      </c>
      <c r="AY23" s="15">
        <f t="shared" si="0"/>
        <v>52</v>
      </c>
      <c r="AZ23" s="17" t="s">
        <v>253</v>
      </c>
      <c r="BA23" s="17" t="s">
        <v>507</v>
      </c>
      <c r="BB23" s="17" t="s">
        <v>508</v>
      </c>
      <c r="BC23" s="17"/>
      <c r="BD23" s="17"/>
      <c r="BE23" s="17" t="s">
        <v>740</v>
      </c>
      <c r="BF23" s="17"/>
      <c r="BG23" s="17"/>
      <c r="BH23" s="17"/>
      <c r="BI23" s="17"/>
      <c r="BJ23" s="17" t="s">
        <v>510</v>
      </c>
      <c r="BK23" s="17"/>
      <c r="BL23" s="17"/>
      <c r="BM23" s="17"/>
      <c r="BN23" s="17" t="s">
        <v>511</v>
      </c>
      <c r="BO23" s="17"/>
      <c r="BP23" s="17" t="s">
        <v>140</v>
      </c>
      <c r="BQ23" s="17"/>
      <c r="BS23" s="15" t="s">
        <v>4557</v>
      </c>
      <c r="DH23" s="15" t="s">
        <v>4597</v>
      </c>
      <c r="DI23" s="15" t="s">
        <v>4597</v>
      </c>
    </row>
    <row r="24" spans="1:113" s="15" customFormat="1" ht="12.75" x14ac:dyDescent="0.2">
      <c r="A24" s="15" t="s">
        <v>109</v>
      </c>
      <c r="B24" s="16" t="s">
        <v>493</v>
      </c>
      <c r="C24" s="15" t="s">
        <v>494</v>
      </c>
      <c r="D24" s="15" t="s">
        <v>112</v>
      </c>
      <c r="E24" s="17" t="s">
        <v>113</v>
      </c>
      <c r="F24" s="15" t="s">
        <v>112</v>
      </c>
      <c r="G24" s="15" t="s">
        <v>114</v>
      </c>
      <c r="H24" s="15" t="s">
        <v>1111</v>
      </c>
      <c r="J24" s="18" t="s">
        <v>115</v>
      </c>
      <c r="W24" s="15">
        <v>139</v>
      </c>
      <c r="X24" s="15">
        <v>114</v>
      </c>
      <c r="Y24" s="15" t="s">
        <v>495</v>
      </c>
      <c r="Z24" s="15" t="s">
        <v>496</v>
      </c>
      <c r="AA24" s="41" t="s">
        <v>495</v>
      </c>
      <c r="AB24" s="15" t="s">
        <v>1816</v>
      </c>
      <c r="AC24" s="15" t="s">
        <v>1816</v>
      </c>
      <c r="AD24" s="15" t="s">
        <v>1817</v>
      </c>
      <c r="AE24" s="15" t="s">
        <v>496</v>
      </c>
      <c r="AF24" s="15" t="s">
        <v>1817</v>
      </c>
      <c r="AG24" s="15">
        <v>221704</v>
      </c>
      <c r="AH24" s="15" t="s">
        <v>1818</v>
      </c>
      <c r="AL24" s="15" t="s">
        <v>1819</v>
      </c>
      <c r="AN24" s="15">
        <v>81</v>
      </c>
      <c r="AO24" s="15" t="s">
        <v>1820</v>
      </c>
      <c r="AQ24" s="15" t="s">
        <v>503</v>
      </c>
      <c r="AT24" s="17" t="s">
        <v>1821</v>
      </c>
      <c r="AU24" s="15" t="s">
        <v>1822</v>
      </c>
      <c r="AV24" s="15" t="s">
        <v>1822</v>
      </c>
      <c r="AW24" s="15" t="s">
        <v>1823</v>
      </c>
      <c r="AX24" s="15" t="s">
        <v>1823</v>
      </c>
      <c r="AY24" s="15">
        <f t="shared" si="0"/>
        <v>50</v>
      </c>
      <c r="AZ24" s="17" t="s">
        <v>785</v>
      </c>
      <c r="BA24" s="17" t="s">
        <v>507</v>
      </c>
      <c r="BB24" s="17" t="s">
        <v>1824</v>
      </c>
      <c r="BC24" s="17"/>
      <c r="BD24" s="17"/>
      <c r="BE24" s="17" t="s">
        <v>1825</v>
      </c>
      <c r="BF24" s="17"/>
      <c r="BG24" s="17"/>
      <c r="BH24" s="17"/>
      <c r="BI24" s="17"/>
      <c r="BJ24" s="17" t="s">
        <v>1826</v>
      </c>
      <c r="BK24" s="17"/>
      <c r="BL24" s="17"/>
      <c r="BM24" s="17"/>
      <c r="BN24" s="17" t="s">
        <v>511</v>
      </c>
      <c r="BO24" s="17"/>
      <c r="BP24" s="17" t="s">
        <v>140</v>
      </c>
      <c r="BQ24" s="17"/>
      <c r="BS24" s="15" t="s">
        <v>4558</v>
      </c>
      <c r="DH24" s="15" t="s">
        <v>4597</v>
      </c>
      <c r="DI24" s="15" t="s">
        <v>4597</v>
      </c>
    </row>
    <row r="25" spans="1:113" s="15" customFormat="1" ht="12.75" x14ac:dyDescent="0.2">
      <c r="A25" s="15" t="s">
        <v>109</v>
      </c>
      <c r="B25" s="16" t="s">
        <v>493</v>
      </c>
      <c r="C25" s="15" t="s">
        <v>494</v>
      </c>
      <c r="D25" s="15" t="s">
        <v>112</v>
      </c>
      <c r="E25" s="17" t="s">
        <v>113</v>
      </c>
      <c r="F25" s="15" t="s">
        <v>112</v>
      </c>
      <c r="G25" s="15" t="s">
        <v>114</v>
      </c>
      <c r="H25" s="15" t="s">
        <v>1111</v>
      </c>
      <c r="J25" s="18" t="s">
        <v>115</v>
      </c>
      <c r="W25" s="15">
        <v>149</v>
      </c>
      <c r="X25" s="15">
        <v>124</v>
      </c>
      <c r="Y25" s="15" t="s">
        <v>495</v>
      </c>
      <c r="Z25" s="15" t="s">
        <v>496</v>
      </c>
      <c r="AA25" s="41" t="s">
        <v>495</v>
      </c>
      <c r="AB25" s="15" t="s">
        <v>1919</v>
      </c>
      <c r="AC25" s="15" t="s">
        <v>1919</v>
      </c>
      <c r="AD25" s="15" t="s">
        <v>1920</v>
      </c>
      <c r="AE25" s="15" t="s">
        <v>496</v>
      </c>
      <c r="AF25" s="15" t="s">
        <v>1920</v>
      </c>
      <c r="AG25" s="15">
        <v>364004</v>
      </c>
      <c r="AH25" s="15" t="s">
        <v>1921</v>
      </c>
      <c r="AL25" s="15" t="s">
        <v>1922</v>
      </c>
      <c r="AN25" s="15">
        <v>81</v>
      </c>
      <c r="AO25" s="15" t="s">
        <v>1923</v>
      </c>
      <c r="AQ25" s="15" t="s">
        <v>503</v>
      </c>
      <c r="AT25" s="17" t="s">
        <v>1924</v>
      </c>
      <c r="AU25" s="15" t="s">
        <v>1925</v>
      </c>
      <c r="AV25" s="15" t="s">
        <v>1925</v>
      </c>
      <c r="AW25" s="15" t="s">
        <v>1926</v>
      </c>
      <c r="AX25" s="15" t="s">
        <v>1927</v>
      </c>
      <c r="AY25" s="15">
        <f t="shared" si="0"/>
        <v>60</v>
      </c>
      <c r="AZ25" s="17" t="s">
        <v>785</v>
      </c>
      <c r="BA25" s="17" t="s">
        <v>507</v>
      </c>
      <c r="BB25" s="17" t="s">
        <v>1824</v>
      </c>
      <c r="BC25" s="17" t="s">
        <v>374</v>
      </c>
      <c r="BD25" s="17"/>
      <c r="BE25" s="17" t="s">
        <v>409</v>
      </c>
      <c r="BF25" s="17"/>
      <c r="BG25" s="17"/>
      <c r="BH25" s="17"/>
      <c r="BI25" s="17"/>
      <c r="BJ25" s="17" t="s">
        <v>1826</v>
      </c>
      <c r="BK25" s="17" t="s">
        <v>754</v>
      </c>
      <c r="BL25" s="17"/>
      <c r="BM25" s="17" t="s">
        <v>201</v>
      </c>
      <c r="BN25" s="17" t="s">
        <v>511</v>
      </c>
      <c r="BO25" s="17"/>
      <c r="BP25" s="17" t="s">
        <v>140</v>
      </c>
      <c r="BQ25" s="17" t="s">
        <v>258</v>
      </c>
      <c r="BS25" s="15" t="s">
        <v>4559</v>
      </c>
      <c r="DH25" s="15" t="s">
        <v>4597</v>
      </c>
      <c r="DI25" s="15" t="s">
        <v>4597</v>
      </c>
    </row>
    <row r="26" spans="1:113" s="15" customFormat="1" ht="12.75" x14ac:dyDescent="0.2">
      <c r="A26" s="15" t="s">
        <v>109</v>
      </c>
      <c r="B26" s="16" t="s">
        <v>493</v>
      </c>
      <c r="C26" s="15" t="s">
        <v>494</v>
      </c>
      <c r="D26" s="15" t="s">
        <v>112</v>
      </c>
      <c r="E26" s="17" t="s">
        <v>113</v>
      </c>
      <c r="F26" s="15" t="s">
        <v>112</v>
      </c>
      <c r="G26" s="15" t="s">
        <v>114</v>
      </c>
      <c r="H26" s="15" t="s">
        <v>1111</v>
      </c>
      <c r="J26" s="18" t="s">
        <v>115</v>
      </c>
      <c r="W26" s="15">
        <v>150</v>
      </c>
      <c r="X26" s="15">
        <v>125</v>
      </c>
      <c r="Y26" s="15" t="s">
        <v>495</v>
      </c>
      <c r="Z26" s="15" t="s">
        <v>496</v>
      </c>
      <c r="AA26" s="41" t="s">
        <v>495</v>
      </c>
      <c r="AB26" s="15" t="s">
        <v>1928</v>
      </c>
      <c r="AC26" s="15" t="s">
        <v>1928</v>
      </c>
      <c r="AD26" s="15" t="s">
        <v>1929</v>
      </c>
      <c r="AE26" s="15" t="s">
        <v>496</v>
      </c>
      <c r="AF26" s="15" t="s">
        <v>1929</v>
      </c>
      <c r="AG26" s="15">
        <v>364404</v>
      </c>
      <c r="AH26" s="15" t="s">
        <v>1930</v>
      </c>
      <c r="AL26" s="15" t="s">
        <v>1931</v>
      </c>
      <c r="AN26" s="15">
        <v>81</v>
      </c>
      <c r="AO26" s="15" t="s">
        <v>1932</v>
      </c>
      <c r="AQ26" s="15" t="s">
        <v>503</v>
      </c>
      <c r="AT26" s="17" t="s">
        <v>1933</v>
      </c>
      <c r="AU26" s="15" t="s">
        <v>1934</v>
      </c>
      <c r="AV26" s="15" t="s">
        <v>1934</v>
      </c>
      <c r="AW26" s="15" t="s">
        <v>1935</v>
      </c>
      <c r="AX26" s="15" t="s">
        <v>1936</v>
      </c>
      <c r="AY26" s="15">
        <f t="shared" si="0"/>
        <v>60</v>
      </c>
      <c r="AZ26" s="17" t="s">
        <v>785</v>
      </c>
      <c r="BA26" s="17" t="s">
        <v>507</v>
      </c>
      <c r="BB26" s="17" t="s">
        <v>1824</v>
      </c>
      <c r="BC26" s="17" t="s">
        <v>374</v>
      </c>
      <c r="BD26" s="17"/>
      <c r="BE26" s="17" t="s">
        <v>1937</v>
      </c>
      <c r="BF26" s="17"/>
      <c r="BG26" s="17"/>
      <c r="BH26" s="17"/>
      <c r="BI26" s="17"/>
      <c r="BJ26" s="17" t="s">
        <v>1826</v>
      </c>
      <c r="BK26" s="17" t="s">
        <v>754</v>
      </c>
      <c r="BL26" s="17"/>
      <c r="BM26" s="17" t="s">
        <v>201</v>
      </c>
      <c r="BN26" s="17" t="s">
        <v>511</v>
      </c>
      <c r="BO26" s="17"/>
      <c r="BP26" s="17" t="s">
        <v>140</v>
      </c>
      <c r="BQ26" s="17" t="s">
        <v>258</v>
      </c>
      <c r="BS26" s="15" t="s">
        <v>4560</v>
      </c>
      <c r="DH26" s="15" t="s">
        <v>4597</v>
      </c>
      <c r="DI26" s="15" t="s">
        <v>4597</v>
      </c>
    </row>
    <row r="27" spans="1:113" s="15" customFormat="1" ht="12.75" x14ac:dyDescent="0.2">
      <c r="A27" s="15" t="s">
        <v>109</v>
      </c>
      <c r="B27" s="16" t="s">
        <v>493</v>
      </c>
      <c r="C27" s="15" t="s">
        <v>494</v>
      </c>
      <c r="D27" s="15" t="s">
        <v>112</v>
      </c>
      <c r="E27" s="17" t="s">
        <v>113</v>
      </c>
      <c r="F27" s="15" t="s">
        <v>112</v>
      </c>
      <c r="G27" s="15" t="s">
        <v>114</v>
      </c>
      <c r="H27" s="15" t="s">
        <v>1111</v>
      </c>
      <c r="J27" s="18" t="s">
        <v>115</v>
      </c>
      <c r="W27" s="15">
        <v>36</v>
      </c>
      <c r="X27" s="15">
        <v>11</v>
      </c>
      <c r="Y27" s="15" t="s">
        <v>495</v>
      </c>
      <c r="Z27" s="15" t="s">
        <v>496</v>
      </c>
      <c r="AA27" s="15" t="s">
        <v>495</v>
      </c>
      <c r="AB27" s="15" t="s">
        <v>602</v>
      </c>
      <c r="AC27" s="15" t="s">
        <v>603</v>
      </c>
      <c r="AD27" s="16" t="s">
        <v>604</v>
      </c>
      <c r="AE27" s="15" t="s">
        <v>496</v>
      </c>
      <c r="AF27" s="16" t="s">
        <v>604</v>
      </c>
      <c r="AG27" s="15" t="s">
        <v>602</v>
      </c>
      <c r="AH27" s="15" t="s">
        <v>605</v>
      </c>
      <c r="AL27" s="15" t="s">
        <v>606</v>
      </c>
      <c r="AN27" s="15">
        <v>81</v>
      </c>
      <c r="AO27" s="15" t="s">
        <v>607</v>
      </c>
      <c r="AQ27" s="15" t="s">
        <v>503</v>
      </c>
      <c r="AT27" s="17" t="s">
        <v>608</v>
      </c>
      <c r="AU27" s="15" t="s">
        <v>609</v>
      </c>
      <c r="AV27" s="15" t="s">
        <v>609</v>
      </c>
      <c r="AW27" s="15" t="s">
        <v>610</v>
      </c>
      <c r="AX27" s="15" t="s">
        <v>611</v>
      </c>
      <c r="AY27" s="15">
        <f t="shared" si="0"/>
        <v>53</v>
      </c>
      <c r="AZ27" s="17" t="s">
        <v>253</v>
      </c>
      <c r="BA27" s="17" t="s">
        <v>507</v>
      </c>
      <c r="BB27" s="17" t="s">
        <v>508</v>
      </c>
      <c r="BC27" s="17"/>
      <c r="BD27" s="17"/>
      <c r="BE27" s="17" t="s">
        <v>612</v>
      </c>
      <c r="BF27" s="17"/>
      <c r="BG27" s="17"/>
      <c r="BH27" s="17"/>
      <c r="BI27" s="17"/>
      <c r="BJ27" s="17" t="s">
        <v>613</v>
      </c>
      <c r="BK27" s="17"/>
      <c r="BL27" s="17"/>
      <c r="BM27" s="17"/>
      <c r="BN27" s="17" t="s">
        <v>511</v>
      </c>
      <c r="BO27" s="17"/>
      <c r="BP27" s="17" t="s">
        <v>140</v>
      </c>
      <c r="BQ27" s="17"/>
      <c r="BS27" s="15" t="s">
        <v>4561</v>
      </c>
      <c r="DH27" s="15" t="s">
        <v>4597</v>
      </c>
      <c r="DI27" s="15" t="s">
        <v>4597</v>
      </c>
    </row>
    <row r="28" spans="1:113" s="15" customFormat="1" ht="12.75" x14ac:dyDescent="0.2">
      <c r="A28" s="15" t="s">
        <v>109</v>
      </c>
      <c r="B28" s="16" t="s">
        <v>493</v>
      </c>
      <c r="C28" s="15" t="s">
        <v>494</v>
      </c>
      <c r="D28" s="15" t="s">
        <v>112</v>
      </c>
      <c r="E28" s="17" t="s">
        <v>113</v>
      </c>
      <c r="F28" s="15" t="s">
        <v>112</v>
      </c>
      <c r="G28" s="15" t="s">
        <v>114</v>
      </c>
      <c r="H28" s="15" t="s">
        <v>1111</v>
      </c>
      <c r="J28" s="18" t="s">
        <v>115</v>
      </c>
      <c r="W28" s="15">
        <v>38</v>
      </c>
      <c r="X28" s="15">
        <v>13</v>
      </c>
      <c r="Y28" s="15" t="s">
        <v>495</v>
      </c>
      <c r="Z28" s="15" t="s">
        <v>496</v>
      </c>
      <c r="AA28" s="15" t="s">
        <v>495</v>
      </c>
      <c r="AB28" s="15" t="s">
        <v>626</v>
      </c>
      <c r="AC28" s="15" t="s">
        <v>627</v>
      </c>
      <c r="AD28" s="16" t="s">
        <v>628</v>
      </c>
      <c r="AE28" s="15" t="s">
        <v>496</v>
      </c>
      <c r="AF28" s="16" t="s">
        <v>628</v>
      </c>
      <c r="AG28" s="15" t="s">
        <v>626</v>
      </c>
      <c r="AH28" s="15" t="s">
        <v>629</v>
      </c>
      <c r="AL28" s="15" t="s">
        <v>630</v>
      </c>
      <c r="AN28" s="15">
        <v>81</v>
      </c>
      <c r="AO28" s="15" t="s">
        <v>631</v>
      </c>
      <c r="AQ28" s="15" t="s">
        <v>503</v>
      </c>
      <c r="AT28" s="17" t="s">
        <v>632</v>
      </c>
      <c r="AU28" s="15" t="s">
        <v>633</v>
      </c>
      <c r="AV28" s="15" t="s">
        <v>633</v>
      </c>
      <c r="AW28" s="15" t="s">
        <v>634</v>
      </c>
      <c r="AX28" s="15" t="s">
        <v>635</v>
      </c>
      <c r="AY28" s="15">
        <f t="shared" si="0"/>
        <v>60</v>
      </c>
      <c r="AZ28" s="17" t="s">
        <v>253</v>
      </c>
      <c r="BA28" s="17" t="s">
        <v>507</v>
      </c>
      <c r="BB28" s="17" t="s">
        <v>508</v>
      </c>
      <c r="BC28" s="17"/>
      <c r="BD28" s="17"/>
      <c r="BE28" s="17" t="s">
        <v>624</v>
      </c>
      <c r="BF28" s="17"/>
      <c r="BG28" s="17"/>
      <c r="BH28" s="17"/>
      <c r="BI28" s="17"/>
      <c r="BJ28" s="17" t="s">
        <v>636</v>
      </c>
      <c r="BK28" s="17"/>
      <c r="BL28" s="17"/>
      <c r="BM28" s="17"/>
      <c r="BN28" s="17" t="s">
        <v>511</v>
      </c>
      <c r="BO28" s="17"/>
      <c r="BP28" s="17" t="s">
        <v>140</v>
      </c>
      <c r="BQ28" s="17"/>
      <c r="BS28" s="15" t="s">
        <v>4562</v>
      </c>
      <c r="DH28" s="15" t="s">
        <v>4597</v>
      </c>
      <c r="DI28" s="15" t="s">
        <v>4597</v>
      </c>
    </row>
    <row r="29" spans="1:113" s="15" customFormat="1" ht="12.75" x14ac:dyDescent="0.2">
      <c r="A29" s="15" t="s">
        <v>109</v>
      </c>
      <c r="B29" s="16" t="s">
        <v>493</v>
      </c>
      <c r="C29" s="15" t="s">
        <v>494</v>
      </c>
      <c r="D29" s="15" t="s">
        <v>112</v>
      </c>
      <c r="E29" s="17" t="s">
        <v>113</v>
      </c>
      <c r="F29" s="15" t="s">
        <v>112</v>
      </c>
      <c r="G29" s="15" t="s">
        <v>114</v>
      </c>
      <c r="H29" s="15" t="s">
        <v>1111</v>
      </c>
      <c r="J29" s="18" t="s">
        <v>115</v>
      </c>
      <c r="W29" s="15">
        <v>49</v>
      </c>
      <c r="X29" s="15">
        <v>24</v>
      </c>
      <c r="Y29" s="15" t="s">
        <v>495</v>
      </c>
      <c r="Z29" s="15" t="s">
        <v>496</v>
      </c>
      <c r="AA29" s="15" t="s">
        <v>495</v>
      </c>
      <c r="AB29" s="15" t="s">
        <v>741</v>
      </c>
      <c r="AC29" s="15" t="s">
        <v>742</v>
      </c>
      <c r="AD29" s="15" t="s">
        <v>743</v>
      </c>
      <c r="AE29" s="15" t="s">
        <v>496</v>
      </c>
      <c r="AF29" s="15" t="s">
        <v>743</v>
      </c>
      <c r="AG29" s="15" t="s">
        <v>741</v>
      </c>
      <c r="AH29" s="15" t="s">
        <v>744</v>
      </c>
      <c r="AL29" s="15" t="s">
        <v>745</v>
      </c>
      <c r="AN29" s="15">
        <v>81</v>
      </c>
      <c r="AO29" s="15" t="s">
        <v>746</v>
      </c>
      <c r="AQ29" s="15" t="s">
        <v>747</v>
      </c>
      <c r="AT29" s="17" t="s">
        <v>748</v>
      </c>
      <c r="AU29" s="15" t="s">
        <v>749</v>
      </c>
      <c r="AV29" s="15" t="s">
        <v>749</v>
      </c>
      <c r="AW29" s="15" t="s">
        <v>750</v>
      </c>
      <c r="AX29" s="15" t="s">
        <v>751</v>
      </c>
      <c r="AY29" s="15">
        <f t="shared" si="0"/>
        <v>52</v>
      </c>
      <c r="AZ29" s="17" t="s">
        <v>253</v>
      </c>
      <c r="BA29" s="17" t="s">
        <v>507</v>
      </c>
      <c r="BB29" s="17" t="s">
        <v>752</v>
      </c>
      <c r="BC29" s="17"/>
      <c r="BD29" s="17"/>
      <c r="BE29" s="17" t="s">
        <v>753</v>
      </c>
      <c r="BF29" s="17"/>
      <c r="BG29" s="17"/>
      <c r="BH29" s="17"/>
      <c r="BI29" s="17"/>
      <c r="BJ29" s="17" t="s">
        <v>510</v>
      </c>
      <c r="BK29" s="17" t="s">
        <v>754</v>
      </c>
      <c r="BL29" s="17"/>
      <c r="BM29" s="17" t="s">
        <v>201</v>
      </c>
      <c r="BN29" s="17" t="s">
        <v>511</v>
      </c>
      <c r="BO29" s="17"/>
      <c r="BP29" s="17" t="s">
        <v>140</v>
      </c>
      <c r="BQ29" s="17" t="s">
        <v>258</v>
      </c>
      <c r="BS29" s="15" t="s">
        <v>4563</v>
      </c>
      <c r="DH29" s="15" t="s">
        <v>4597</v>
      </c>
      <c r="DI29" s="15" t="s">
        <v>4597</v>
      </c>
    </row>
    <row r="30" spans="1:113" s="15" customFormat="1" ht="12.75" x14ac:dyDescent="0.2">
      <c r="A30" s="15" t="s">
        <v>109</v>
      </c>
      <c r="B30" s="16" t="s">
        <v>493</v>
      </c>
      <c r="C30" s="15" t="s">
        <v>494</v>
      </c>
      <c r="D30" s="15" t="s">
        <v>112</v>
      </c>
      <c r="E30" s="17" t="s">
        <v>113</v>
      </c>
      <c r="F30" s="15" t="s">
        <v>112</v>
      </c>
      <c r="G30" s="15" t="s">
        <v>114</v>
      </c>
      <c r="H30" s="15" t="s">
        <v>1111</v>
      </c>
      <c r="J30" s="18" t="s">
        <v>115</v>
      </c>
      <c r="W30" s="15">
        <v>50</v>
      </c>
      <c r="X30" s="15">
        <v>25</v>
      </c>
      <c r="Y30" s="15" t="s">
        <v>495</v>
      </c>
      <c r="Z30" s="15" t="s">
        <v>496</v>
      </c>
      <c r="AA30" s="15" t="s">
        <v>495</v>
      </c>
      <c r="AB30" s="15" t="s">
        <v>755</v>
      </c>
      <c r="AC30" s="15" t="s">
        <v>756</v>
      </c>
      <c r="AD30" s="15" t="s">
        <v>757</v>
      </c>
      <c r="AE30" s="15" t="s">
        <v>496</v>
      </c>
      <c r="AF30" s="15" t="s">
        <v>757</v>
      </c>
      <c r="AG30" s="15" t="s">
        <v>755</v>
      </c>
      <c r="AH30" s="15" t="s">
        <v>758</v>
      </c>
      <c r="AL30" s="15" t="s">
        <v>759</v>
      </c>
      <c r="AN30" s="15">
        <v>81</v>
      </c>
      <c r="AO30" s="15" t="s">
        <v>760</v>
      </c>
      <c r="AQ30" s="15" t="s">
        <v>747</v>
      </c>
      <c r="AT30" s="17" t="s">
        <v>761</v>
      </c>
      <c r="AU30" s="15" t="s">
        <v>762</v>
      </c>
      <c r="AV30" s="15" t="s">
        <v>762</v>
      </c>
      <c r="AW30" s="15" t="s">
        <v>763</v>
      </c>
      <c r="AX30" s="15" t="s">
        <v>763</v>
      </c>
      <c r="AY30" s="15">
        <f t="shared" si="0"/>
        <v>58</v>
      </c>
      <c r="AZ30" s="17" t="s">
        <v>253</v>
      </c>
      <c r="BA30" s="17" t="s">
        <v>507</v>
      </c>
      <c r="BB30" s="17" t="s">
        <v>752</v>
      </c>
      <c r="BC30" s="17"/>
      <c r="BD30" s="17"/>
      <c r="BE30" s="17" t="s">
        <v>764</v>
      </c>
      <c r="BF30" s="17"/>
      <c r="BG30" s="17"/>
      <c r="BH30" s="17"/>
      <c r="BI30" s="17"/>
      <c r="BJ30" s="17" t="s">
        <v>510</v>
      </c>
      <c r="BK30" s="17" t="s">
        <v>754</v>
      </c>
      <c r="BL30" s="17"/>
      <c r="BM30" s="17" t="s">
        <v>201</v>
      </c>
      <c r="BN30" s="17" t="s">
        <v>511</v>
      </c>
      <c r="BO30" s="17"/>
      <c r="BP30" s="17" t="s">
        <v>140</v>
      </c>
      <c r="BQ30" s="17" t="s">
        <v>258</v>
      </c>
      <c r="BS30" s="15" t="s">
        <v>4564</v>
      </c>
      <c r="DH30" s="15" t="s">
        <v>4597</v>
      </c>
      <c r="DI30" s="15" t="s">
        <v>4597</v>
      </c>
    </row>
    <row r="31" spans="1:113" s="15" customFormat="1" ht="12.75" x14ac:dyDescent="0.2">
      <c r="A31" s="15" t="s">
        <v>109</v>
      </c>
      <c r="B31" s="16" t="s">
        <v>493</v>
      </c>
      <c r="C31" s="15" t="s">
        <v>494</v>
      </c>
      <c r="D31" s="15" t="s">
        <v>112</v>
      </c>
      <c r="E31" s="17" t="s">
        <v>113</v>
      </c>
      <c r="F31" s="15" t="s">
        <v>112</v>
      </c>
      <c r="G31" s="15" t="s">
        <v>114</v>
      </c>
      <c r="H31" s="15" t="s">
        <v>1111</v>
      </c>
      <c r="J31" s="18" t="s">
        <v>115</v>
      </c>
      <c r="W31" s="15">
        <v>51</v>
      </c>
      <c r="X31" s="15">
        <v>26</v>
      </c>
      <c r="Y31" s="15" t="s">
        <v>495</v>
      </c>
      <c r="Z31" s="15" t="s">
        <v>496</v>
      </c>
      <c r="AA31" s="15" t="s">
        <v>495</v>
      </c>
      <c r="AB31" s="15" t="s">
        <v>765</v>
      </c>
      <c r="AC31" s="15" t="s">
        <v>766</v>
      </c>
      <c r="AD31" s="15" t="s">
        <v>767</v>
      </c>
      <c r="AE31" s="15" t="s">
        <v>496</v>
      </c>
      <c r="AF31" s="15" t="s">
        <v>767</v>
      </c>
      <c r="AG31" s="15" t="s">
        <v>765</v>
      </c>
      <c r="AH31" s="15" t="s">
        <v>768</v>
      </c>
      <c r="AL31" s="15" t="s">
        <v>769</v>
      </c>
      <c r="AN31" s="15">
        <v>81</v>
      </c>
      <c r="AO31" s="15" t="s">
        <v>770</v>
      </c>
      <c r="AQ31" s="15" t="s">
        <v>747</v>
      </c>
      <c r="AT31" s="17" t="s">
        <v>771</v>
      </c>
      <c r="AU31" s="15" t="s">
        <v>772</v>
      </c>
      <c r="AV31" s="15" t="s">
        <v>772</v>
      </c>
      <c r="AW31" s="15" t="s">
        <v>773</v>
      </c>
      <c r="AX31" s="15" t="s">
        <v>773</v>
      </c>
      <c r="AY31" s="15">
        <f t="shared" si="0"/>
        <v>58</v>
      </c>
      <c r="AZ31" s="17" t="s">
        <v>253</v>
      </c>
      <c r="BA31" s="17" t="s">
        <v>507</v>
      </c>
      <c r="BB31" s="17" t="s">
        <v>752</v>
      </c>
      <c r="BC31" s="17"/>
      <c r="BD31" s="17"/>
      <c r="BE31" s="17" t="s">
        <v>774</v>
      </c>
      <c r="BF31" s="17"/>
      <c r="BG31" s="17"/>
      <c r="BH31" s="17"/>
      <c r="BI31" s="17"/>
      <c r="BJ31" s="17" t="s">
        <v>510</v>
      </c>
      <c r="BK31" s="17" t="s">
        <v>754</v>
      </c>
      <c r="BL31" s="17"/>
      <c r="BM31" s="17" t="s">
        <v>201</v>
      </c>
      <c r="BN31" s="17" t="s">
        <v>511</v>
      </c>
      <c r="BO31" s="17"/>
      <c r="BP31" s="17" t="s">
        <v>140</v>
      </c>
      <c r="BQ31" s="17" t="s">
        <v>258</v>
      </c>
      <c r="BS31" s="15" t="s">
        <v>4565</v>
      </c>
      <c r="DH31" s="15" t="s">
        <v>4597</v>
      </c>
      <c r="DI31" s="15" t="s">
        <v>4597</v>
      </c>
    </row>
    <row r="32" spans="1:113" s="15" customFormat="1" ht="12.75" x14ac:dyDescent="0.2">
      <c r="A32" s="15" t="s">
        <v>109</v>
      </c>
      <c r="B32" s="16" t="s">
        <v>493</v>
      </c>
      <c r="C32" s="15" t="s">
        <v>494</v>
      </c>
      <c r="D32" s="15" t="s">
        <v>112</v>
      </c>
      <c r="E32" s="17" t="s">
        <v>113</v>
      </c>
      <c r="F32" s="15" t="s">
        <v>112</v>
      </c>
      <c r="G32" s="15" t="s">
        <v>114</v>
      </c>
      <c r="H32" s="15" t="s">
        <v>1111</v>
      </c>
      <c r="J32" s="18" t="s">
        <v>115</v>
      </c>
      <c r="W32" s="15">
        <v>52</v>
      </c>
      <c r="X32" s="15">
        <v>27</v>
      </c>
      <c r="Y32" s="15" t="s">
        <v>495</v>
      </c>
      <c r="Z32" s="15" t="s">
        <v>496</v>
      </c>
      <c r="AA32" s="15" t="s">
        <v>495</v>
      </c>
      <c r="AB32" s="15" t="s">
        <v>775</v>
      </c>
      <c r="AC32" s="15" t="s">
        <v>776</v>
      </c>
      <c r="AD32" s="16" t="s">
        <v>777</v>
      </c>
      <c r="AE32" s="15" t="s">
        <v>496</v>
      </c>
      <c r="AF32" s="16" t="s">
        <v>777</v>
      </c>
      <c r="AG32" s="15" t="s">
        <v>775</v>
      </c>
      <c r="AH32" s="15" t="s">
        <v>778</v>
      </c>
      <c r="AL32" s="15" t="s">
        <v>779</v>
      </c>
      <c r="AN32" s="15">
        <v>81</v>
      </c>
      <c r="AO32" s="15" t="s">
        <v>780</v>
      </c>
      <c r="AQ32" s="15" t="s">
        <v>503</v>
      </c>
      <c r="AT32" s="17" t="s">
        <v>781</v>
      </c>
      <c r="AU32" s="15" t="s">
        <v>782</v>
      </c>
      <c r="AV32" s="15" t="s">
        <v>782</v>
      </c>
      <c r="AW32" s="15" t="s">
        <v>783</v>
      </c>
      <c r="AX32" s="15" t="s">
        <v>784</v>
      </c>
      <c r="AY32" s="15">
        <f t="shared" si="0"/>
        <v>58</v>
      </c>
      <c r="AZ32" s="17" t="s">
        <v>785</v>
      </c>
      <c r="BA32" s="17" t="s">
        <v>507</v>
      </c>
      <c r="BB32" s="17" t="s">
        <v>786</v>
      </c>
      <c r="BC32" s="17" t="s">
        <v>787</v>
      </c>
      <c r="BD32" s="17"/>
      <c r="BE32" s="17" t="s">
        <v>788</v>
      </c>
      <c r="BF32" s="17"/>
      <c r="BG32" s="17"/>
      <c r="BH32" s="17"/>
      <c r="BI32" s="17"/>
      <c r="BJ32" s="17" t="s">
        <v>789</v>
      </c>
      <c r="BK32" s="17"/>
      <c r="BL32" s="17"/>
      <c r="BM32" s="17" t="s">
        <v>257</v>
      </c>
      <c r="BN32" s="17" t="s">
        <v>511</v>
      </c>
      <c r="BO32" s="17"/>
      <c r="BP32" s="17" t="s">
        <v>140</v>
      </c>
      <c r="BQ32" s="17"/>
      <c r="BS32" s="15" t="s">
        <v>4566</v>
      </c>
      <c r="DH32" s="15" t="s">
        <v>4597</v>
      </c>
      <c r="DI32" s="15" t="s">
        <v>4597</v>
      </c>
    </row>
    <row r="33" spans="1:113" s="15" customFormat="1" ht="12.75" x14ac:dyDescent="0.2">
      <c r="A33" s="15" t="s">
        <v>109</v>
      </c>
      <c r="B33" s="16" t="s">
        <v>493</v>
      </c>
      <c r="C33" s="15" t="s">
        <v>494</v>
      </c>
      <c r="D33" s="15" t="s">
        <v>112</v>
      </c>
      <c r="E33" s="17" t="s">
        <v>113</v>
      </c>
      <c r="F33" s="15" t="s">
        <v>112</v>
      </c>
      <c r="G33" s="15" t="s">
        <v>114</v>
      </c>
      <c r="H33" s="15" t="s">
        <v>1111</v>
      </c>
      <c r="J33" s="18" t="s">
        <v>115</v>
      </c>
      <c r="W33" s="15">
        <v>53</v>
      </c>
      <c r="X33" s="15">
        <v>28</v>
      </c>
      <c r="Y33" s="15" t="s">
        <v>495</v>
      </c>
      <c r="Z33" s="15" t="s">
        <v>496</v>
      </c>
      <c r="AA33" s="15" t="s">
        <v>495</v>
      </c>
      <c r="AB33" s="15" t="s">
        <v>790</v>
      </c>
      <c r="AC33" s="15" t="s">
        <v>791</v>
      </c>
      <c r="AD33" s="16" t="s">
        <v>792</v>
      </c>
      <c r="AE33" s="15" t="s">
        <v>496</v>
      </c>
      <c r="AF33" s="16" t="s">
        <v>792</v>
      </c>
      <c r="AG33" s="15" t="s">
        <v>790</v>
      </c>
      <c r="AH33" s="15" t="s">
        <v>793</v>
      </c>
      <c r="AL33" s="15" t="s">
        <v>794</v>
      </c>
      <c r="AN33" s="15">
        <v>81</v>
      </c>
      <c r="AO33" s="15" t="s">
        <v>795</v>
      </c>
      <c r="AQ33" s="15" t="s">
        <v>503</v>
      </c>
      <c r="AT33" s="17" t="s">
        <v>796</v>
      </c>
      <c r="AU33" s="15" t="s">
        <v>797</v>
      </c>
      <c r="AV33" s="15" t="s">
        <v>797</v>
      </c>
      <c r="AW33" s="15" t="s">
        <v>798</v>
      </c>
      <c r="AX33" s="15" t="s">
        <v>799</v>
      </c>
      <c r="AY33" s="15">
        <f t="shared" si="0"/>
        <v>58</v>
      </c>
      <c r="AZ33" s="17" t="s">
        <v>785</v>
      </c>
      <c r="BA33" s="17" t="s">
        <v>507</v>
      </c>
      <c r="BB33" s="17" t="s">
        <v>786</v>
      </c>
      <c r="BC33" s="17" t="s">
        <v>787</v>
      </c>
      <c r="BD33" s="17"/>
      <c r="BE33" s="17" t="s">
        <v>800</v>
      </c>
      <c r="BF33" s="17"/>
      <c r="BG33" s="17"/>
      <c r="BH33" s="17"/>
      <c r="BI33" s="17"/>
      <c r="BJ33" s="17" t="s">
        <v>789</v>
      </c>
      <c r="BK33" s="17"/>
      <c r="BL33" s="17"/>
      <c r="BM33" s="17" t="s">
        <v>257</v>
      </c>
      <c r="BN33" s="17" t="s">
        <v>511</v>
      </c>
      <c r="BO33" s="17"/>
      <c r="BP33" s="17" t="s">
        <v>140</v>
      </c>
      <c r="BQ33" s="17"/>
      <c r="BS33" s="15" t="s">
        <v>4567</v>
      </c>
      <c r="DH33" s="15" t="s">
        <v>4597</v>
      </c>
      <c r="DI33" s="15" t="s">
        <v>4597</v>
      </c>
    </row>
    <row r="34" spans="1:113" s="15" customFormat="1" ht="12.75" x14ac:dyDescent="0.2">
      <c r="A34" s="15" t="s">
        <v>109</v>
      </c>
      <c r="B34" s="16" t="s">
        <v>493</v>
      </c>
      <c r="C34" s="15" t="s">
        <v>494</v>
      </c>
      <c r="D34" s="15" t="s">
        <v>112</v>
      </c>
      <c r="E34" s="17" t="s">
        <v>113</v>
      </c>
      <c r="F34" s="15" t="s">
        <v>112</v>
      </c>
      <c r="G34" s="15" t="s">
        <v>114</v>
      </c>
      <c r="H34" s="15" t="s">
        <v>1111</v>
      </c>
      <c r="J34" s="18" t="s">
        <v>115</v>
      </c>
      <c r="W34" s="15">
        <v>54</v>
      </c>
      <c r="X34" s="15">
        <v>29</v>
      </c>
      <c r="Y34" s="15" t="s">
        <v>495</v>
      </c>
      <c r="Z34" s="15" t="s">
        <v>496</v>
      </c>
      <c r="AA34" s="15" t="s">
        <v>495</v>
      </c>
      <c r="AB34" s="15" t="s">
        <v>801</v>
      </c>
      <c r="AC34" s="15" t="s">
        <v>802</v>
      </c>
      <c r="AD34" s="16" t="s">
        <v>803</v>
      </c>
      <c r="AE34" s="15" t="s">
        <v>496</v>
      </c>
      <c r="AF34" s="16" t="s">
        <v>803</v>
      </c>
      <c r="AG34" s="15" t="s">
        <v>801</v>
      </c>
      <c r="AH34" s="15" t="s">
        <v>804</v>
      </c>
      <c r="AL34" s="15" t="s">
        <v>805</v>
      </c>
      <c r="AN34" s="15">
        <v>81</v>
      </c>
      <c r="AO34" s="15" t="s">
        <v>806</v>
      </c>
      <c r="AQ34" s="15" t="s">
        <v>503</v>
      </c>
      <c r="AT34" s="17" t="s">
        <v>807</v>
      </c>
      <c r="AU34" s="15" t="s">
        <v>808</v>
      </c>
      <c r="AV34" s="15" t="s">
        <v>808</v>
      </c>
      <c r="AW34" s="15" t="s">
        <v>809</v>
      </c>
      <c r="AX34" s="15" t="s">
        <v>809</v>
      </c>
      <c r="AY34" s="15">
        <f t="shared" ref="AY34:AY65" si="1">LEN(SUBSTITUTE(AX34, ", "," "))</f>
        <v>49</v>
      </c>
      <c r="AZ34" s="17" t="s">
        <v>785</v>
      </c>
      <c r="BA34" s="17" t="s">
        <v>507</v>
      </c>
      <c r="BB34" s="17" t="s">
        <v>786</v>
      </c>
      <c r="BC34" s="17"/>
      <c r="BD34" s="17"/>
      <c r="BE34" s="17" t="s">
        <v>810</v>
      </c>
      <c r="BF34" s="17"/>
      <c r="BG34" s="17"/>
      <c r="BH34" s="17"/>
      <c r="BI34" s="17"/>
      <c r="BJ34" s="17" t="s">
        <v>811</v>
      </c>
      <c r="BK34" s="17"/>
      <c r="BL34" s="17"/>
      <c r="BM34" s="17"/>
      <c r="BN34" s="17" t="s">
        <v>511</v>
      </c>
      <c r="BO34" s="17"/>
      <c r="BP34" s="17" t="s">
        <v>140</v>
      </c>
      <c r="BQ34" s="17"/>
      <c r="BS34" s="15" t="s">
        <v>4568</v>
      </c>
      <c r="DH34" s="15" t="s">
        <v>4597</v>
      </c>
      <c r="DI34" s="15" t="s">
        <v>4597</v>
      </c>
    </row>
    <row r="35" spans="1:113" s="15" customFormat="1" ht="12.75" x14ac:dyDescent="0.2">
      <c r="A35" s="15" t="s">
        <v>109</v>
      </c>
      <c r="B35" s="16" t="s">
        <v>493</v>
      </c>
      <c r="C35" s="15" t="s">
        <v>494</v>
      </c>
      <c r="D35" s="15" t="s">
        <v>112</v>
      </c>
      <c r="E35" s="17" t="s">
        <v>113</v>
      </c>
      <c r="F35" s="15" t="s">
        <v>112</v>
      </c>
      <c r="G35" s="15" t="s">
        <v>114</v>
      </c>
      <c r="H35" s="15" t="s">
        <v>1111</v>
      </c>
      <c r="J35" s="18" t="s">
        <v>115</v>
      </c>
      <c r="W35" s="15">
        <v>55</v>
      </c>
      <c r="X35" s="15">
        <v>30</v>
      </c>
      <c r="Y35" s="15" t="s">
        <v>495</v>
      </c>
      <c r="Z35" s="15" t="s">
        <v>496</v>
      </c>
      <c r="AA35" s="15" t="s">
        <v>495</v>
      </c>
      <c r="AB35" s="15" t="s">
        <v>812</v>
      </c>
      <c r="AC35" s="15" t="s">
        <v>813</v>
      </c>
      <c r="AD35" s="15" t="s">
        <v>814</v>
      </c>
      <c r="AE35" s="15" t="s">
        <v>496</v>
      </c>
      <c r="AF35" s="15" t="s">
        <v>814</v>
      </c>
      <c r="AG35" s="15" t="s">
        <v>812</v>
      </c>
      <c r="AH35" s="15" t="s">
        <v>815</v>
      </c>
      <c r="AL35" s="15" t="s">
        <v>816</v>
      </c>
      <c r="AN35" s="15">
        <v>81</v>
      </c>
      <c r="AO35" s="15" t="s">
        <v>817</v>
      </c>
      <c r="AQ35" s="15" t="s">
        <v>503</v>
      </c>
      <c r="AT35" s="17" t="s">
        <v>818</v>
      </c>
      <c r="AU35" s="15" t="s">
        <v>819</v>
      </c>
      <c r="AV35" s="15" t="s">
        <v>819</v>
      </c>
      <c r="AW35" s="15" t="s">
        <v>820</v>
      </c>
      <c r="AX35" s="15" t="s">
        <v>820</v>
      </c>
      <c r="AY35" s="15">
        <f t="shared" si="1"/>
        <v>49</v>
      </c>
      <c r="AZ35" s="17" t="s">
        <v>785</v>
      </c>
      <c r="BA35" s="17" t="s">
        <v>507</v>
      </c>
      <c r="BB35" s="17" t="s">
        <v>786</v>
      </c>
      <c r="BC35" s="17"/>
      <c r="BD35" s="17"/>
      <c r="BE35" s="17" t="s">
        <v>821</v>
      </c>
      <c r="BF35" s="17"/>
      <c r="BG35" s="17"/>
      <c r="BH35" s="17"/>
      <c r="BI35" s="17"/>
      <c r="BJ35" s="17" t="s">
        <v>811</v>
      </c>
      <c r="BK35" s="17"/>
      <c r="BL35" s="17"/>
      <c r="BM35" s="17"/>
      <c r="BN35" s="17" t="s">
        <v>511</v>
      </c>
      <c r="BO35" s="17"/>
      <c r="BP35" s="17" t="s">
        <v>140</v>
      </c>
      <c r="BQ35" s="17"/>
      <c r="BS35" s="15" t="s">
        <v>4569</v>
      </c>
      <c r="DH35" s="15" t="s">
        <v>4597</v>
      </c>
      <c r="DI35" s="15" t="s">
        <v>4597</v>
      </c>
    </row>
    <row r="36" spans="1:113" s="15" customFormat="1" ht="12.75" x14ac:dyDescent="0.2">
      <c r="A36" s="15" t="s">
        <v>109</v>
      </c>
      <c r="B36" s="16" t="s">
        <v>493</v>
      </c>
      <c r="C36" s="15" t="s">
        <v>494</v>
      </c>
      <c r="D36" s="15" t="s">
        <v>112</v>
      </c>
      <c r="E36" s="17" t="s">
        <v>113</v>
      </c>
      <c r="F36" s="15" t="s">
        <v>112</v>
      </c>
      <c r="G36" s="15" t="s">
        <v>114</v>
      </c>
      <c r="H36" s="15" t="s">
        <v>1111</v>
      </c>
      <c r="J36" s="18" t="s">
        <v>115</v>
      </c>
      <c r="W36" s="15">
        <v>56</v>
      </c>
      <c r="X36" s="15">
        <v>31</v>
      </c>
      <c r="Y36" s="15" t="s">
        <v>495</v>
      </c>
      <c r="Z36" s="15" t="s">
        <v>496</v>
      </c>
      <c r="AA36" s="15" t="s">
        <v>495</v>
      </c>
      <c r="AB36" s="15" t="s">
        <v>822</v>
      </c>
      <c r="AC36" s="15" t="s">
        <v>823</v>
      </c>
      <c r="AD36" s="15" t="s">
        <v>824</v>
      </c>
      <c r="AE36" s="15" t="s">
        <v>496</v>
      </c>
      <c r="AF36" s="15" t="s">
        <v>824</v>
      </c>
      <c r="AG36" s="15" t="s">
        <v>822</v>
      </c>
      <c r="AH36" s="15" t="s">
        <v>825</v>
      </c>
      <c r="AL36" s="15" t="s">
        <v>826</v>
      </c>
      <c r="AN36" s="15">
        <v>81</v>
      </c>
      <c r="AO36" s="15" t="s">
        <v>827</v>
      </c>
      <c r="AQ36" s="15" t="s">
        <v>503</v>
      </c>
      <c r="AT36" s="17" t="s">
        <v>828</v>
      </c>
      <c r="AU36" s="15" t="s">
        <v>829</v>
      </c>
      <c r="AV36" s="15" t="s">
        <v>829</v>
      </c>
      <c r="AW36" s="15" t="s">
        <v>830</v>
      </c>
      <c r="AX36" s="15" t="s">
        <v>830</v>
      </c>
      <c r="AY36" s="15">
        <f t="shared" si="1"/>
        <v>54</v>
      </c>
      <c r="AZ36" s="17" t="s">
        <v>785</v>
      </c>
      <c r="BA36" s="17" t="s">
        <v>507</v>
      </c>
      <c r="BB36" s="17" t="s">
        <v>786</v>
      </c>
      <c r="BC36" s="17"/>
      <c r="BD36" s="17"/>
      <c r="BE36" s="17" t="s">
        <v>800</v>
      </c>
      <c r="BF36" s="17"/>
      <c r="BG36" s="17"/>
      <c r="BH36" s="17"/>
      <c r="BI36" s="17"/>
      <c r="BJ36" s="17" t="s">
        <v>831</v>
      </c>
      <c r="BK36" s="17"/>
      <c r="BL36" s="17"/>
      <c r="BM36" s="17"/>
      <c r="BN36" s="17" t="s">
        <v>511</v>
      </c>
      <c r="BO36" s="17"/>
      <c r="BP36" s="17" t="s">
        <v>140</v>
      </c>
      <c r="BQ36" s="17"/>
      <c r="BS36" s="15" t="s">
        <v>4570</v>
      </c>
      <c r="DH36" s="15" t="s">
        <v>4597</v>
      </c>
      <c r="DI36" s="15" t="s">
        <v>4597</v>
      </c>
    </row>
    <row r="37" spans="1:113" s="15" customFormat="1" ht="12.75" x14ac:dyDescent="0.2">
      <c r="A37" s="15" t="s">
        <v>109</v>
      </c>
      <c r="B37" s="16" t="s">
        <v>493</v>
      </c>
      <c r="C37" s="15" t="s">
        <v>494</v>
      </c>
      <c r="D37" s="15" t="s">
        <v>112</v>
      </c>
      <c r="E37" s="17" t="s">
        <v>113</v>
      </c>
      <c r="F37" s="15" t="s">
        <v>112</v>
      </c>
      <c r="G37" s="15" t="s">
        <v>114</v>
      </c>
      <c r="H37" s="15" t="s">
        <v>1111</v>
      </c>
      <c r="J37" s="18" t="s">
        <v>115</v>
      </c>
      <c r="W37" s="15">
        <v>57</v>
      </c>
      <c r="X37" s="15">
        <v>32</v>
      </c>
      <c r="Y37" s="15" t="s">
        <v>495</v>
      </c>
      <c r="Z37" s="15" t="s">
        <v>496</v>
      </c>
      <c r="AA37" s="15" t="s">
        <v>495</v>
      </c>
      <c r="AB37" s="15" t="s">
        <v>832</v>
      </c>
      <c r="AC37" s="15" t="s">
        <v>833</v>
      </c>
      <c r="AD37" s="15" t="s">
        <v>834</v>
      </c>
      <c r="AE37" s="15" t="s">
        <v>496</v>
      </c>
      <c r="AF37" s="15" t="s">
        <v>834</v>
      </c>
      <c r="AG37" s="15" t="s">
        <v>832</v>
      </c>
      <c r="AH37" s="15" t="s">
        <v>835</v>
      </c>
      <c r="AL37" s="15" t="s">
        <v>836</v>
      </c>
      <c r="AN37" s="15">
        <v>81</v>
      </c>
      <c r="AO37" s="15" t="s">
        <v>837</v>
      </c>
      <c r="AQ37" s="15" t="s">
        <v>503</v>
      </c>
      <c r="AT37" s="17" t="s">
        <v>838</v>
      </c>
      <c r="AU37" s="15" t="s">
        <v>839</v>
      </c>
      <c r="AV37" s="15" t="s">
        <v>839</v>
      </c>
      <c r="AW37" s="15" t="s">
        <v>840</v>
      </c>
      <c r="AX37" s="15" t="s">
        <v>840</v>
      </c>
      <c r="AY37" s="15">
        <f t="shared" si="1"/>
        <v>44</v>
      </c>
      <c r="AZ37" s="17" t="s">
        <v>785</v>
      </c>
      <c r="BA37" s="17" t="s">
        <v>507</v>
      </c>
      <c r="BB37" s="17" t="s">
        <v>786</v>
      </c>
      <c r="BC37" s="17"/>
      <c r="BD37" s="17"/>
      <c r="BE37" s="17" t="s">
        <v>841</v>
      </c>
      <c r="BF37" s="17"/>
      <c r="BG37" s="17"/>
      <c r="BH37" s="17"/>
      <c r="BI37" s="17"/>
      <c r="BJ37" s="17" t="s">
        <v>842</v>
      </c>
      <c r="BK37" s="17"/>
      <c r="BL37" s="17"/>
      <c r="BM37" s="17"/>
      <c r="BN37" s="17" t="s">
        <v>511</v>
      </c>
      <c r="BO37" s="17"/>
      <c r="BP37" s="17" t="s">
        <v>140</v>
      </c>
      <c r="BQ37" s="17"/>
      <c r="BS37" s="15" t="s">
        <v>4571</v>
      </c>
      <c r="DH37" s="15" t="s">
        <v>4597</v>
      </c>
      <c r="DI37" s="15" t="s">
        <v>4597</v>
      </c>
    </row>
    <row r="38" spans="1:113" s="15" customFormat="1" ht="12.75" x14ac:dyDescent="0.2">
      <c r="A38" s="15" t="s">
        <v>109</v>
      </c>
      <c r="B38" s="16" t="s">
        <v>493</v>
      </c>
      <c r="C38" s="15" t="s">
        <v>494</v>
      </c>
      <c r="D38" s="15" t="s">
        <v>112</v>
      </c>
      <c r="E38" s="17" t="s">
        <v>113</v>
      </c>
      <c r="F38" s="15" t="s">
        <v>112</v>
      </c>
      <c r="G38" s="15" t="s">
        <v>114</v>
      </c>
      <c r="H38" s="15" t="s">
        <v>1111</v>
      </c>
      <c r="J38" s="18" t="s">
        <v>115</v>
      </c>
      <c r="W38" s="15">
        <v>58</v>
      </c>
      <c r="X38" s="15">
        <v>33</v>
      </c>
      <c r="Y38" s="15" t="s">
        <v>495</v>
      </c>
      <c r="Z38" s="15" t="s">
        <v>496</v>
      </c>
      <c r="AA38" s="15" t="s">
        <v>495</v>
      </c>
      <c r="AB38" s="15" t="s">
        <v>843</v>
      </c>
      <c r="AC38" s="15" t="s">
        <v>844</v>
      </c>
      <c r="AD38" s="15" t="s">
        <v>845</v>
      </c>
      <c r="AE38" s="15" t="s">
        <v>496</v>
      </c>
      <c r="AF38" s="15" t="s">
        <v>845</v>
      </c>
      <c r="AG38" s="15" t="s">
        <v>843</v>
      </c>
      <c r="AH38" s="15" t="s">
        <v>846</v>
      </c>
      <c r="AL38" s="15" t="s">
        <v>847</v>
      </c>
      <c r="AN38" s="15">
        <v>81</v>
      </c>
      <c r="AO38" s="15" t="s">
        <v>848</v>
      </c>
      <c r="AQ38" s="15" t="s">
        <v>503</v>
      </c>
      <c r="AT38" s="17" t="s">
        <v>849</v>
      </c>
      <c r="AU38" s="15" t="s">
        <v>850</v>
      </c>
      <c r="AV38" s="15" t="s">
        <v>850</v>
      </c>
      <c r="AW38" s="15" t="s">
        <v>851</v>
      </c>
      <c r="AX38" s="15" t="s">
        <v>851</v>
      </c>
      <c r="AY38" s="15">
        <f t="shared" si="1"/>
        <v>48</v>
      </c>
      <c r="AZ38" s="17" t="s">
        <v>785</v>
      </c>
      <c r="BA38" s="17" t="s">
        <v>507</v>
      </c>
      <c r="BB38" s="17" t="s">
        <v>852</v>
      </c>
      <c r="BC38" s="17"/>
      <c r="BD38" s="17"/>
      <c r="BE38" s="17" t="s">
        <v>853</v>
      </c>
      <c r="BF38" s="17"/>
      <c r="BG38" s="17"/>
      <c r="BH38" s="17"/>
      <c r="BI38" s="17"/>
      <c r="BJ38" s="17" t="s">
        <v>854</v>
      </c>
      <c r="BK38" s="17"/>
      <c r="BL38" s="17"/>
      <c r="BM38" s="17"/>
      <c r="BN38" s="17" t="s">
        <v>511</v>
      </c>
      <c r="BO38" s="17"/>
      <c r="BP38" s="17" t="s">
        <v>140</v>
      </c>
      <c r="BQ38" s="17"/>
      <c r="BS38" s="15" t="s">
        <v>4572</v>
      </c>
      <c r="DH38" s="15" t="s">
        <v>4597</v>
      </c>
      <c r="DI38" s="15" t="s">
        <v>4597</v>
      </c>
    </row>
    <row r="39" spans="1:113" s="15" customFormat="1" ht="12.75" x14ac:dyDescent="0.2">
      <c r="A39" s="15" t="s">
        <v>109</v>
      </c>
      <c r="B39" s="16" t="s">
        <v>493</v>
      </c>
      <c r="C39" s="15" t="s">
        <v>494</v>
      </c>
      <c r="D39" s="15" t="s">
        <v>112</v>
      </c>
      <c r="E39" s="17" t="s">
        <v>113</v>
      </c>
      <c r="F39" s="15" t="s">
        <v>112</v>
      </c>
      <c r="G39" s="15" t="s">
        <v>114</v>
      </c>
      <c r="H39" s="15" t="s">
        <v>1111</v>
      </c>
      <c r="J39" s="18" t="s">
        <v>115</v>
      </c>
      <c r="W39" s="15">
        <v>59</v>
      </c>
      <c r="X39" s="15">
        <v>34</v>
      </c>
      <c r="Y39" s="15" t="s">
        <v>495</v>
      </c>
      <c r="Z39" s="15" t="s">
        <v>496</v>
      </c>
      <c r="AA39" s="15" t="s">
        <v>495</v>
      </c>
      <c r="AB39" s="15" t="s">
        <v>856</v>
      </c>
      <c r="AC39" s="15" t="s">
        <v>857</v>
      </c>
      <c r="AD39" s="15" t="s">
        <v>858</v>
      </c>
      <c r="AE39" s="15" t="s">
        <v>496</v>
      </c>
      <c r="AF39" s="15" t="s">
        <v>858</v>
      </c>
      <c r="AG39" s="15" t="s">
        <v>856</v>
      </c>
      <c r="AH39" s="15" t="s">
        <v>859</v>
      </c>
      <c r="AL39" s="15" t="s">
        <v>860</v>
      </c>
      <c r="AN39" s="15">
        <v>81</v>
      </c>
      <c r="AO39" s="15" t="s">
        <v>861</v>
      </c>
      <c r="AQ39" s="15" t="s">
        <v>503</v>
      </c>
      <c r="AT39" s="17" t="s">
        <v>862</v>
      </c>
      <c r="AU39" s="15" t="s">
        <v>863</v>
      </c>
      <c r="AV39" s="15" t="s">
        <v>863</v>
      </c>
      <c r="AW39" s="15" t="s">
        <v>864</v>
      </c>
      <c r="AX39" s="15" t="s">
        <v>864</v>
      </c>
      <c r="AY39" s="15">
        <f t="shared" si="1"/>
        <v>37</v>
      </c>
      <c r="AZ39" s="17" t="s">
        <v>785</v>
      </c>
      <c r="BA39" s="17" t="s">
        <v>507</v>
      </c>
      <c r="BB39" s="17" t="s">
        <v>865</v>
      </c>
      <c r="BC39" s="17"/>
      <c r="BD39" s="17"/>
      <c r="BE39" s="17" t="s">
        <v>866</v>
      </c>
      <c r="BF39" s="17"/>
      <c r="BG39" s="17"/>
      <c r="BH39" s="17"/>
      <c r="BI39" s="17"/>
      <c r="BJ39" s="17" t="s">
        <v>867</v>
      </c>
      <c r="BK39" s="17"/>
      <c r="BL39" s="17"/>
      <c r="BM39" s="17"/>
      <c r="BN39" s="17" t="s">
        <v>511</v>
      </c>
      <c r="BO39" s="17"/>
      <c r="BP39" s="17" t="s">
        <v>140</v>
      </c>
      <c r="BQ39" s="17"/>
      <c r="BS39" s="15" t="s">
        <v>4573</v>
      </c>
      <c r="DH39" s="15" t="s">
        <v>4597</v>
      </c>
      <c r="DI39" s="15" t="s">
        <v>4597</v>
      </c>
    </row>
    <row r="40" spans="1:113" s="15" customFormat="1" ht="12.75" x14ac:dyDescent="0.2">
      <c r="A40" s="15" t="s">
        <v>109</v>
      </c>
      <c r="B40" s="16" t="s">
        <v>493</v>
      </c>
      <c r="C40" s="15" t="s">
        <v>494</v>
      </c>
      <c r="D40" s="15" t="s">
        <v>112</v>
      </c>
      <c r="E40" s="17" t="s">
        <v>113</v>
      </c>
      <c r="F40" s="15" t="s">
        <v>112</v>
      </c>
      <c r="G40" s="15" t="s">
        <v>114</v>
      </c>
      <c r="H40" s="15" t="s">
        <v>1111</v>
      </c>
      <c r="J40" s="18" t="s">
        <v>115</v>
      </c>
      <c r="W40" s="15">
        <v>60</v>
      </c>
      <c r="X40" s="15">
        <v>35</v>
      </c>
      <c r="Y40" s="15" t="s">
        <v>495</v>
      </c>
      <c r="Z40" s="15" t="s">
        <v>496</v>
      </c>
      <c r="AA40" s="15" t="s">
        <v>495</v>
      </c>
      <c r="AB40" s="15" t="s">
        <v>868</v>
      </c>
      <c r="AC40" s="15" t="s">
        <v>869</v>
      </c>
      <c r="AD40" s="15" t="s">
        <v>870</v>
      </c>
      <c r="AE40" s="15" t="s">
        <v>496</v>
      </c>
      <c r="AF40" s="15" t="s">
        <v>870</v>
      </c>
      <c r="AG40" s="15" t="s">
        <v>868</v>
      </c>
      <c r="AH40" s="15" t="s">
        <v>871</v>
      </c>
      <c r="AL40" s="15" t="s">
        <v>872</v>
      </c>
      <c r="AN40" s="15">
        <v>81</v>
      </c>
      <c r="AO40" s="15" t="s">
        <v>873</v>
      </c>
      <c r="AQ40" s="15" t="s">
        <v>503</v>
      </c>
      <c r="AT40" s="17" t="s">
        <v>874</v>
      </c>
      <c r="AU40" s="15" t="s">
        <v>875</v>
      </c>
      <c r="AV40" s="15" t="s">
        <v>875</v>
      </c>
      <c r="AW40" s="15" t="s">
        <v>876</v>
      </c>
      <c r="AX40" s="15" t="s">
        <v>876</v>
      </c>
      <c r="AY40" s="15">
        <f t="shared" si="1"/>
        <v>38</v>
      </c>
      <c r="AZ40" s="17" t="s">
        <v>785</v>
      </c>
      <c r="BA40" s="17" t="s">
        <v>507</v>
      </c>
      <c r="BB40" s="17" t="s">
        <v>877</v>
      </c>
      <c r="BC40" s="17"/>
      <c r="BD40" s="17"/>
      <c r="BE40" s="17" t="s">
        <v>878</v>
      </c>
      <c r="BF40" s="17"/>
      <c r="BG40" s="17"/>
      <c r="BH40" s="17"/>
      <c r="BI40" s="17"/>
      <c r="BJ40" s="17" t="s">
        <v>879</v>
      </c>
      <c r="BK40" s="17"/>
      <c r="BL40" s="17"/>
      <c r="BM40" s="17"/>
      <c r="BN40" s="17" t="s">
        <v>511</v>
      </c>
      <c r="BO40" s="17"/>
      <c r="BP40" s="17" t="s">
        <v>140</v>
      </c>
      <c r="BQ40" s="17"/>
      <c r="BS40" s="15" t="s">
        <v>4574</v>
      </c>
      <c r="DH40" s="15" t="s">
        <v>4597</v>
      </c>
      <c r="DI40" s="15" t="s">
        <v>4597</v>
      </c>
    </row>
    <row r="41" spans="1:113" s="15" customFormat="1" ht="12.75" x14ac:dyDescent="0.2">
      <c r="A41" s="15" t="s">
        <v>109</v>
      </c>
      <c r="B41" s="16" t="s">
        <v>493</v>
      </c>
      <c r="C41" s="15" t="s">
        <v>494</v>
      </c>
      <c r="D41" s="15" t="s">
        <v>112</v>
      </c>
      <c r="E41" s="17" t="s">
        <v>113</v>
      </c>
      <c r="F41" s="15" t="s">
        <v>112</v>
      </c>
      <c r="G41" s="15" t="s">
        <v>114</v>
      </c>
      <c r="H41" s="15" t="s">
        <v>1111</v>
      </c>
      <c r="J41" s="18" t="s">
        <v>115</v>
      </c>
      <c r="W41" s="15">
        <v>61</v>
      </c>
      <c r="X41" s="15">
        <v>36</v>
      </c>
      <c r="Y41" s="15" t="s">
        <v>495</v>
      </c>
      <c r="Z41" s="15" t="s">
        <v>496</v>
      </c>
      <c r="AA41" s="15" t="s">
        <v>495</v>
      </c>
      <c r="AB41" s="15" t="s">
        <v>880</v>
      </c>
      <c r="AC41" s="15" t="s">
        <v>881</v>
      </c>
      <c r="AD41" s="15" t="s">
        <v>882</v>
      </c>
      <c r="AE41" s="15" t="s">
        <v>496</v>
      </c>
      <c r="AF41" s="15" t="s">
        <v>882</v>
      </c>
      <c r="AG41" s="15" t="s">
        <v>880</v>
      </c>
      <c r="AH41" s="15" t="s">
        <v>883</v>
      </c>
      <c r="AL41" s="15" t="s">
        <v>884</v>
      </c>
      <c r="AN41" s="15">
        <v>81</v>
      </c>
      <c r="AO41" s="15" t="s">
        <v>885</v>
      </c>
      <c r="AQ41" s="15" t="s">
        <v>503</v>
      </c>
      <c r="AT41" s="17" t="s">
        <v>886</v>
      </c>
      <c r="AU41" s="15" t="s">
        <v>887</v>
      </c>
      <c r="AV41" s="15" t="s">
        <v>887</v>
      </c>
      <c r="AW41" s="15" t="s">
        <v>888</v>
      </c>
      <c r="AX41" s="15" t="s">
        <v>888</v>
      </c>
      <c r="AY41" s="15">
        <f t="shared" si="1"/>
        <v>53</v>
      </c>
      <c r="AZ41" s="17" t="s">
        <v>785</v>
      </c>
      <c r="BA41" s="17" t="s">
        <v>507</v>
      </c>
      <c r="BB41" s="17" t="s">
        <v>889</v>
      </c>
      <c r="BC41" s="17"/>
      <c r="BD41" s="17"/>
      <c r="BE41" s="17" t="s">
        <v>890</v>
      </c>
      <c r="BF41" s="17"/>
      <c r="BG41" s="17"/>
      <c r="BH41" s="17"/>
      <c r="BI41" s="17"/>
      <c r="BJ41" s="17" t="s">
        <v>891</v>
      </c>
      <c r="BK41" s="17"/>
      <c r="BL41" s="17"/>
      <c r="BM41" s="17"/>
      <c r="BN41" s="17" t="s">
        <v>511</v>
      </c>
      <c r="BO41" s="17"/>
      <c r="BP41" s="17" t="s">
        <v>140</v>
      </c>
      <c r="BQ41" s="17"/>
      <c r="BS41" s="15" t="s">
        <v>4575</v>
      </c>
      <c r="DH41" s="15" t="s">
        <v>4597</v>
      </c>
      <c r="DI41" s="15" t="s">
        <v>4597</v>
      </c>
    </row>
    <row r="42" spans="1:113" s="15" customFormat="1" ht="12.75" x14ac:dyDescent="0.2">
      <c r="A42" s="15" t="s">
        <v>109</v>
      </c>
      <c r="B42" s="16" t="s">
        <v>493</v>
      </c>
      <c r="C42" s="15" t="s">
        <v>494</v>
      </c>
      <c r="D42" s="15" t="s">
        <v>112</v>
      </c>
      <c r="E42" s="17" t="s">
        <v>113</v>
      </c>
      <c r="F42" s="15" t="s">
        <v>112</v>
      </c>
      <c r="G42" s="15" t="s">
        <v>114</v>
      </c>
      <c r="H42" s="15" t="s">
        <v>1111</v>
      </c>
      <c r="J42" s="18" t="s">
        <v>115</v>
      </c>
      <c r="W42" s="15">
        <v>62</v>
      </c>
      <c r="X42" s="15">
        <v>37</v>
      </c>
      <c r="Y42" s="15" t="s">
        <v>495</v>
      </c>
      <c r="Z42" s="15" t="s">
        <v>496</v>
      </c>
      <c r="AA42" s="15" t="s">
        <v>495</v>
      </c>
      <c r="AB42" s="15" t="s">
        <v>892</v>
      </c>
      <c r="AC42" s="15" t="s">
        <v>893</v>
      </c>
      <c r="AD42" s="15" t="s">
        <v>894</v>
      </c>
      <c r="AE42" s="15" t="s">
        <v>496</v>
      </c>
      <c r="AF42" s="15" t="s">
        <v>894</v>
      </c>
      <c r="AG42" s="15" t="s">
        <v>892</v>
      </c>
      <c r="AH42" s="15" t="s">
        <v>895</v>
      </c>
      <c r="AL42" s="15" t="s">
        <v>896</v>
      </c>
      <c r="AN42" s="15">
        <v>81</v>
      </c>
      <c r="AO42" s="15" t="s">
        <v>897</v>
      </c>
      <c r="AQ42" s="15" t="s">
        <v>503</v>
      </c>
      <c r="AT42" s="17" t="s">
        <v>898</v>
      </c>
      <c r="AU42" s="15" t="s">
        <v>899</v>
      </c>
      <c r="AV42" s="15" t="s">
        <v>899</v>
      </c>
      <c r="AW42" s="15" t="s">
        <v>900</v>
      </c>
      <c r="AX42" s="15" t="s">
        <v>900</v>
      </c>
      <c r="AY42" s="15">
        <f t="shared" si="1"/>
        <v>45</v>
      </c>
      <c r="AZ42" s="17" t="s">
        <v>785</v>
      </c>
      <c r="BA42" s="17" t="s">
        <v>507</v>
      </c>
      <c r="BB42" s="17" t="s">
        <v>901</v>
      </c>
      <c r="BC42" s="17"/>
      <c r="BD42" s="17"/>
      <c r="BE42" s="17" t="s">
        <v>902</v>
      </c>
      <c r="BF42" s="17"/>
      <c r="BG42" s="17"/>
      <c r="BH42" s="17"/>
      <c r="BI42" s="17"/>
      <c r="BJ42" s="17" t="s">
        <v>903</v>
      </c>
      <c r="BK42" s="17"/>
      <c r="BL42" s="17"/>
      <c r="BM42" s="17"/>
      <c r="BN42" s="17" t="s">
        <v>511</v>
      </c>
      <c r="BO42" s="17"/>
      <c r="BP42" s="17" t="s">
        <v>140</v>
      </c>
      <c r="BQ42" s="17"/>
      <c r="BS42" s="15" t="s">
        <v>4576</v>
      </c>
      <c r="DH42" s="15" t="s">
        <v>4597</v>
      </c>
      <c r="DI42" s="15" t="s">
        <v>4597</v>
      </c>
    </row>
    <row r="43" spans="1:113" s="15" customFormat="1" ht="12.75" x14ac:dyDescent="0.2">
      <c r="A43" s="15" t="s">
        <v>109</v>
      </c>
      <c r="B43" s="16" t="s">
        <v>493</v>
      </c>
      <c r="C43" s="15" t="s">
        <v>494</v>
      </c>
      <c r="D43" s="15" t="s">
        <v>112</v>
      </c>
      <c r="E43" s="17" t="s">
        <v>113</v>
      </c>
      <c r="F43" s="15" t="s">
        <v>112</v>
      </c>
      <c r="G43" s="15" t="s">
        <v>114</v>
      </c>
      <c r="H43" s="15" t="s">
        <v>1111</v>
      </c>
      <c r="J43" s="18" t="s">
        <v>115</v>
      </c>
      <c r="W43" s="15">
        <v>63</v>
      </c>
      <c r="X43" s="15">
        <v>38</v>
      </c>
      <c r="Y43" s="15" t="s">
        <v>495</v>
      </c>
      <c r="Z43" s="15" t="s">
        <v>496</v>
      </c>
      <c r="AA43" s="15" t="s">
        <v>495</v>
      </c>
      <c r="AB43" s="15" t="s">
        <v>904</v>
      </c>
      <c r="AC43" s="15" t="s">
        <v>905</v>
      </c>
      <c r="AD43" s="15" t="s">
        <v>906</v>
      </c>
      <c r="AE43" s="15" t="s">
        <v>496</v>
      </c>
      <c r="AF43" s="15" t="s">
        <v>906</v>
      </c>
      <c r="AG43" s="15" t="s">
        <v>904</v>
      </c>
      <c r="AH43" s="15" t="s">
        <v>907</v>
      </c>
      <c r="AL43" s="15" t="s">
        <v>908</v>
      </c>
      <c r="AN43" s="15">
        <v>81</v>
      </c>
      <c r="AO43" s="15" t="s">
        <v>909</v>
      </c>
      <c r="AQ43" s="15" t="s">
        <v>503</v>
      </c>
      <c r="AT43" s="17" t="s">
        <v>910</v>
      </c>
      <c r="AU43" s="15" t="s">
        <v>911</v>
      </c>
      <c r="AV43" s="15" t="s">
        <v>911</v>
      </c>
      <c r="AW43" s="15" t="s">
        <v>912</v>
      </c>
      <c r="AX43" s="15" t="s">
        <v>913</v>
      </c>
      <c r="AY43" s="15">
        <f t="shared" si="1"/>
        <v>58</v>
      </c>
      <c r="AZ43" s="17" t="s">
        <v>785</v>
      </c>
      <c r="BA43" s="17" t="s">
        <v>507</v>
      </c>
      <c r="BB43" s="17" t="s">
        <v>914</v>
      </c>
      <c r="BC43" s="17" t="s">
        <v>787</v>
      </c>
      <c r="BD43" s="17"/>
      <c r="BE43" s="17" t="s">
        <v>788</v>
      </c>
      <c r="BF43" s="17"/>
      <c r="BG43" s="17"/>
      <c r="BH43" s="17"/>
      <c r="BI43" s="17"/>
      <c r="BJ43" s="17" t="s">
        <v>915</v>
      </c>
      <c r="BK43" s="17" t="s">
        <v>754</v>
      </c>
      <c r="BL43" s="17"/>
      <c r="BM43" s="17" t="s">
        <v>916</v>
      </c>
      <c r="BN43" s="17"/>
      <c r="BO43" s="17"/>
      <c r="BP43" s="17"/>
      <c r="BQ43" s="17"/>
      <c r="BS43" s="15" t="s">
        <v>855</v>
      </c>
      <c r="DH43" s="15" t="s">
        <v>4597</v>
      </c>
      <c r="DI43" s="15" t="s">
        <v>4597</v>
      </c>
    </row>
    <row r="44" spans="1:113" s="15" customFormat="1" ht="12.75" x14ac:dyDescent="0.2">
      <c r="A44" s="15" t="s">
        <v>109</v>
      </c>
      <c r="B44" s="16" t="s">
        <v>493</v>
      </c>
      <c r="C44" s="15" t="s">
        <v>494</v>
      </c>
      <c r="D44" s="15" t="s">
        <v>112</v>
      </c>
      <c r="E44" s="15" t="s">
        <v>1337</v>
      </c>
      <c r="F44" s="15" t="s">
        <v>112</v>
      </c>
      <c r="G44" s="15" t="s">
        <v>114</v>
      </c>
      <c r="H44" s="15" t="s">
        <v>1111</v>
      </c>
      <c r="J44" s="18" t="s">
        <v>115</v>
      </c>
      <c r="W44" s="15">
        <v>64</v>
      </c>
      <c r="X44" s="15">
        <v>39</v>
      </c>
      <c r="Y44" s="15" t="s">
        <v>495</v>
      </c>
      <c r="Z44" s="15" t="s">
        <v>496</v>
      </c>
      <c r="AA44" s="15" t="s">
        <v>495</v>
      </c>
      <c r="AB44" s="15" t="s">
        <v>917</v>
      </c>
      <c r="AC44" s="15" t="s">
        <v>918</v>
      </c>
      <c r="AD44" s="16" t="s">
        <v>919</v>
      </c>
      <c r="AE44" s="15" t="s">
        <v>496</v>
      </c>
      <c r="AF44" s="16" t="s">
        <v>919</v>
      </c>
      <c r="AG44" s="15" t="s">
        <v>917</v>
      </c>
      <c r="AH44" s="15" t="s">
        <v>920</v>
      </c>
      <c r="AL44" s="15" t="s">
        <v>921</v>
      </c>
      <c r="AN44" s="15">
        <v>81</v>
      </c>
      <c r="AO44" s="15" t="s">
        <v>922</v>
      </c>
      <c r="AQ44" s="15" t="s">
        <v>503</v>
      </c>
      <c r="AT44" s="17" t="s">
        <v>923</v>
      </c>
      <c r="AU44" s="15" t="s">
        <v>924</v>
      </c>
      <c r="AV44" s="15" t="s">
        <v>924</v>
      </c>
      <c r="AW44" s="15" t="s">
        <v>925</v>
      </c>
      <c r="AX44" s="15" t="s">
        <v>925</v>
      </c>
      <c r="AY44" s="15">
        <f t="shared" si="1"/>
        <v>35</v>
      </c>
      <c r="AZ44" s="17" t="s">
        <v>785</v>
      </c>
      <c r="BA44" s="17" t="s">
        <v>926</v>
      </c>
      <c r="BB44" s="17" t="s">
        <v>927</v>
      </c>
      <c r="BC44" s="17" t="s">
        <v>181</v>
      </c>
      <c r="BD44" s="17"/>
      <c r="BE44" s="17" t="s">
        <v>928</v>
      </c>
      <c r="BF44" s="17"/>
      <c r="BG44" s="17"/>
      <c r="BH44" s="17"/>
      <c r="BI44" s="17"/>
      <c r="BJ44" s="17"/>
      <c r="BK44" s="17"/>
      <c r="BL44" s="17"/>
      <c r="BM44" s="17"/>
      <c r="BN44" s="17" t="s">
        <v>511</v>
      </c>
      <c r="BO44" s="17"/>
      <c r="BP44" s="17" t="s">
        <v>346</v>
      </c>
      <c r="BQ44" s="17"/>
      <c r="BS44" s="15" t="s">
        <v>4577</v>
      </c>
      <c r="DH44" s="15" t="s">
        <v>4597</v>
      </c>
      <c r="DI44" s="15" t="s">
        <v>4597</v>
      </c>
    </row>
    <row r="45" spans="1:113" s="15" customFormat="1" ht="12.75" x14ac:dyDescent="0.2">
      <c r="A45" s="15" t="s">
        <v>109</v>
      </c>
      <c r="B45" s="16" t="s">
        <v>493</v>
      </c>
      <c r="C45" s="15" t="s">
        <v>494</v>
      </c>
      <c r="D45" s="15" t="s">
        <v>112</v>
      </c>
      <c r="E45" s="15" t="s">
        <v>1337</v>
      </c>
      <c r="F45" s="15" t="s">
        <v>112</v>
      </c>
      <c r="G45" s="15" t="s">
        <v>114</v>
      </c>
      <c r="H45" s="15" t="s">
        <v>1111</v>
      </c>
      <c r="J45" s="18" t="s">
        <v>115</v>
      </c>
      <c r="W45" s="15">
        <v>65</v>
      </c>
      <c r="X45" s="15">
        <v>40</v>
      </c>
      <c r="Y45" s="15" t="s">
        <v>495</v>
      </c>
      <c r="Z45" s="15" t="s">
        <v>496</v>
      </c>
      <c r="AA45" s="15" t="s">
        <v>495</v>
      </c>
      <c r="AB45" s="15" t="s">
        <v>929</v>
      </c>
      <c r="AC45" s="15" t="s">
        <v>930</v>
      </c>
      <c r="AD45" s="16" t="s">
        <v>931</v>
      </c>
      <c r="AE45" s="15" t="s">
        <v>496</v>
      </c>
      <c r="AF45" s="16" t="s">
        <v>931</v>
      </c>
      <c r="AG45" s="15" t="s">
        <v>929</v>
      </c>
      <c r="AH45" s="15" t="s">
        <v>932</v>
      </c>
      <c r="AL45" s="15" t="s">
        <v>933</v>
      </c>
      <c r="AN45" s="15">
        <v>81</v>
      </c>
      <c r="AO45" s="15" t="s">
        <v>934</v>
      </c>
      <c r="AQ45" s="15" t="s">
        <v>503</v>
      </c>
      <c r="AT45" s="17" t="s">
        <v>935</v>
      </c>
      <c r="AU45" s="15" t="s">
        <v>936</v>
      </c>
      <c r="AV45" s="15" t="s">
        <v>936</v>
      </c>
      <c r="AW45" s="15" t="s">
        <v>937</v>
      </c>
      <c r="AX45" s="15" t="s">
        <v>937</v>
      </c>
      <c r="AY45" s="15">
        <f t="shared" si="1"/>
        <v>34</v>
      </c>
      <c r="AZ45" s="17" t="s">
        <v>785</v>
      </c>
      <c r="BA45" s="17" t="s">
        <v>926</v>
      </c>
      <c r="BB45" s="17" t="s">
        <v>927</v>
      </c>
      <c r="BC45" s="17" t="s">
        <v>170</v>
      </c>
      <c r="BD45" s="17"/>
      <c r="BE45" s="17" t="s">
        <v>938</v>
      </c>
      <c r="BF45" s="17"/>
      <c r="BG45" s="17"/>
      <c r="BH45" s="17"/>
      <c r="BI45" s="17"/>
      <c r="BJ45" s="17"/>
      <c r="BK45" s="17"/>
      <c r="BL45" s="17"/>
      <c r="BM45" s="17"/>
      <c r="BN45" s="17" t="s">
        <v>511</v>
      </c>
      <c r="BO45" s="17"/>
      <c r="BP45" s="17" t="s">
        <v>140</v>
      </c>
      <c r="BQ45" s="17"/>
      <c r="BS45" s="15" t="s">
        <v>4578</v>
      </c>
      <c r="DH45" s="15" t="s">
        <v>4597</v>
      </c>
      <c r="DI45" s="15" t="s">
        <v>4597</v>
      </c>
    </row>
    <row r="46" spans="1:113" s="15" customFormat="1" ht="12.75" x14ac:dyDescent="0.2">
      <c r="A46" s="15" t="s">
        <v>109</v>
      </c>
      <c r="B46" s="16" t="s">
        <v>493</v>
      </c>
      <c r="C46" s="15" t="s">
        <v>494</v>
      </c>
      <c r="D46" s="15" t="s">
        <v>112</v>
      </c>
      <c r="E46" s="15" t="s">
        <v>113</v>
      </c>
      <c r="F46" s="15" t="s">
        <v>112</v>
      </c>
      <c r="G46" s="15" t="s">
        <v>114</v>
      </c>
      <c r="H46" s="15" t="s">
        <v>1111</v>
      </c>
      <c r="J46" s="18" t="s">
        <v>115</v>
      </c>
      <c r="W46" s="15">
        <v>66</v>
      </c>
      <c r="X46" s="15">
        <v>41</v>
      </c>
      <c r="Y46" s="15" t="s">
        <v>495</v>
      </c>
      <c r="Z46" s="15" t="s">
        <v>496</v>
      </c>
      <c r="AA46" s="15" t="s">
        <v>495</v>
      </c>
      <c r="AB46" s="15" t="s">
        <v>939</v>
      </c>
      <c r="AC46" s="15" t="s">
        <v>940</v>
      </c>
      <c r="AD46" s="16" t="s">
        <v>941</v>
      </c>
      <c r="AE46" s="15" t="s">
        <v>496</v>
      </c>
      <c r="AF46" s="16" t="s">
        <v>941</v>
      </c>
      <c r="AG46" s="15" t="s">
        <v>939</v>
      </c>
      <c r="AH46" s="15" t="s">
        <v>942</v>
      </c>
      <c r="AL46" s="15" t="s">
        <v>943</v>
      </c>
      <c r="AN46" s="15">
        <v>81</v>
      </c>
      <c r="AO46" s="15" t="s">
        <v>944</v>
      </c>
      <c r="AQ46" s="15" t="s">
        <v>945</v>
      </c>
      <c r="AT46" s="17" t="s">
        <v>946</v>
      </c>
      <c r="AU46" s="15" t="s">
        <v>947</v>
      </c>
      <c r="AV46" s="15" t="s">
        <v>947</v>
      </c>
      <c r="AW46" s="15" t="s">
        <v>948</v>
      </c>
      <c r="AX46" s="15" t="s">
        <v>948</v>
      </c>
      <c r="AY46" s="15">
        <f t="shared" si="1"/>
        <v>43</v>
      </c>
      <c r="AZ46" s="17" t="s">
        <v>253</v>
      </c>
      <c r="BA46" s="17" t="s">
        <v>949</v>
      </c>
      <c r="BB46" s="17"/>
      <c r="BC46" s="17"/>
      <c r="BD46" s="17"/>
      <c r="BE46" s="17"/>
      <c r="BF46" s="17"/>
      <c r="BG46" s="17"/>
      <c r="BH46" s="17"/>
      <c r="BI46" s="17"/>
      <c r="BJ46" s="17" t="s">
        <v>950</v>
      </c>
      <c r="BK46" s="17"/>
      <c r="BL46" s="17"/>
      <c r="BM46" s="17"/>
      <c r="BN46" s="17" t="s">
        <v>511</v>
      </c>
      <c r="BO46" s="17"/>
      <c r="BP46" s="17" t="s">
        <v>140</v>
      </c>
      <c r="BQ46" s="17"/>
      <c r="BS46" s="15" t="s">
        <v>4579</v>
      </c>
      <c r="DH46" s="15" t="s">
        <v>4597</v>
      </c>
      <c r="DI46" s="15" t="s">
        <v>4597</v>
      </c>
    </row>
    <row r="47" spans="1:113" s="15" customFormat="1" ht="12.75" x14ac:dyDescent="0.2">
      <c r="A47" s="15" t="s">
        <v>109</v>
      </c>
      <c r="B47" s="16" t="s">
        <v>493</v>
      </c>
      <c r="C47" s="15" t="s">
        <v>494</v>
      </c>
      <c r="D47" s="15" t="s">
        <v>112</v>
      </c>
      <c r="E47" s="15" t="s">
        <v>113</v>
      </c>
      <c r="F47" s="15" t="s">
        <v>112</v>
      </c>
      <c r="G47" s="15" t="s">
        <v>114</v>
      </c>
      <c r="H47" s="15" t="s">
        <v>1111</v>
      </c>
      <c r="J47" s="18" t="s">
        <v>115</v>
      </c>
      <c r="W47" s="15">
        <v>67</v>
      </c>
      <c r="X47" s="15">
        <v>42</v>
      </c>
      <c r="Y47" s="15" t="s">
        <v>495</v>
      </c>
      <c r="Z47" s="15" t="s">
        <v>496</v>
      </c>
      <c r="AA47" s="15" t="s">
        <v>495</v>
      </c>
      <c r="AB47" s="15" t="s">
        <v>951</v>
      </c>
      <c r="AC47" s="15" t="s">
        <v>952</v>
      </c>
      <c r="AD47" s="16" t="s">
        <v>953</v>
      </c>
      <c r="AE47" s="15" t="s">
        <v>496</v>
      </c>
      <c r="AF47" s="16" t="s">
        <v>953</v>
      </c>
      <c r="AG47" s="15" t="s">
        <v>951</v>
      </c>
      <c r="AH47" s="15" t="s">
        <v>954</v>
      </c>
      <c r="AL47" s="15" t="s">
        <v>955</v>
      </c>
      <c r="AN47" s="15">
        <v>81</v>
      </c>
      <c r="AO47" s="15" t="s">
        <v>956</v>
      </c>
      <c r="AQ47" s="15" t="s">
        <v>945</v>
      </c>
      <c r="AT47" s="17" t="s">
        <v>957</v>
      </c>
      <c r="AU47" s="15" t="s">
        <v>958</v>
      </c>
      <c r="AV47" s="15" t="s">
        <v>958</v>
      </c>
      <c r="AW47" s="15" t="s">
        <v>959</v>
      </c>
      <c r="AX47" s="15" t="s">
        <v>960</v>
      </c>
      <c r="AY47" s="15">
        <f t="shared" si="1"/>
        <v>60</v>
      </c>
      <c r="AZ47" s="17" t="s">
        <v>253</v>
      </c>
      <c r="BA47" s="17" t="s">
        <v>949</v>
      </c>
      <c r="BB47" s="17"/>
      <c r="BC47" s="17"/>
      <c r="BD47" s="17"/>
      <c r="BE47" s="17"/>
      <c r="BF47" s="17"/>
      <c r="BG47" s="17"/>
      <c r="BH47" s="17"/>
      <c r="BI47" s="17"/>
      <c r="BJ47" s="17" t="s">
        <v>961</v>
      </c>
      <c r="BK47" s="17"/>
      <c r="BL47" s="17"/>
      <c r="BM47" s="17"/>
      <c r="BN47" s="17" t="s">
        <v>511</v>
      </c>
      <c r="BO47" s="17"/>
      <c r="BP47" s="17" t="s">
        <v>140</v>
      </c>
      <c r="BQ47" s="17"/>
      <c r="BS47" s="15" t="s">
        <v>4580</v>
      </c>
      <c r="DH47" s="15" t="s">
        <v>4597</v>
      </c>
      <c r="DI47" s="15" t="s">
        <v>4597</v>
      </c>
    </row>
    <row r="48" spans="1:113" s="15" customFormat="1" ht="12.75" x14ac:dyDescent="0.2">
      <c r="A48" s="15" t="s">
        <v>109</v>
      </c>
      <c r="B48" s="16" t="s">
        <v>493</v>
      </c>
      <c r="C48" s="15" t="s">
        <v>494</v>
      </c>
      <c r="D48" s="15" t="s">
        <v>112</v>
      </c>
      <c r="E48" s="15" t="s">
        <v>113</v>
      </c>
      <c r="F48" s="15" t="s">
        <v>112</v>
      </c>
      <c r="G48" s="15" t="s">
        <v>114</v>
      </c>
      <c r="H48" s="15" t="s">
        <v>1111</v>
      </c>
      <c r="J48" s="18" t="s">
        <v>115</v>
      </c>
      <c r="W48" s="15">
        <v>68</v>
      </c>
      <c r="X48" s="15">
        <v>43</v>
      </c>
      <c r="Y48" s="15" t="s">
        <v>495</v>
      </c>
      <c r="Z48" s="15" t="s">
        <v>496</v>
      </c>
      <c r="AA48" s="15" t="s">
        <v>495</v>
      </c>
      <c r="AB48" s="15" t="s">
        <v>962</v>
      </c>
      <c r="AC48" s="15" t="s">
        <v>963</v>
      </c>
      <c r="AD48" s="15" t="s">
        <v>964</v>
      </c>
      <c r="AE48" s="15" t="s">
        <v>496</v>
      </c>
      <c r="AF48" s="15" t="s">
        <v>964</v>
      </c>
      <c r="AG48" s="15" t="s">
        <v>962</v>
      </c>
      <c r="AH48" s="15" t="s">
        <v>965</v>
      </c>
      <c r="AL48" s="15" t="s">
        <v>966</v>
      </c>
      <c r="AN48" s="15">
        <v>81</v>
      </c>
      <c r="AO48" s="15" t="s">
        <v>967</v>
      </c>
      <c r="AQ48" s="15" t="s">
        <v>968</v>
      </c>
      <c r="AT48" s="17" t="s">
        <v>969</v>
      </c>
      <c r="AU48" s="15" t="s">
        <v>970</v>
      </c>
      <c r="AV48" s="15" t="s">
        <v>970</v>
      </c>
      <c r="AW48" s="15" t="s">
        <v>971</v>
      </c>
      <c r="AX48" s="15" t="s">
        <v>972</v>
      </c>
      <c r="AY48" s="15">
        <f t="shared" si="1"/>
        <v>60</v>
      </c>
      <c r="AZ48" s="17" t="s">
        <v>253</v>
      </c>
      <c r="BA48" s="17" t="s">
        <v>973</v>
      </c>
      <c r="BB48" s="17"/>
      <c r="BC48" s="17" t="s">
        <v>787</v>
      </c>
      <c r="BD48" s="17"/>
      <c r="BE48" s="17"/>
      <c r="BF48" s="17"/>
      <c r="BG48" s="17"/>
      <c r="BH48" s="17"/>
      <c r="BI48" s="17"/>
      <c r="BJ48" s="17" t="s">
        <v>974</v>
      </c>
      <c r="BK48" s="17" t="s">
        <v>754</v>
      </c>
      <c r="BL48" s="17"/>
      <c r="BM48" s="17"/>
      <c r="BN48" s="17" t="s">
        <v>511</v>
      </c>
      <c r="BO48" s="17"/>
      <c r="BP48" s="17" t="s">
        <v>140</v>
      </c>
      <c r="BQ48" s="17"/>
      <c r="BS48" s="15" t="s">
        <v>4581</v>
      </c>
      <c r="DH48" s="15" t="s">
        <v>4597</v>
      </c>
      <c r="DI48" s="15" t="s">
        <v>4597</v>
      </c>
    </row>
    <row r="49" spans="1:113" s="15" customFormat="1" ht="12.75" x14ac:dyDescent="0.2">
      <c r="A49" s="15" t="s">
        <v>109</v>
      </c>
      <c r="B49" s="16" t="s">
        <v>493</v>
      </c>
      <c r="C49" s="15" t="s">
        <v>494</v>
      </c>
      <c r="D49" s="15" t="s">
        <v>112</v>
      </c>
      <c r="E49" s="15" t="s">
        <v>113</v>
      </c>
      <c r="F49" s="15" t="s">
        <v>112</v>
      </c>
      <c r="G49" s="15" t="s">
        <v>114</v>
      </c>
      <c r="H49" s="15" t="s">
        <v>1111</v>
      </c>
      <c r="J49" s="18" t="s">
        <v>115</v>
      </c>
      <c r="W49" s="15">
        <v>69</v>
      </c>
      <c r="X49" s="15">
        <v>44</v>
      </c>
      <c r="Y49" s="15" t="s">
        <v>495</v>
      </c>
      <c r="Z49" s="15" t="s">
        <v>496</v>
      </c>
      <c r="AA49" s="15" t="s">
        <v>495</v>
      </c>
      <c r="AB49" s="15" t="s">
        <v>975</v>
      </c>
      <c r="AC49" s="15" t="s">
        <v>976</v>
      </c>
      <c r="AD49" s="15" t="s">
        <v>977</v>
      </c>
      <c r="AE49" s="15" t="s">
        <v>496</v>
      </c>
      <c r="AF49" s="15" t="s">
        <v>977</v>
      </c>
      <c r="AG49" s="15" t="s">
        <v>975</v>
      </c>
      <c r="AH49" s="15" t="s">
        <v>978</v>
      </c>
      <c r="AL49" s="15" t="s">
        <v>979</v>
      </c>
      <c r="AN49" s="15">
        <v>81</v>
      </c>
      <c r="AO49" s="15" t="s">
        <v>980</v>
      </c>
      <c r="AQ49" s="15" t="s">
        <v>968</v>
      </c>
      <c r="AT49" s="17" t="s">
        <v>981</v>
      </c>
      <c r="AU49" s="15" t="s">
        <v>982</v>
      </c>
      <c r="AV49" s="15" t="s">
        <v>982</v>
      </c>
      <c r="AW49" s="15" t="s">
        <v>983</v>
      </c>
      <c r="AX49" s="15" t="s">
        <v>983</v>
      </c>
      <c r="AY49" s="15">
        <f t="shared" si="1"/>
        <v>58</v>
      </c>
      <c r="AZ49" s="17" t="s">
        <v>253</v>
      </c>
      <c r="BA49" s="17" t="s">
        <v>973</v>
      </c>
      <c r="BB49" s="17"/>
      <c r="BC49" s="17" t="s">
        <v>787</v>
      </c>
      <c r="BD49" s="17"/>
      <c r="BE49" s="17"/>
      <c r="BF49" s="17"/>
      <c r="BG49" s="17"/>
      <c r="BH49" s="17"/>
      <c r="BI49" s="17"/>
      <c r="BJ49" s="17" t="s">
        <v>984</v>
      </c>
      <c r="BK49" s="17" t="s">
        <v>754</v>
      </c>
      <c r="BL49" s="17"/>
      <c r="BM49" s="17"/>
      <c r="BN49" s="17" t="s">
        <v>511</v>
      </c>
      <c r="BO49" s="17"/>
      <c r="BP49" s="17" t="s">
        <v>140</v>
      </c>
      <c r="BQ49" s="17"/>
      <c r="BS49" s="15" t="s">
        <v>4582</v>
      </c>
      <c r="DH49" s="15" t="s">
        <v>4597</v>
      </c>
      <c r="DI49" s="15" t="s">
        <v>4597</v>
      </c>
    </row>
    <row r="50" spans="1:113" s="15" customFormat="1" ht="12.75" x14ac:dyDescent="0.2">
      <c r="A50" s="15" t="s">
        <v>109</v>
      </c>
      <c r="B50" s="16" t="s">
        <v>493</v>
      </c>
      <c r="C50" s="15" t="s">
        <v>494</v>
      </c>
      <c r="D50" s="15" t="s">
        <v>112</v>
      </c>
      <c r="E50" s="15" t="s">
        <v>113</v>
      </c>
      <c r="F50" s="15" t="s">
        <v>112</v>
      </c>
      <c r="G50" s="15" t="s">
        <v>114</v>
      </c>
      <c r="H50" s="15" t="s">
        <v>1111</v>
      </c>
      <c r="J50" s="18" t="s">
        <v>115</v>
      </c>
      <c r="W50" s="15">
        <v>70</v>
      </c>
      <c r="X50" s="15">
        <v>45</v>
      </c>
      <c r="Y50" s="15" t="s">
        <v>495</v>
      </c>
      <c r="Z50" s="15" t="s">
        <v>496</v>
      </c>
      <c r="AA50" s="15" t="s">
        <v>495</v>
      </c>
      <c r="AB50" s="15" t="s">
        <v>985</v>
      </c>
      <c r="AC50" s="15" t="s">
        <v>986</v>
      </c>
      <c r="AD50" s="15" t="s">
        <v>987</v>
      </c>
      <c r="AE50" s="15" t="s">
        <v>496</v>
      </c>
      <c r="AF50" s="15" t="s">
        <v>987</v>
      </c>
      <c r="AG50" s="15" t="s">
        <v>985</v>
      </c>
      <c r="AH50" s="15" t="s">
        <v>988</v>
      </c>
      <c r="AL50" s="15" t="s">
        <v>989</v>
      </c>
      <c r="AN50" s="15">
        <v>81</v>
      </c>
      <c r="AO50" s="15" t="s">
        <v>990</v>
      </c>
      <c r="AQ50" s="15" t="s">
        <v>968</v>
      </c>
      <c r="AT50" s="17" t="s">
        <v>991</v>
      </c>
      <c r="AU50" s="15" t="s">
        <v>992</v>
      </c>
      <c r="AV50" s="15" t="s">
        <v>992</v>
      </c>
      <c r="AW50" s="15" t="s">
        <v>993</v>
      </c>
      <c r="AX50" s="15" t="s">
        <v>993</v>
      </c>
      <c r="AY50" s="15">
        <f t="shared" si="1"/>
        <v>56</v>
      </c>
      <c r="AZ50" s="17" t="s">
        <v>253</v>
      </c>
      <c r="BA50" s="17" t="s">
        <v>973</v>
      </c>
      <c r="BB50" s="17"/>
      <c r="BC50" s="17" t="s">
        <v>787</v>
      </c>
      <c r="BD50" s="17"/>
      <c r="BE50" s="17"/>
      <c r="BF50" s="17"/>
      <c r="BG50" s="17"/>
      <c r="BH50" s="17"/>
      <c r="BI50" s="17"/>
      <c r="BJ50" s="17" t="s">
        <v>994</v>
      </c>
      <c r="BK50" s="17" t="s">
        <v>754</v>
      </c>
      <c r="BL50" s="17"/>
      <c r="BM50" s="17"/>
      <c r="BN50" s="17" t="s">
        <v>511</v>
      </c>
      <c r="BO50" s="17"/>
      <c r="BP50" s="17" t="s">
        <v>140</v>
      </c>
      <c r="BQ50" s="17"/>
      <c r="BS50" s="15" t="s">
        <v>4583</v>
      </c>
      <c r="DH50" s="15" t="s">
        <v>4597</v>
      </c>
      <c r="DI50" s="15" t="s">
        <v>4597</v>
      </c>
    </row>
    <row r="51" spans="1:113" s="15" customFormat="1" ht="12.75" x14ac:dyDescent="0.2">
      <c r="A51" s="15" t="s">
        <v>109</v>
      </c>
      <c r="B51" s="16" t="s">
        <v>493</v>
      </c>
      <c r="C51" s="15" t="s">
        <v>494</v>
      </c>
      <c r="D51" s="15" t="s">
        <v>112</v>
      </c>
      <c r="E51" s="15" t="s">
        <v>113</v>
      </c>
      <c r="F51" s="15" t="s">
        <v>112</v>
      </c>
      <c r="G51" s="15" t="s">
        <v>114</v>
      </c>
      <c r="H51" s="15" t="s">
        <v>1111</v>
      </c>
      <c r="J51" s="18" t="s">
        <v>115</v>
      </c>
      <c r="W51" s="15">
        <v>71</v>
      </c>
      <c r="X51" s="15">
        <v>46</v>
      </c>
      <c r="Y51" s="15" t="s">
        <v>495</v>
      </c>
      <c r="Z51" s="15" t="s">
        <v>496</v>
      </c>
      <c r="AA51" s="15" t="s">
        <v>495</v>
      </c>
      <c r="AB51" s="15" t="s">
        <v>995</v>
      </c>
      <c r="AC51" s="15" t="s">
        <v>996</v>
      </c>
      <c r="AD51" s="15" t="s">
        <v>997</v>
      </c>
      <c r="AE51" s="15" t="s">
        <v>496</v>
      </c>
      <c r="AF51" s="15" t="s">
        <v>997</v>
      </c>
      <c r="AG51" s="15" t="s">
        <v>995</v>
      </c>
      <c r="AH51" s="15" t="s">
        <v>998</v>
      </c>
      <c r="AL51" s="15" t="s">
        <v>999</v>
      </c>
      <c r="AN51" s="15">
        <v>81</v>
      </c>
      <c r="AO51" s="15" t="s">
        <v>1000</v>
      </c>
      <c r="AQ51" s="15" t="s">
        <v>968</v>
      </c>
      <c r="AT51" s="17" t="s">
        <v>1001</v>
      </c>
      <c r="AU51" s="15" t="s">
        <v>1002</v>
      </c>
      <c r="AV51" s="15" t="s">
        <v>1002</v>
      </c>
      <c r="AW51" s="15" t="s">
        <v>1003</v>
      </c>
      <c r="AX51" s="15" t="s">
        <v>1003</v>
      </c>
      <c r="AY51" s="15">
        <f t="shared" si="1"/>
        <v>56</v>
      </c>
      <c r="AZ51" s="17" t="s">
        <v>253</v>
      </c>
      <c r="BA51" s="17" t="s">
        <v>973</v>
      </c>
      <c r="BB51" s="17"/>
      <c r="BC51" s="17" t="s">
        <v>787</v>
      </c>
      <c r="BD51" s="17"/>
      <c r="BE51" s="17"/>
      <c r="BF51" s="17"/>
      <c r="BG51" s="17"/>
      <c r="BH51" s="17"/>
      <c r="BI51" s="17"/>
      <c r="BJ51" s="17" t="s">
        <v>1004</v>
      </c>
      <c r="BK51" s="17" t="s">
        <v>754</v>
      </c>
      <c r="BL51" s="17"/>
      <c r="BM51" s="17"/>
      <c r="BN51" s="17" t="s">
        <v>511</v>
      </c>
      <c r="BO51" s="17"/>
      <c r="BP51" s="17" t="s">
        <v>140</v>
      </c>
      <c r="BQ51" s="17"/>
      <c r="BS51" s="15" t="s">
        <v>4584</v>
      </c>
      <c r="DH51" s="15" t="s">
        <v>4597</v>
      </c>
      <c r="DI51" s="15" t="s">
        <v>4597</v>
      </c>
    </row>
    <row r="52" spans="1:113" s="15" customFormat="1" ht="12.75" x14ac:dyDescent="0.2">
      <c r="A52" s="15" t="s">
        <v>109</v>
      </c>
      <c r="B52" s="16" t="s">
        <v>493</v>
      </c>
      <c r="C52" s="15" t="s">
        <v>494</v>
      </c>
      <c r="D52" s="15" t="s">
        <v>112</v>
      </c>
      <c r="E52" s="15" t="s">
        <v>113</v>
      </c>
      <c r="F52" s="15" t="s">
        <v>112</v>
      </c>
      <c r="G52" s="15" t="s">
        <v>114</v>
      </c>
      <c r="H52" s="15" t="s">
        <v>1111</v>
      </c>
      <c r="J52" s="18" t="s">
        <v>115</v>
      </c>
      <c r="W52" s="15">
        <v>72</v>
      </c>
      <c r="X52" s="15">
        <v>47</v>
      </c>
      <c r="Y52" s="15" t="s">
        <v>495</v>
      </c>
      <c r="Z52" s="15" t="s">
        <v>496</v>
      </c>
      <c r="AA52" s="15" t="s">
        <v>495</v>
      </c>
      <c r="AB52" s="15" t="s">
        <v>1005</v>
      </c>
      <c r="AC52" s="15" t="s">
        <v>1006</v>
      </c>
      <c r="AD52" s="16" t="s">
        <v>1007</v>
      </c>
      <c r="AE52" s="15" t="s">
        <v>496</v>
      </c>
      <c r="AF52" s="16" t="s">
        <v>1007</v>
      </c>
      <c r="AG52" s="15" t="s">
        <v>1005</v>
      </c>
      <c r="AH52" s="15" t="s">
        <v>1008</v>
      </c>
      <c r="AL52" s="15" t="s">
        <v>1009</v>
      </c>
      <c r="AN52" s="15">
        <v>81</v>
      </c>
      <c r="AO52" s="15" t="s">
        <v>1010</v>
      </c>
      <c r="AQ52" s="15" t="s">
        <v>968</v>
      </c>
      <c r="AT52" s="17" t="s">
        <v>1011</v>
      </c>
      <c r="AU52" s="15" t="s">
        <v>1012</v>
      </c>
      <c r="AV52" s="15" t="s">
        <v>1012</v>
      </c>
      <c r="AW52" s="15" t="s">
        <v>1013</v>
      </c>
      <c r="AX52" s="15" t="s">
        <v>1014</v>
      </c>
      <c r="AY52" s="15">
        <f t="shared" si="1"/>
        <v>58</v>
      </c>
      <c r="AZ52" s="17" t="s">
        <v>253</v>
      </c>
      <c r="BA52" s="17" t="s">
        <v>973</v>
      </c>
      <c r="BB52" s="17"/>
      <c r="BC52" s="17" t="s">
        <v>787</v>
      </c>
      <c r="BD52" s="17"/>
      <c r="BE52" s="17"/>
      <c r="BF52" s="17"/>
      <c r="BG52" s="17"/>
      <c r="BH52" s="17"/>
      <c r="BI52" s="17"/>
      <c r="BJ52" s="17" t="s">
        <v>1015</v>
      </c>
      <c r="BK52" s="17"/>
      <c r="BL52" s="17"/>
      <c r="BM52" s="17"/>
      <c r="BN52" s="17" t="s">
        <v>511</v>
      </c>
      <c r="BO52" s="17"/>
      <c r="BP52" s="17" t="s">
        <v>140</v>
      </c>
      <c r="BQ52" s="17"/>
      <c r="BS52" s="15" t="s">
        <v>4585</v>
      </c>
      <c r="DH52" s="15" t="s">
        <v>4597</v>
      </c>
      <c r="DI52" s="15" t="s">
        <v>4597</v>
      </c>
    </row>
    <row r="53" spans="1:113" s="15" customFormat="1" ht="12.75" x14ac:dyDescent="0.2">
      <c r="A53" s="15" t="s">
        <v>109</v>
      </c>
      <c r="B53" s="16" t="s">
        <v>493</v>
      </c>
      <c r="C53" s="15" t="s">
        <v>494</v>
      </c>
      <c r="D53" s="15" t="s">
        <v>112</v>
      </c>
      <c r="E53" s="15" t="s">
        <v>113</v>
      </c>
      <c r="F53" s="15" t="s">
        <v>112</v>
      </c>
      <c r="G53" s="15" t="s">
        <v>114</v>
      </c>
      <c r="H53" s="15" t="s">
        <v>1111</v>
      </c>
      <c r="J53" s="18" t="s">
        <v>115</v>
      </c>
      <c r="W53" s="15">
        <v>73</v>
      </c>
      <c r="X53" s="15">
        <v>48</v>
      </c>
      <c r="Y53" s="15" t="s">
        <v>495</v>
      </c>
      <c r="Z53" s="15" t="s">
        <v>496</v>
      </c>
      <c r="AA53" s="15" t="s">
        <v>495</v>
      </c>
      <c r="AB53" s="15" t="s">
        <v>1016</v>
      </c>
      <c r="AC53" s="15" t="s">
        <v>1017</v>
      </c>
      <c r="AD53" s="15" t="s">
        <v>1018</v>
      </c>
      <c r="AE53" s="15" t="s">
        <v>496</v>
      </c>
      <c r="AF53" s="15" t="s">
        <v>1018</v>
      </c>
      <c r="AG53" s="15" t="s">
        <v>1016</v>
      </c>
      <c r="AH53" s="15" t="s">
        <v>1019</v>
      </c>
      <c r="AL53" s="15" t="s">
        <v>1020</v>
      </c>
      <c r="AN53" s="15">
        <v>81</v>
      </c>
      <c r="AO53" s="15" t="s">
        <v>1021</v>
      </c>
      <c r="AQ53" s="15" t="s">
        <v>503</v>
      </c>
      <c r="AT53" s="17" t="s">
        <v>1022</v>
      </c>
      <c r="AU53" s="15" t="s">
        <v>1023</v>
      </c>
      <c r="AV53" s="15" t="s">
        <v>1023</v>
      </c>
      <c r="AW53" s="15" t="s">
        <v>1024</v>
      </c>
      <c r="AX53" s="15" t="s">
        <v>1024</v>
      </c>
      <c r="AY53" s="15">
        <f t="shared" si="1"/>
        <v>55</v>
      </c>
      <c r="AZ53" s="17" t="s">
        <v>785</v>
      </c>
      <c r="BA53" s="17" t="s">
        <v>507</v>
      </c>
      <c r="BB53" s="17" t="s">
        <v>1025</v>
      </c>
      <c r="BC53" s="17"/>
      <c r="BD53" s="17"/>
      <c r="BE53" s="17" t="s">
        <v>1026</v>
      </c>
      <c r="BF53" s="17"/>
      <c r="BG53" s="17"/>
      <c r="BH53" s="17"/>
      <c r="BI53" s="17"/>
      <c r="BJ53" s="17" t="s">
        <v>1027</v>
      </c>
      <c r="BK53" s="17"/>
      <c r="BL53" s="17"/>
      <c r="BM53" s="17"/>
      <c r="BN53" s="17" t="s">
        <v>511</v>
      </c>
      <c r="BO53" s="17"/>
      <c r="BP53" s="17" t="s">
        <v>140</v>
      </c>
      <c r="BQ53" s="17"/>
      <c r="BS53" s="15" t="s">
        <v>4586</v>
      </c>
      <c r="DH53" s="15" t="s">
        <v>4597</v>
      </c>
      <c r="DI53" s="15" t="s">
        <v>4597</v>
      </c>
    </row>
    <row r="54" spans="1:113" s="15" customFormat="1" ht="12.75" x14ac:dyDescent="0.2">
      <c r="A54" s="15" t="s">
        <v>109</v>
      </c>
      <c r="B54" s="16" t="s">
        <v>493</v>
      </c>
      <c r="C54" s="15" t="s">
        <v>494</v>
      </c>
      <c r="D54" s="15" t="s">
        <v>112</v>
      </c>
      <c r="E54" s="15" t="s">
        <v>113</v>
      </c>
      <c r="F54" s="15" t="s">
        <v>112</v>
      </c>
      <c r="G54" s="15" t="s">
        <v>114</v>
      </c>
      <c r="H54" s="15" t="s">
        <v>1111</v>
      </c>
      <c r="J54" s="18" t="s">
        <v>115</v>
      </c>
      <c r="W54" s="15">
        <v>74</v>
      </c>
      <c r="X54" s="15">
        <v>49</v>
      </c>
      <c r="Y54" s="15" t="s">
        <v>495</v>
      </c>
      <c r="Z54" s="15" t="s">
        <v>496</v>
      </c>
      <c r="AA54" s="15" t="s">
        <v>495</v>
      </c>
      <c r="AB54" s="15" t="s">
        <v>1028</v>
      </c>
      <c r="AC54" s="15" t="s">
        <v>1029</v>
      </c>
      <c r="AD54" s="15" t="s">
        <v>1030</v>
      </c>
      <c r="AE54" s="15" t="s">
        <v>496</v>
      </c>
      <c r="AF54" s="15" t="s">
        <v>1030</v>
      </c>
      <c r="AG54" s="15" t="s">
        <v>1028</v>
      </c>
      <c r="AH54" s="15" t="s">
        <v>1031</v>
      </c>
      <c r="AL54" s="15" t="s">
        <v>1032</v>
      </c>
      <c r="AN54" s="15">
        <v>81</v>
      </c>
      <c r="AO54" s="15" t="s">
        <v>1033</v>
      </c>
      <c r="AQ54" s="15" t="s">
        <v>503</v>
      </c>
      <c r="AT54" s="17" t="s">
        <v>1034</v>
      </c>
      <c r="AU54" s="15" t="s">
        <v>1035</v>
      </c>
      <c r="AV54" s="15" t="s">
        <v>1035</v>
      </c>
      <c r="AW54" s="15" t="s">
        <v>1036</v>
      </c>
      <c r="AX54" s="15" t="s">
        <v>1037</v>
      </c>
      <c r="AY54" s="15">
        <f t="shared" si="1"/>
        <v>58</v>
      </c>
      <c r="AZ54" s="17" t="s">
        <v>785</v>
      </c>
      <c r="BA54" s="17" t="s">
        <v>507</v>
      </c>
      <c r="BB54" s="17" t="s">
        <v>1025</v>
      </c>
      <c r="BC54" s="17" t="s">
        <v>170</v>
      </c>
      <c r="BD54" s="17"/>
      <c r="BE54" s="17" t="s">
        <v>1038</v>
      </c>
      <c r="BF54" s="17"/>
      <c r="BG54" s="17"/>
      <c r="BH54" s="17"/>
      <c r="BI54" s="17"/>
      <c r="BJ54" s="17" t="s">
        <v>1039</v>
      </c>
      <c r="BK54" s="17" t="s">
        <v>1040</v>
      </c>
      <c r="BL54" s="17"/>
      <c r="BM54" s="17" t="s">
        <v>201</v>
      </c>
      <c r="BN54" s="17" t="s">
        <v>511</v>
      </c>
      <c r="BO54" s="17"/>
      <c r="BP54" s="17" t="s">
        <v>140</v>
      </c>
      <c r="BQ54" s="17"/>
      <c r="BS54" s="15" t="s">
        <v>4587</v>
      </c>
      <c r="DH54" s="15" t="s">
        <v>4597</v>
      </c>
      <c r="DI54" s="15" t="s">
        <v>4597</v>
      </c>
    </row>
    <row r="55" spans="1:113" s="15" customFormat="1" ht="12.75" x14ac:dyDescent="0.2">
      <c r="A55" s="15" t="s">
        <v>109</v>
      </c>
      <c r="B55" s="16" t="s">
        <v>493</v>
      </c>
      <c r="C55" s="15" t="s">
        <v>494</v>
      </c>
      <c r="D55" s="15" t="s">
        <v>112</v>
      </c>
      <c r="E55" s="15" t="s">
        <v>113</v>
      </c>
      <c r="F55" s="15" t="s">
        <v>112</v>
      </c>
      <c r="G55" s="15" t="s">
        <v>114</v>
      </c>
      <c r="H55" s="15" t="s">
        <v>1111</v>
      </c>
      <c r="J55" s="18" t="s">
        <v>115</v>
      </c>
      <c r="W55" s="15">
        <v>75</v>
      </c>
      <c r="X55" s="15">
        <v>50</v>
      </c>
      <c r="Y55" s="15" t="s">
        <v>495</v>
      </c>
      <c r="Z55" s="15" t="s">
        <v>496</v>
      </c>
      <c r="AA55" s="15" t="s">
        <v>495</v>
      </c>
      <c r="AB55" s="15" t="s">
        <v>1041</v>
      </c>
      <c r="AC55" s="15" t="s">
        <v>1042</v>
      </c>
      <c r="AD55" s="15" t="s">
        <v>1043</v>
      </c>
      <c r="AE55" s="15" t="s">
        <v>496</v>
      </c>
      <c r="AF55" s="15" t="s">
        <v>1043</v>
      </c>
      <c r="AG55" s="15" t="s">
        <v>1041</v>
      </c>
      <c r="AH55" s="15" t="s">
        <v>1044</v>
      </c>
      <c r="AL55" s="15" t="s">
        <v>1045</v>
      </c>
      <c r="AN55" s="15">
        <v>81</v>
      </c>
      <c r="AO55" s="15" t="s">
        <v>1046</v>
      </c>
      <c r="AQ55" s="15" t="s">
        <v>503</v>
      </c>
      <c r="AT55" s="17" t="s">
        <v>1047</v>
      </c>
      <c r="AU55" s="15" t="s">
        <v>1048</v>
      </c>
      <c r="AV55" s="15" t="s">
        <v>1048</v>
      </c>
      <c r="AW55" s="15" t="s">
        <v>1049</v>
      </c>
      <c r="AX55" s="15" t="s">
        <v>1049</v>
      </c>
      <c r="AY55" s="15">
        <f t="shared" si="1"/>
        <v>54</v>
      </c>
      <c r="AZ55" s="17" t="s">
        <v>785</v>
      </c>
      <c r="BA55" s="17" t="s">
        <v>507</v>
      </c>
      <c r="BB55" s="17" t="s">
        <v>1025</v>
      </c>
      <c r="BC55" s="17" t="s">
        <v>490</v>
      </c>
      <c r="BD55" s="17"/>
      <c r="BE55" s="17" t="s">
        <v>1050</v>
      </c>
      <c r="BF55" s="17"/>
      <c r="BG55" s="17"/>
      <c r="BH55" s="17"/>
      <c r="BI55" s="17"/>
      <c r="BJ55" s="17" t="s">
        <v>1051</v>
      </c>
      <c r="BK55" s="17"/>
      <c r="BL55" s="17"/>
      <c r="BM55" s="17"/>
      <c r="BN55" s="17" t="s">
        <v>511</v>
      </c>
      <c r="BO55" s="17"/>
      <c r="BP55" s="17" t="s">
        <v>140</v>
      </c>
      <c r="BQ55" s="17"/>
      <c r="BS55" s="15" t="s">
        <v>4588</v>
      </c>
      <c r="DH55" s="15" t="s">
        <v>4597</v>
      </c>
      <c r="DI55" s="15" t="s">
        <v>4597</v>
      </c>
    </row>
    <row r="56" spans="1:113" s="15" customFormat="1" ht="12.75" x14ac:dyDescent="0.2">
      <c r="A56" s="15" t="s">
        <v>109</v>
      </c>
      <c r="B56" s="16" t="s">
        <v>493</v>
      </c>
      <c r="C56" s="15" t="s">
        <v>494</v>
      </c>
      <c r="D56" s="15" t="s">
        <v>112</v>
      </c>
      <c r="E56" s="15" t="s">
        <v>113</v>
      </c>
      <c r="F56" s="15" t="s">
        <v>112</v>
      </c>
      <c r="G56" s="15" t="s">
        <v>114</v>
      </c>
      <c r="H56" s="15" t="s">
        <v>1111</v>
      </c>
      <c r="J56" s="18" t="s">
        <v>115</v>
      </c>
      <c r="W56" s="15">
        <v>76</v>
      </c>
      <c r="X56" s="15">
        <v>51</v>
      </c>
      <c r="Y56" s="15" t="s">
        <v>495</v>
      </c>
      <c r="Z56" s="15" t="s">
        <v>496</v>
      </c>
      <c r="AA56" s="15" t="s">
        <v>495</v>
      </c>
      <c r="AB56" s="15" t="s">
        <v>1052</v>
      </c>
      <c r="AC56" s="15" t="s">
        <v>1053</v>
      </c>
      <c r="AD56" s="15" t="s">
        <v>1054</v>
      </c>
      <c r="AE56" s="15" t="s">
        <v>496</v>
      </c>
      <c r="AF56" s="15" t="s">
        <v>1054</v>
      </c>
      <c r="AG56" s="15" t="s">
        <v>1052</v>
      </c>
      <c r="AH56" s="15" t="s">
        <v>1055</v>
      </c>
      <c r="AL56" s="15" t="s">
        <v>1056</v>
      </c>
      <c r="AN56" s="15">
        <v>81</v>
      </c>
      <c r="AO56" s="15" t="s">
        <v>1057</v>
      </c>
      <c r="AQ56" s="15" t="s">
        <v>503</v>
      </c>
      <c r="AT56" s="17" t="s">
        <v>1058</v>
      </c>
      <c r="AU56" s="15" t="s">
        <v>1059</v>
      </c>
      <c r="AV56" s="15" t="s">
        <v>1059</v>
      </c>
      <c r="AW56" s="15" t="s">
        <v>1060</v>
      </c>
      <c r="AX56" s="15" t="s">
        <v>1061</v>
      </c>
      <c r="AY56" s="15">
        <f t="shared" si="1"/>
        <v>59</v>
      </c>
      <c r="AZ56" s="17" t="s">
        <v>785</v>
      </c>
      <c r="BA56" s="17" t="s">
        <v>507</v>
      </c>
      <c r="BB56" s="17" t="s">
        <v>1025</v>
      </c>
      <c r="BC56" s="17"/>
      <c r="BD56" s="17"/>
      <c r="BE56" s="17" t="s">
        <v>1062</v>
      </c>
      <c r="BF56" s="17"/>
      <c r="BG56" s="17"/>
      <c r="BH56" s="17"/>
      <c r="BI56" s="17"/>
      <c r="BJ56" s="17" t="s">
        <v>1063</v>
      </c>
      <c r="BK56" s="17"/>
      <c r="BL56" s="17"/>
      <c r="BM56" s="17"/>
      <c r="BN56" s="17" t="s">
        <v>511</v>
      </c>
      <c r="BO56" s="17"/>
      <c r="BP56" s="17" t="s">
        <v>140</v>
      </c>
      <c r="BQ56" s="17"/>
      <c r="BS56" s="15" t="s">
        <v>4589</v>
      </c>
      <c r="DH56" s="15" t="s">
        <v>4597</v>
      </c>
      <c r="DI56" s="15" t="s">
        <v>4597</v>
      </c>
    </row>
    <row r="57" spans="1:113" s="15" customFormat="1" ht="12.75" x14ac:dyDescent="0.2">
      <c r="A57" s="15" t="s">
        <v>109</v>
      </c>
      <c r="B57" s="16" t="s">
        <v>493</v>
      </c>
      <c r="C57" s="15" t="s">
        <v>494</v>
      </c>
      <c r="D57" s="15" t="s">
        <v>112</v>
      </c>
      <c r="E57" s="15" t="s">
        <v>113</v>
      </c>
      <c r="F57" s="15" t="s">
        <v>112</v>
      </c>
      <c r="G57" s="15" t="s">
        <v>114</v>
      </c>
      <c r="H57" s="15" t="s">
        <v>1111</v>
      </c>
      <c r="J57" s="18" t="s">
        <v>115</v>
      </c>
      <c r="W57" s="15">
        <v>77</v>
      </c>
      <c r="X57" s="15">
        <v>52</v>
      </c>
      <c r="Y57" s="15" t="s">
        <v>495</v>
      </c>
      <c r="Z57" s="15" t="s">
        <v>496</v>
      </c>
      <c r="AA57" s="15" t="s">
        <v>495</v>
      </c>
      <c r="AB57" s="15" t="s">
        <v>1064</v>
      </c>
      <c r="AC57" s="15" t="s">
        <v>1065</v>
      </c>
      <c r="AD57" s="15" t="s">
        <v>1066</v>
      </c>
      <c r="AE57" s="15" t="s">
        <v>496</v>
      </c>
      <c r="AF57" s="15" t="s">
        <v>1066</v>
      </c>
      <c r="AG57" s="15" t="s">
        <v>1064</v>
      </c>
      <c r="AH57" s="15" t="s">
        <v>1067</v>
      </c>
      <c r="AL57" s="15" t="s">
        <v>1068</v>
      </c>
      <c r="AN57" s="15">
        <v>81</v>
      </c>
      <c r="AO57" s="15" t="s">
        <v>1069</v>
      </c>
      <c r="AQ57" s="15" t="s">
        <v>503</v>
      </c>
      <c r="AT57" s="17" t="s">
        <v>1070</v>
      </c>
      <c r="AU57" s="15" t="s">
        <v>1071</v>
      </c>
      <c r="AV57" s="15" t="s">
        <v>1071</v>
      </c>
      <c r="AW57" s="15" t="s">
        <v>1072</v>
      </c>
      <c r="AX57" s="15" t="s">
        <v>1073</v>
      </c>
      <c r="AY57" s="15">
        <f t="shared" si="1"/>
        <v>50</v>
      </c>
      <c r="AZ57" s="17" t="s">
        <v>785</v>
      </c>
      <c r="BA57" s="17" t="s">
        <v>507</v>
      </c>
      <c r="BB57" s="17" t="s">
        <v>1025</v>
      </c>
      <c r="BC57" s="17" t="s">
        <v>1074</v>
      </c>
      <c r="BD57" s="17"/>
      <c r="BE57" s="17" t="s">
        <v>1075</v>
      </c>
      <c r="BF57" s="17"/>
      <c r="BG57" s="17"/>
      <c r="BH57" s="17"/>
      <c r="BI57" s="17"/>
      <c r="BJ57" s="17" t="s">
        <v>1076</v>
      </c>
      <c r="BK57" s="17"/>
      <c r="BL57" s="17"/>
      <c r="BM57" s="17"/>
      <c r="BN57" s="17" t="s">
        <v>511</v>
      </c>
      <c r="BO57" s="17"/>
      <c r="BP57" s="17" t="s">
        <v>140</v>
      </c>
      <c r="BQ57" s="17"/>
      <c r="BS57" s="15" t="s">
        <v>4590</v>
      </c>
      <c r="DH57" s="15" t="s">
        <v>4597</v>
      </c>
      <c r="DI57" s="15" t="s">
        <v>4597</v>
      </c>
    </row>
    <row r="58" spans="1:113" s="15" customFormat="1" ht="12.75" x14ac:dyDescent="0.2">
      <c r="A58" s="15" t="s">
        <v>109</v>
      </c>
      <c r="B58" s="16" t="s">
        <v>493</v>
      </c>
      <c r="C58" s="15" t="s">
        <v>494</v>
      </c>
      <c r="D58" s="15" t="s">
        <v>112</v>
      </c>
      <c r="E58" s="15" t="s">
        <v>113</v>
      </c>
      <c r="F58" s="15" t="s">
        <v>112</v>
      </c>
      <c r="G58" s="15" t="s">
        <v>114</v>
      </c>
      <c r="H58" s="15" t="s">
        <v>1111</v>
      </c>
      <c r="J58" s="18" t="s">
        <v>115</v>
      </c>
      <c r="W58" s="15">
        <v>78</v>
      </c>
      <c r="X58" s="15">
        <v>53</v>
      </c>
      <c r="Y58" s="15" t="s">
        <v>495</v>
      </c>
      <c r="Z58" s="15" t="s">
        <v>496</v>
      </c>
      <c r="AA58" s="15" t="s">
        <v>495</v>
      </c>
      <c r="AB58" s="15" t="s">
        <v>1077</v>
      </c>
      <c r="AC58" s="15" t="s">
        <v>1078</v>
      </c>
      <c r="AD58" s="15" t="s">
        <v>1079</v>
      </c>
      <c r="AE58" s="15" t="s">
        <v>496</v>
      </c>
      <c r="AF58" s="15" t="s">
        <v>1079</v>
      </c>
      <c r="AG58" s="15" t="s">
        <v>1077</v>
      </c>
      <c r="AH58" s="15" t="s">
        <v>1080</v>
      </c>
      <c r="AL58" s="15" t="s">
        <v>1081</v>
      </c>
      <c r="AN58" s="15">
        <v>81</v>
      </c>
      <c r="AO58" s="15" t="s">
        <v>1082</v>
      </c>
      <c r="AQ58" s="15" t="s">
        <v>503</v>
      </c>
      <c r="AT58" s="17" t="s">
        <v>1083</v>
      </c>
      <c r="AU58" s="15" t="s">
        <v>1084</v>
      </c>
      <c r="AV58" s="15" t="s">
        <v>1084</v>
      </c>
      <c r="AW58" s="15" t="s">
        <v>1085</v>
      </c>
      <c r="AX58" s="15" t="s">
        <v>1086</v>
      </c>
      <c r="AY58" s="15">
        <f t="shared" si="1"/>
        <v>55</v>
      </c>
      <c r="AZ58" s="17" t="s">
        <v>785</v>
      </c>
      <c r="BA58" s="17" t="s">
        <v>507</v>
      </c>
      <c r="BB58" s="17" t="s">
        <v>1025</v>
      </c>
      <c r="BC58" s="17" t="s">
        <v>1074</v>
      </c>
      <c r="BD58" s="17"/>
      <c r="BE58" s="17" t="s">
        <v>1087</v>
      </c>
      <c r="BF58" s="17"/>
      <c r="BG58" s="17"/>
      <c r="BH58" s="17"/>
      <c r="BI58" s="17"/>
      <c r="BJ58" s="17" t="s">
        <v>1088</v>
      </c>
      <c r="BK58" s="17"/>
      <c r="BL58" s="17"/>
      <c r="BM58" s="17"/>
      <c r="BN58" s="17" t="s">
        <v>511</v>
      </c>
      <c r="BO58" s="17"/>
      <c r="BP58" s="17" t="s">
        <v>140</v>
      </c>
      <c r="BQ58" s="17"/>
      <c r="BS58" s="15" t="s">
        <v>4591</v>
      </c>
      <c r="DH58" s="15" t="s">
        <v>4597</v>
      </c>
      <c r="DI58" s="15" t="s">
        <v>4597</v>
      </c>
    </row>
    <row r="59" spans="1:113" s="15" customFormat="1" ht="12.75" x14ac:dyDescent="0.2">
      <c r="A59" s="15" t="s">
        <v>109</v>
      </c>
      <c r="B59" s="16" t="s">
        <v>493</v>
      </c>
      <c r="C59" s="15" t="s">
        <v>494</v>
      </c>
      <c r="D59" s="15" t="s">
        <v>112</v>
      </c>
      <c r="E59" s="15" t="s">
        <v>113</v>
      </c>
      <c r="F59" s="15" t="s">
        <v>112</v>
      </c>
      <c r="G59" s="15" t="s">
        <v>114</v>
      </c>
      <c r="H59" s="15" t="s">
        <v>1111</v>
      </c>
      <c r="J59" s="18" t="s">
        <v>115</v>
      </c>
      <c r="W59" s="15">
        <v>79</v>
      </c>
      <c r="X59" s="15">
        <v>54</v>
      </c>
      <c r="Y59" s="15" t="s">
        <v>495</v>
      </c>
      <c r="Z59" s="15" t="s">
        <v>496</v>
      </c>
      <c r="AA59" s="15" t="s">
        <v>495</v>
      </c>
      <c r="AB59" s="15" t="s">
        <v>1089</v>
      </c>
      <c r="AC59" s="15" t="s">
        <v>1090</v>
      </c>
      <c r="AD59" s="15" t="s">
        <v>1091</v>
      </c>
      <c r="AE59" s="15" t="s">
        <v>496</v>
      </c>
      <c r="AF59" s="15" t="s">
        <v>1091</v>
      </c>
      <c r="AG59" s="15" t="s">
        <v>1089</v>
      </c>
      <c r="AH59" s="15" t="s">
        <v>1092</v>
      </c>
      <c r="AL59" s="15" t="s">
        <v>1093</v>
      </c>
      <c r="AN59" s="15">
        <v>81</v>
      </c>
      <c r="AO59" s="15" t="s">
        <v>1094</v>
      </c>
      <c r="AQ59" s="15" t="s">
        <v>503</v>
      </c>
      <c r="AT59" s="17" t="s">
        <v>1095</v>
      </c>
      <c r="AU59" s="15" t="s">
        <v>1096</v>
      </c>
      <c r="AV59" s="15" t="s">
        <v>1096</v>
      </c>
      <c r="AW59" s="15" t="s">
        <v>1097</v>
      </c>
      <c r="AX59" s="15" t="s">
        <v>1097</v>
      </c>
      <c r="AY59" s="15">
        <f t="shared" si="1"/>
        <v>56</v>
      </c>
      <c r="AZ59" s="17" t="s">
        <v>253</v>
      </c>
      <c r="BA59" s="17" t="s">
        <v>1098</v>
      </c>
      <c r="BB59" s="17"/>
      <c r="BC59" s="17"/>
      <c r="BD59" s="17"/>
      <c r="BE59" s="17" t="s">
        <v>1099</v>
      </c>
      <c r="BF59" s="17"/>
      <c r="BG59" s="17"/>
      <c r="BH59" s="17"/>
      <c r="BI59" s="17"/>
      <c r="BJ59" s="17" t="s">
        <v>1100</v>
      </c>
      <c r="BK59" s="17"/>
      <c r="BL59" s="17"/>
      <c r="BM59" s="17"/>
      <c r="BN59" s="17" t="s">
        <v>511</v>
      </c>
      <c r="BO59" s="17"/>
      <c r="BP59" s="17" t="s">
        <v>140</v>
      </c>
      <c r="BQ59" s="17"/>
      <c r="BS59" s="15" t="s">
        <v>4592</v>
      </c>
      <c r="DH59" s="15" t="s">
        <v>4597</v>
      </c>
      <c r="DI59" s="15" t="s">
        <v>4597</v>
      </c>
    </row>
    <row r="60" spans="1:113" s="15" customFormat="1" ht="12.75" x14ac:dyDescent="0.2">
      <c r="A60" s="15" t="s">
        <v>109</v>
      </c>
      <c r="B60" s="16" t="s">
        <v>493</v>
      </c>
      <c r="C60" s="15" t="s">
        <v>494</v>
      </c>
      <c r="D60" s="15" t="s">
        <v>112</v>
      </c>
      <c r="E60" s="15" t="s">
        <v>113</v>
      </c>
      <c r="F60" s="15" t="s">
        <v>112</v>
      </c>
      <c r="G60" s="15" t="s">
        <v>114</v>
      </c>
      <c r="H60" s="15" t="s">
        <v>1111</v>
      </c>
      <c r="J60" s="18" t="s">
        <v>115</v>
      </c>
      <c r="W60" s="15">
        <v>80</v>
      </c>
      <c r="X60" s="15">
        <v>55</v>
      </c>
      <c r="Y60" s="15" t="s">
        <v>495</v>
      </c>
      <c r="Z60" s="15" t="s">
        <v>496</v>
      </c>
      <c r="AA60" s="15" t="s">
        <v>495</v>
      </c>
      <c r="AB60" s="15" t="s">
        <v>1101</v>
      </c>
      <c r="AC60" s="15" t="s">
        <v>1102</v>
      </c>
      <c r="AD60" s="15" t="s">
        <v>1103</v>
      </c>
      <c r="AE60" s="15" t="s">
        <v>496</v>
      </c>
      <c r="AF60" s="15" t="s">
        <v>1103</v>
      </c>
      <c r="AG60" s="15" t="s">
        <v>1101</v>
      </c>
      <c r="AH60" s="15" t="s">
        <v>1104</v>
      </c>
      <c r="AL60" s="15" t="s">
        <v>1105</v>
      </c>
      <c r="AN60" s="15">
        <v>81</v>
      </c>
      <c r="AO60" s="15" t="s">
        <v>1106</v>
      </c>
      <c r="AQ60" s="15" t="s">
        <v>503</v>
      </c>
      <c r="AT60" s="17" t="s">
        <v>1107</v>
      </c>
      <c r="AU60" s="15" t="s">
        <v>1108</v>
      </c>
      <c r="AV60" s="15" t="s">
        <v>1108</v>
      </c>
      <c r="AW60" s="15" t="s">
        <v>1109</v>
      </c>
      <c r="AX60" s="15" t="s">
        <v>1109</v>
      </c>
      <c r="AY60" s="15">
        <f t="shared" si="1"/>
        <v>49</v>
      </c>
      <c r="AZ60" s="17" t="s">
        <v>253</v>
      </c>
      <c r="BA60" s="17" t="s">
        <v>1098</v>
      </c>
      <c r="BB60" s="17"/>
      <c r="BC60" s="17"/>
      <c r="BD60" s="17"/>
      <c r="BE60" s="17"/>
      <c r="BF60" s="17"/>
      <c r="BG60" s="17"/>
      <c r="BH60" s="17"/>
      <c r="BI60" s="17"/>
      <c r="BJ60" s="17" t="s">
        <v>1110</v>
      </c>
      <c r="BK60" s="17"/>
      <c r="BL60" s="17"/>
      <c r="BM60" s="17"/>
      <c r="BN60" s="17" t="s">
        <v>511</v>
      </c>
      <c r="BO60" s="17"/>
      <c r="BP60" s="17" t="s">
        <v>140</v>
      </c>
      <c r="BQ60" s="17"/>
      <c r="BS60" s="15" t="s">
        <v>4593</v>
      </c>
      <c r="DH60" s="15" t="s">
        <v>4597</v>
      </c>
      <c r="DI60" s="15" t="s">
        <v>4597</v>
      </c>
    </row>
    <row r="61" spans="1:113" s="15" customFormat="1" ht="12.75" x14ac:dyDescent="0.2">
      <c r="A61" s="15" t="s">
        <v>109</v>
      </c>
      <c r="B61" s="16" t="s">
        <v>493</v>
      </c>
      <c r="C61" s="15" t="s">
        <v>494</v>
      </c>
      <c r="D61" s="15" t="s">
        <v>1111</v>
      </c>
      <c r="E61" s="15" t="s">
        <v>113</v>
      </c>
      <c r="F61" s="15" t="s">
        <v>1111</v>
      </c>
      <c r="G61" s="15" t="s">
        <v>114</v>
      </c>
      <c r="H61" s="15" t="s">
        <v>1111</v>
      </c>
      <c r="J61" s="18" t="s">
        <v>115</v>
      </c>
      <c r="W61" s="15">
        <v>81</v>
      </c>
      <c r="X61" s="15">
        <v>56</v>
      </c>
      <c r="Y61" s="15" t="s">
        <v>495</v>
      </c>
      <c r="Z61" s="15" t="s">
        <v>496</v>
      </c>
      <c r="AA61" s="15" t="s">
        <v>495</v>
      </c>
      <c r="AB61" s="15" t="s">
        <v>1112</v>
      </c>
      <c r="AC61" s="15" t="s">
        <v>1113</v>
      </c>
      <c r="AD61" s="15" t="s">
        <v>1114</v>
      </c>
      <c r="AE61" s="15" t="s">
        <v>496</v>
      </c>
      <c r="AF61" s="15" t="s">
        <v>1114</v>
      </c>
      <c r="AG61" s="15" t="s">
        <v>1112</v>
      </c>
      <c r="AH61" s="15" t="s">
        <v>1115</v>
      </c>
      <c r="AL61" s="15" t="s">
        <v>1116</v>
      </c>
      <c r="AN61" s="15">
        <v>81</v>
      </c>
      <c r="AO61" s="15" t="s">
        <v>1117</v>
      </c>
      <c r="AQ61" s="15" t="s">
        <v>503</v>
      </c>
      <c r="AT61" s="15" t="s">
        <v>1118</v>
      </c>
      <c r="AU61" s="17" t="s">
        <v>1119</v>
      </c>
      <c r="AV61" s="17" t="s">
        <v>1119</v>
      </c>
      <c r="AW61" s="15" t="s">
        <v>1120</v>
      </c>
      <c r="AX61" s="15" t="s">
        <v>1121</v>
      </c>
      <c r="AY61" s="15">
        <f t="shared" si="1"/>
        <v>60</v>
      </c>
      <c r="AZ61" s="17" t="s">
        <v>785</v>
      </c>
      <c r="BA61" s="17" t="s">
        <v>507</v>
      </c>
      <c r="BB61" s="17" t="s">
        <v>877</v>
      </c>
      <c r="BC61" s="17" t="s">
        <v>490</v>
      </c>
      <c r="BJ61" s="17" t="s">
        <v>1122</v>
      </c>
      <c r="BN61" s="17" t="s">
        <v>511</v>
      </c>
      <c r="BP61" s="17" t="s">
        <v>140</v>
      </c>
      <c r="BS61" s="15" t="s">
        <v>1123</v>
      </c>
      <c r="DH61" s="15" t="s">
        <v>4597</v>
      </c>
      <c r="DI61" s="15" t="s">
        <v>4597</v>
      </c>
    </row>
    <row r="62" spans="1:113" s="15" customFormat="1" ht="12.75" x14ac:dyDescent="0.2">
      <c r="A62" s="15" t="s">
        <v>109</v>
      </c>
      <c r="B62" s="16" t="s">
        <v>493</v>
      </c>
      <c r="C62" s="15" t="s">
        <v>494</v>
      </c>
      <c r="D62" s="15" t="s">
        <v>1111</v>
      </c>
      <c r="E62" s="15" t="s">
        <v>113</v>
      </c>
      <c r="F62" s="15" t="s">
        <v>1111</v>
      </c>
      <c r="G62" s="15" t="s">
        <v>114</v>
      </c>
      <c r="H62" s="15" t="s">
        <v>1111</v>
      </c>
      <c r="J62" s="18" t="s">
        <v>115</v>
      </c>
      <c r="W62" s="15">
        <v>82</v>
      </c>
      <c r="X62" s="15">
        <v>57</v>
      </c>
      <c r="Y62" s="15" t="s">
        <v>495</v>
      </c>
      <c r="Z62" s="15" t="s">
        <v>496</v>
      </c>
      <c r="AA62" s="15" t="s">
        <v>495</v>
      </c>
      <c r="AB62" s="15" t="s">
        <v>1124</v>
      </c>
      <c r="AC62" s="15" t="s">
        <v>1125</v>
      </c>
      <c r="AD62" s="15" t="s">
        <v>1126</v>
      </c>
      <c r="AE62" s="15" t="s">
        <v>496</v>
      </c>
      <c r="AF62" s="15" t="s">
        <v>1126</v>
      </c>
      <c r="AG62" s="15" t="s">
        <v>1124</v>
      </c>
      <c r="AH62" s="15" t="s">
        <v>1127</v>
      </c>
      <c r="AL62" s="15" t="s">
        <v>1128</v>
      </c>
      <c r="AN62" s="15">
        <v>81</v>
      </c>
      <c r="AO62" s="15" t="s">
        <v>1129</v>
      </c>
      <c r="AQ62" s="15" t="s">
        <v>503</v>
      </c>
      <c r="AT62" s="15" t="s">
        <v>1130</v>
      </c>
      <c r="AU62" s="17" t="s">
        <v>1131</v>
      </c>
      <c r="AV62" s="17" t="s">
        <v>1131</v>
      </c>
      <c r="AW62" s="15" t="s">
        <v>1132</v>
      </c>
      <c r="AX62" s="15" t="s">
        <v>1133</v>
      </c>
      <c r="AY62" s="15">
        <f t="shared" si="1"/>
        <v>60</v>
      </c>
      <c r="AZ62" s="17" t="s">
        <v>785</v>
      </c>
      <c r="BA62" s="17" t="s">
        <v>507</v>
      </c>
      <c r="BB62" s="17" t="s">
        <v>877</v>
      </c>
      <c r="BC62" s="17" t="s">
        <v>170</v>
      </c>
      <c r="BJ62" s="17" t="s">
        <v>1134</v>
      </c>
      <c r="BN62" s="17" t="s">
        <v>511</v>
      </c>
      <c r="BP62" s="17" t="s">
        <v>140</v>
      </c>
      <c r="BS62" s="15" t="s">
        <v>1135</v>
      </c>
      <c r="DH62" s="15" t="s">
        <v>4597</v>
      </c>
      <c r="DI62" s="15" t="s">
        <v>4597</v>
      </c>
    </row>
    <row r="63" spans="1:113" s="15" customFormat="1" ht="12.75" x14ac:dyDescent="0.2">
      <c r="A63" s="15" t="s">
        <v>109</v>
      </c>
      <c r="B63" s="16" t="s">
        <v>493</v>
      </c>
      <c r="C63" s="15" t="s">
        <v>494</v>
      </c>
      <c r="D63" s="15" t="s">
        <v>1111</v>
      </c>
      <c r="E63" s="15" t="s">
        <v>113</v>
      </c>
      <c r="F63" s="15" t="s">
        <v>1111</v>
      </c>
      <c r="G63" s="15" t="s">
        <v>114</v>
      </c>
      <c r="H63" s="15" t="s">
        <v>1111</v>
      </c>
      <c r="J63" s="18" t="s">
        <v>115</v>
      </c>
      <c r="W63" s="15">
        <v>83</v>
      </c>
      <c r="X63" s="15">
        <v>58</v>
      </c>
      <c r="Y63" s="15" t="s">
        <v>495</v>
      </c>
      <c r="Z63" s="15" t="s">
        <v>496</v>
      </c>
      <c r="AA63" s="15" t="s">
        <v>495</v>
      </c>
      <c r="AB63" s="15" t="s">
        <v>1136</v>
      </c>
      <c r="AC63" s="15" t="s">
        <v>1137</v>
      </c>
      <c r="AD63" s="15" t="s">
        <v>1138</v>
      </c>
      <c r="AE63" s="15" t="s">
        <v>496</v>
      </c>
      <c r="AF63" s="15" t="s">
        <v>1138</v>
      </c>
      <c r="AG63" s="15" t="s">
        <v>1136</v>
      </c>
      <c r="AH63" s="15" t="s">
        <v>1139</v>
      </c>
      <c r="AL63" s="15" t="s">
        <v>1140</v>
      </c>
      <c r="AN63" s="15">
        <v>81</v>
      </c>
      <c r="AO63" s="15" t="s">
        <v>1141</v>
      </c>
      <c r="AQ63" s="15" t="s">
        <v>503</v>
      </c>
      <c r="AT63" s="15" t="s">
        <v>1142</v>
      </c>
      <c r="AU63" s="17" t="s">
        <v>1143</v>
      </c>
      <c r="AV63" s="17" t="s">
        <v>1143</v>
      </c>
      <c r="AW63" s="15" t="s">
        <v>1144</v>
      </c>
      <c r="AX63" s="15" t="s">
        <v>1145</v>
      </c>
      <c r="AY63" s="15">
        <f t="shared" si="1"/>
        <v>59</v>
      </c>
      <c r="AZ63" s="17" t="s">
        <v>785</v>
      </c>
      <c r="BA63" s="17" t="s">
        <v>507</v>
      </c>
      <c r="BB63" s="17" t="s">
        <v>877</v>
      </c>
      <c r="BC63" s="17" t="s">
        <v>1146</v>
      </c>
      <c r="BJ63" s="17" t="s">
        <v>1147</v>
      </c>
      <c r="BN63" s="17" t="s">
        <v>511</v>
      </c>
      <c r="BP63" s="17" t="s">
        <v>140</v>
      </c>
      <c r="BS63" s="15" t="s">
        <v>1148</v>
      </c>
      <c r="DH63" s="15" t="s">
        <v>4597</v>
      </c>
      <c r="DI63" s="15" t="s">
        <v>4597</v>
      </c>
    </row>
    <row r="64" spans="1:113" s="15" customFormat="1" ht="12.75" x14ac:dyDescent="0.2">
      <c r="A64" s="15" t="s">
        <v>109</v>
      </c>
      <c r="B64" s="16" t="s">
        <v>493</v>
      </c>
      <c r="C64" s="15" t="s">
        <v>494</v>
      </c>
      <c r="D64" s="15" t="s">
        <v>1111</v>
      </c>
      <c r="E64" s="15" t="s">
        <v>113</v>
      </c>
      <c r="F64" s="15" t="s">
        <v>1111</v>
      </c>
      <c r="G64" s="15" t="s">
        <v>114</v>
      </c>
      <c r="H64" s="15" t="s">
        <v>1111</v>
      </c>
      <c r="J64" s="18" t="s">
        <v>115</v>
      </c>
      <c r="W64" s="15">
        <v>84</v>
      </c>
      <c r="X64" s="15">
        <v>59</v>
      </c>
      <c r="Y64" s="15" t="s">
        <v>495</v>
      </c>
      <c r="Z64" s="15" t="s">
        <v>496</v>
      </c>
      <c r="AA64" s="15" t="s">
        <v>495</v>
      </c>
      <c r="AB64" s="15" t="s">
        <v>1149</v>
      </c>
      <c r="AC64" s="15" t="s">
        <v>1150</v>
      </c>
      <c r="AD64" s="15" t="s">
        <v>1151</v>
      </c>
      <c r="AE64" s="15" t="s">
        <v>496</v>
      </c>
      <c r="AF64" s="15" t="s">
        <v>1151</v>
      </c>
      <c r="AG64" s="15" t="s">
        <v>1149</v>
      </c>
      <c r="AH64" s="15" t="s">
        <v>1152</v>
      </c>
      <c r="AL64" s="15" t="s">
        <v>1153</v>
      </c>
      <c r="AN64" s="15">
        <v>81</v>
      </c>
      <c r="AO64" s="15" t="s">
        <v>1154</v>
      </c>
      <c r="AQ64" s="15" t="s">
        <v>503</v>
      </c>
      <c r="AT64" s="15" t="s">
        <v>1155</v>
      </c>
      <c r="AU64" s="17" t="s">
        <v>1156</v>
      </c>
      <c r="AV64" s="17" t="s">
        <v>1156</v>
      </c>
      <c r="AW64" s="15" t="s">
        <v>1157</v>
      </c>
      <c r="AX64" s="15" t="s">
        <v>1158</v>
      </c>
      <c r="AY64" s="15">
        <f t="shared" si="1"/>
        <v>59</v>
      </c>
      <c r="AZ64" s="17" t="s">
        <v>785</v>
      </c>
      <c r="BA64" s="17" t="s">
        <v>507</v>
      </c>
      <c r="BB64" s="17" t="s">
        <v>877</v>
      </c>
      <c r="BC64" s="17" t="s">
        <v>181</v>
      </c>
      <c r="BJ64" s="17" t="s">
        <v>1159</v>
      </c>
      <c r="BN64" s="17" t="s">
        <v>511</v>
      </c>
      <c r="BP64" s="17" t="s">
        <v>140</v>
      </c>
      <c r="BS64" s="15" t="s">
        <v>1160</v>
      </c>
      <c r="DH64" s="15" t="s">
        <v>4597</v>
      </c>
      <c r="DI64" s="15" t="s">
        <v>4597</v>
      </c>
    </row>
    <row r="65" spans="1:113" s="15" customFormat="1" ht="12.75" x14ac:dyDescent="0.2">
      <c r="A65" s="15" t="s">
        <v>109</v>
      </c>
      <c r="B65" s="16" t="s">
        <v>493</v>
      </c>
      <c r="C65" s="15" t="s">
        <v>494</v>
      </c>
      <c r="D65" s="15" t="s">
        <v>1111</v>
      </c>
      <c r="E65" s="15" t="s">
        <v>113</v>
      </c>
      <c r="F65" s="15" t="s">
        <v>1111</v>
      </c>
      <c r="G65" s="15" t="s">
        <v>114</v>
      </c>
      <c r="H65" s="15" t="s">
        <v>1111</v>
      </c>
      <c r="J65" s="18" t="s">
        <v>115</v>
      </c>
      <c r="W65" s="15">
        <v>85</v>
      </c>
      <c r="X65" s="15">
        <v>60</v>
      </c>
      <c r="Y65" s="15" t="s">
        <v>495</v>
      </c>
      <c r="Z65" s="15" t="s">
        <v>496</v>
      </c>
      <c r="AA65" s="15" t="s">
        <v>495</v>
      </c>
      <c r="AB65" s="15" t="s">
        <v>1161</v>
      </c>
      <c r="AC65" s="15" t="s">
        <v>1162</v>
      </c>
      <c r="AD65" s="15" t="s">
        <v>1163</v>
      </c>
      <c r="AE65" s="15" t="s">
        <v>496</v>
      </c>
      <c r="AF65" s="15" t="s">
        <v>1163</v>
      </c>
      <c r="AG65" s="15" t="s">
        <v>1161</v>
      </c>
      <c r="AH65" s="15" t="s">
        <v>1164</v>
      </c>
      <c r="AL65" s="15" t="s">
        <v>1165</v>
      </c>
      <c r="AN65" s="15">
        <v>81</v>
      </c>
      <c r="AO65" s="15" t="s">
        <v>1166</v>
      </c>
      <c r="AQ65" s="15" t="s">
        <v>264</v>
      </c>
      <c r="AR65" s="15" t="s">
        <v>1167</v>
      </c>
      <c r="AS65" s="15" t="s">
        <v>1168</v>
      </c>
      <c r="AT65" s="15" t="s">
        <v>1169</v>
      </c>
      <c r="AU65" s="17" t="s">
        <v>1170</v>
      </c>
      <c r="AV65" s="17" t="s">
        <v>1170</v>
      </c>
      <c r="AW65" s="15" t="s">
        <v>1171</v>
      </c>
      <c r="AX65" s="15" t="s">
        <v>1172</v>
      </c>
      <c r="AY65" s="15">
        <f t="shared" si="1"/>
        <v>59</v>
      </c>
      <c r="AZ65" s="17" t="s">
        <v>1173</v>
      </c>
      <c r="BJ65" s="17" t="s">
        <v>1174</v>
      </c>
      <c r="BN65" s="17" t="s">
        <v>511</v>
      </c>
      <c r="BP65" s="17" t="s">
        <v>140</v>
      </c>
      <c r="BS65" s="15" t="s">
        <v>1175</v>
      </c>
      <c r="DH65" s="15" t="s">
        <v>4597</v>
      </c>
      <c r="DI65" s="15" t="s">
        <v>4597</v>
      </c>
    </row>
    <row r="66" spans="1:113" s="15" customFormat="1" ht="12.75" x14ac:dyDescent="0.2">
      <c r="A66" s="15" t="s">
        <v>109</v>
      </c>
      <c r="B66" s="16" t="s">
        <v>493</v>
      </c>
      <c r="C66" s="15" t="s">
        <v>494</v>
      </c>
      <c r="D66" s="15" t="s">
        <v>1111</v>
      </c>
      <c r="E66" s="15" t="s">
        <v>113</v>
      </c>
      <c r="F66" s="15" t="s">
        <v>1111</v>
      </c>
      <c r="G66" s="15" t="s">
        <v>114</v>
      </c>
      <c r="H66" s="15" t="s">
        <v>1111</v>
      </c>
      <c r="J66" s="18" t="s">
        <v>115</v>
      </c>
      <c r="W66" s="15">
        <v>86</v>
      </c>
      <c r="X66" s="15">
        <v>61</v>
      </c>
      <c r="Y66" s="15" t="s">
        <v>495</v>
      </c>
      <c r="Z66" s="15" t="s">
        <v>496</v>
      </c>
      <c r="AA66" s="15" t="s">
        <v>495</v>
      </c>
      <c r="AB66" s="15" t="s">
        <v>1176</v>
      </c>
      <c r="AC66" s="15" t="s">
        <v>1177</v>
      </c>
      <c r="AD66" s="15" t="s">
        <v>1178</v>
      </c>
      <c r="AE66" s="15" t="s">
        <v>496</v>
      </c>
      <c r="AF66" s="15" t="s">
        <v>1178</v>
      </c>
      <c r="AG66" s="15" t="s">
        <v>1176</v>
      </c>
      <c r="AH66" s="15" t="s">
        <v>1179</v>
      </c>
      <c r="AL66" s="15" t="s">
        <v>1180</v>
      </c>
      <c r="AN66" s="15">
        <v>81</v>
      </c>
      <c r="AO66" s="15" t="s">
        <v>1181</v>
      </c>
      <c r="AQ66" s="15" t="s">
        <v>264</v>
      </c>
      <c r="AR66" s="15" t="s">
        <v>1167</v>
      </c>
      <c r="AS66" s="15" t="s">
        <v>1168</v>
      </c>
      <c r="AT66" s="15" t="s">
        <v>1182</v>
      </c>
      <c r="AU66" s="17" t="s">
        <v>1183</v>
      </c>
      <c r="AV66" s="17" t="s">
        <v>1183</v>
      </c>
      <c r="AW66" s="15" t="s">
        <v>1184</v>
      </c>
      <c r="AX66" s="15" t="s">
        <v>1185</v>
      </c>
      <c r="AY66" s="15">
        <f t="shared" ref="AY66:AY97" si="2">LEN(SUBSTITUTE(AX66, ", "," "))</f>
        <v>58</v>
      </c>
      <c r="AZ66" s="17" t="s">
        <v>1173</v>
      </c>
      <c r="BJ66" s="17" t="s">
        <v>1186</v>
      </c>
      <c r="BN66" s="17" t="s">
        <v>511</v>
      </c>
      <c r="BP66" s="17" t="s">
        <v>140</v>
      </c>
      <c r="BS66" s="15" t="s">
        <v>1187</v>
      </c>
      <c r="DH66" s="15" t="s">
        <v>4597</v>
      </c>
      <c r="DI66" s="15" t="s">
        <v>4597</v>
      </c>
    </row>
    <row r="67" spans="1:113" s="15" customFormat="1" ht="12.75" x14ac:dyDescent="0.2">
      <c r="A67" s="15" t="s">
        <v>109</v>
      </c>
      <c r="B67" s="16" t="s">
        <v>493</v>
      </c>
      <c r="C67" s="15" t="s">
        <v>494</v>
      </c>
      <c r="D67" s="15" t="s">
        <v>1111</v>
      </c>
      <c r="E67" s="15" t="s">
        <v>113</v>
      </c>
      <c r="F67" s="15" t="s">
        <v>1111</v>
      </c>
      <c r="G67" s="15" t="s">
        <v>114</v>
      </c>
      <c r="H67" s="15" t="s">
        <v>1111</v>
      </c>
      <c r="J67" s="18" t="s">
        <v>115</v>
      </c>
      <c r="W67" s="15">
        <v>87</v>
      </c>
      <c r="X67" s="15">
        <v>62</v>
      </c>
      <c r="Y67" s="15" t="s">
        <v>495</v>
      </c>
      <c r="Z67" s="15" t="s">
        <v>496</v>
      </c>
      <c r="AA67" s="15" t="s">
        <v>495</v>
      </c>
      <c r="AB67" s="15" t="s">
        <v>1188</v>
      </c>
      <c r="AC67" s="15" t="s">
        <v>1189</v>
      </c>
      <c r="AD67" s="15" t="s">
        <v>1190</v>
      </c>
      <c r="AE67" s="15" t="s">
        <v>496</v>
      </c>
      <c r="AF67" s="15" t="s">
        <v>1190</v>
      </c>
      <c r="AG67" s="15" t="s">
        <v>1188</v>
      </c>
      <c r="AH67" s="15" t="s">
        <v>1191</v>
      </c>
      <c r="AL67" s="15" t="s">
        <v>1192</v>
      </c>
      <c r="AN67" s="15">
        <v>81</v>
      </c>
      <c r="AO67" s="15" t="s">
        <v>1193</v>
      </c>
      <c r="AQ67" s="15" t="s">
        <v>264</v>
      </c>
      <c r="AR67" s="15" t="s">
        <v>1167</v>
      </c>
      <c r="AS67" s="15" t="s">
        <v>1168</v>
      </c>
      <c r="AT67" s="15" t="s">
        <v>1194</v>
      </c>
      <c r="AU67" s="17" t="s">
        <v>1195</v>
      </c>
      <c r="AV67" s="17" t="s">
        <v>1195</v>
      </c>
      <c r="AW67" s="15" t="s">
        <v>1196</v>
      </c>
      <c r="AX67" s="15" t="s">
        <v>1197</v>
      </c>
      <c r="AY67" s="15">
        <f t="shared" si="2"/>
        <v>60</v>
      </c>
      <c r="AZ67" s="17" t="s">
        <v>1173</v>
      </c>
      <c r="BJ67" s="17" t="s">
        <v>1198</v>
      </c>
      <c r="BN67" s="17" t="s">
        <v>138</v>
      </c>
      <c r="BP67" s="17" t="s">
        <v>140</v>
      </c>
      <c r="BS67" s="15" t="s">
        <v>1199</v>
      </c>
      <c r="DH67" s="15" t="s">
        <v>4597</v>
      </c>
      <c r="DI67" s="15" t="s">
        <v>4597</v>
      </c>
    </row>
    <row r="68" spans="1:113" s="15" customFormat="1" ht="12.75" x14ac:dyDescent="0.2">
      <c r="A68" s="15" t="s">
        <v>109</v>
      </c>
      <c r="B68" s="16" t="s">
        <v>493</v>
      </c>
      <c r="C68" s="15" t="s">
        <v>494</v>
      </c>
      <c r="D68" s="15" t="s">
        <v>1111</v>
      </c>
      <c r="E68" s="15" t="s">
        <v>113</v>
      </c>
      <c r="F68" s="15" t="s">
        <v>1111</v>
      </c>
      <c r="G68" s="15" t="s">
        <v>114</v>
      </c>
      <c r="H68" s="15" t="s">
        <v>1111</v>
      </c>
      <c r="J68" s="18" t="s">
        <v>115</v>
      </c>
      <c r="W68" s="15">
        <v>88</v>
      </c>
      <c r="X68" s="15">
        <v>63</v>
      </c>
      <c r="Y68" s="15" t="s">
        <v>495</v>
      </c>
      <c r="Z68" s="15" t="s">
        <v>496</v>
      </c>
      <c r="AA68" s="15" t="s">
        <v>495</v>
      </c>
      <c r="AB68" s="15" t="s">
        <v>1200</v>
      </c>
      <c r="AC68" s="15" t="s">
        <v>1201</v>
      </c>
      <c r="AD68" s="15" t="s">
        <v>1202</v>
      </c>
      <c r="AE68" s="15" t="s">
        <v>496</v>
      </c>
      <c r="AF68" s="15" t="s">
        <v>1202</v>
      </c>
      <c r="AG68" s="15" t="s">
        <v>1200</v>
      </c>
      <c r="AH68" s="15" t="s">
        <v>1203</v>
      </c>
      <c r="AL68" s="15" t="s">
        <v>1204</v>
      </c>
      <c r="AN68" s="15">
        <v>81</v>
      </c>
      <c r="AO68" s="15" t="s">
        <v>1205</v>
      </c>
      <c r="AQ68" s="15" t="s">
        <v>264</v>
      </c>
      <c r="AR68" s="15" t="s">
        <v>1167</v>
      </c>
      <c r="AS68" s="15" t="s">
        <v>1168</v>
      </c>
      <c r="AT68" s="15" t="s">
        <v>1206</v>
      </c>
      <c r="AU68" s="17" t="s">
        <v>1207</v>
      </c>
      <c r="AV68" s="17" t="s">
        <v>1207</v>
      </c>
      <c r="AW68" s="15" t="s">
        <v>1208</v>
      </c>
      <c r="AX68" s="15" t="s">
        <v>1209</v>
      </c>
      <c r="AY68" s="15">
        <f t="shared" si="2"/>
        <v>60</v>
      </c>
      <c r="AZ68" s="17" t="s">
        <v>1173</v>
      </c>
      <c r="BJ68" s="17" t="s">
        <v>1210</v>
      </c>
      <c r="BN68" s="17" t="s">
        <v>138</v>
      </c>
      <c r="BP68" s="17" t="s">
        <v>140</v>
      </c>
      <c r="BS68" s="15" t="s">
        <v>1211</v>
      </c>
      <c r="DH68" s="15" t="s">
        <v>4597</v>
      </c>
      <c r="DI68" s="15" t="s">
        <v>4597</v>
      </c>
    </row>
    <row r="69" spans="1:113" s="15" customFormat="1" ht="12.75" x14ac:dyDescent="0.2">
      <c r="A69" s="15" t="s">
        <v>109</v>
      </c>
      <c r="B69" s="16" t="s">
        <v>493</v>
      </c>
      <c r="C69" s="15" t="s">
        <v>494</v>
      </c>
      <c r="D69" s="15" t="s">
        <v>1111</v>
      </c>
      <c r="E69" s="15" t="s">
        <v>1212</v>
      </c>
      <c r="F69" s="15" t="s">
        <v>1111</v>
      </c>
      <c r="G69" s="15" t="s">
        <v>114</v>
      </c>
      <c r="H69" s="15" t="s">
        <v>1111</v>
      </c>
      <c r="J69" s="18" t="s">
        <v>115</v>
      </c>
      <c r="W69" s="15">
        <v>89</v>
      </c>
      <c r="X69" s="15">
        <v>64</v>
      </c>
      <c r="Y69" s="15" t="s">
        <v>495</v>
      </c>
      <c r="Z69" s="15" t="s">
        <v>496</v>
      </c>
      <c r="AA69" s="15" t="s">
        <v>495</v>
      </c>
      <c r="AB69" s="15" t="s">
        <v>1213</v>
      </c>
      <c r="AC69" s="15" t="s">
        <v>1214</v>
      </c>
      <c r="AD69" s="15" t="s">
        <v>1215</v>
      </c>
      <c r="AE69" s="15" t="s">
        <v>496</v>
      </c>
      <c r="AF69" s="15" t="s">
        <v>1215</v>
      </c>
      <c r="AG69" s="15" t="s">
        <v>1213</v>
      </c>
      <c r="AH69" s="15" t="s">
        <v>1216</v>
      </c>
      <c r="AL69" s="15" t="s">
        <v>1217</v>
      </c>
      <c r="AN69" s="15">
        <v>81</v>
      </c>
      <c r="AO69" s="15" t="s">
        <v>1218</v>
      </c>
      <c r="AQ69" s="15" t="s">
        <v>264</v>
      </c>
      <c r="AR69" s="15" t="s">
        <v>1167</v>
      </c>
      <c r="AS69" s="15" t="s">
        <v>1168</v>
      </c>
      <c r="AT69" s="15" t="s">
        <v>1217</v>
      </c>
      <c r="AU69" s="17" t="s">
        <v>1219</v>
      </c>
      <c r="AV69" s="17" t="s">
        <v>1219</v>
      </c>
      <c r="AW69" s="15" t="s">
        <v>1220</v>
      </c>
      <c r="AX69" s="15" t="s">
        <v>1221</v>
      </c>
      <c r="AY69" s="15">
        <f t="shared" si="2"/>
        <v>60</v>
      </c>
      <c r="AZ69" s="17" t="s">
        <v>1173</v>
      </c>
      <c r="BJ69" s="17" t="s">
        <v>1222</v>
      </c>
      <c r="BS69" s="15" t="s">
        <v>347</v>
      </c>
      <c r="DH69" s="15" t="s">
        <v>4597</v>
      </c>
      <c r="DI69" s="15" t="s">
        <v>4597</v>
      </c>
    </row>
    <row r="70" spans="1:113" s="15" customFormat="1" ht="12.75" x14ac:dyDescent="0.2">
      <c r="A70" s="15" t="s">
        <v>109</v>
      </c>
      <c r="B70" s="16" t="s">
        <v>493</v>
      </c>
      <c r="C70" s="15" t="s">
        <v>494</v>
      </c>
      <c r="D70" s="15" t="s">
        <v>1111</v>
      </c>
      <c r="E70" s="15" t="s">
        <v>113</v>
      </c>
      <c r="F70" s="15" t="s">
        <v>1111</v>
      </c>
      <c r="G70" s="15" t="s">
        <v>114</v>
      </c>
      <c r="H70" s="15" t="s">
        <v>1111</v>
      </c>
      <c r="J70" s="18" t="s">
        <v>115</v>
      </c>
      <c r="W70" s="15">
        <v>90</v>
      </c>
      <c r="X70" s="15">
        <v>65</v>
      </c>
      <c r="Y70" s="15" t="s">
        <v>495</v>
      </c>
      <c r="Z70" s="15" t="s">
        <v>496</v>
      </c>
      <c r="AA70" s="41" t="s">
        <v>495</v>
      </c>
      <c r="AB70" s="15" t="s">
        <v>1223</v>
      </c>
      <c r="AC70" s="15" t="s">
        <v>1224</v>
      </c>
      <c r="AD70" s="15" t="s">
        <v>1225</v>
      </c>
      <c r="AE70" s="15" t="s">
        <v>496</v>
      </c>
      <c r="AF70" s="15" t="s">
        <v>1225</v>
      </c>
      <c r="AG70" s="15" t="s">
        <v>1223</v>
      </c>
      <c r="AH70" s="15" t="s">
        <v>1226</v>
      </c>
      <c r="AL70" s="15" t="s">
        <v>1227</v>
      </c>
      <c r="AN70" s="15">
        <v>81</v>
      </c>
      <c r="AO70" s="15" t="s">
        <v>1228</v>
      </c>
      <c r="AQ70" s="15" t="s">
        <v>264</v>
      </c>
      <c r="AR70" s="15" t="s">
        <v>1167</v>
      </c>
      <c r="AS70" s="15" t="s">
        <v>1168</v>
      </c>
      <c r="AT70" s="15" t="s">
        <v>1229</v>
      </c>
      <c r="AU70" s="17" t="s">
        <v>1230</v>
      </c>
      <c r="AV70" s="17" t="s">
        <v>1230</v>
      </c>
      <c r="AW70" s="15" t="s">
        <v>1231</v>
      </c>
      <c r="AX70" s="15" t="s">
        <v>1232</v>
      </c>
      <c r="AY70" s="15">
        <f t="shared" si="2"/>
        <v>59</v>
      </c>
      <c r="AZ70" s="17" t="s">
        <v>1173</v>
      </c>
      <c r="BJ70" s="17" t="s">
        <v>1233</v>
      </c>
      <c r="BN70" s="17" t="s">
        <v>511</v>
      </c>
      <c r="BP70" s="17" t="s">
        <v>140</v>
      </c>
      <c r="BS70" s="15" t="s">
        <v>1234</v>
      </c>
      <c r="DH70" s="15" t="s">
        <v>4597</v>
      </c>
      <c r="DI70" s="15" t="s">
        <v>4597</v>
      </c>
    </row>
    <row r="71" spans="1:113" s="15" customFormat="1" ht="12.75" x14ac:dyDescent="0.2">
      <c r="A71" s="15" t="s">
        <v>109</v>
      </c>
      <c r="B71" s="16" t="s">
        <v>493</v>
      </c>
      <c r="C71" s="15" t="s">
        <v>494</v>
      </c>
      <c r="D71" s="15" t="s">
        <v>1111</v>
      </c>
      <c r="E71" s="15" t="s">
        <v>113</v>
      </c>
      <c r="F71" s="15" t="s">
        <v>1111</v>
      </c>
      <c r="G71" s="15" t="s">
        <v>114</v>
      </c>
      <c r="H71" s="15" t="s">
        <v>1111</v>
      </c>
      <c r="J71" s="18" t="s">
        <v>115</v>
      </c>
      <c r="W71" s="15">
        <v>91</v>
      </c>
      <c r="X71" s="15">
        <v>66</v>
      </c>
      <c r="Y71" s="15" t="s">
        <v>495</v>
      </c>
      <c r="Z71" s="15" t="s">
        <v>496</v>
      </c>
      <c r="AA71" s="41" t="s">
        <v>495</v>
      </c>
      <c r="AB71" s="15" t="s">
        <v>1235</v>
      </c>
      <c r="AC71" s="15" t="s">
        <v>1236</v>
      </c>
      <c r="AD71" s="15" t="s">
        <v>1237</v>
      </c>
      <c r="AE71" s="15" t="s">
        <v>496</v>
      </c>
      <c r="AF71" s="15" t="s">
        <v>1237</v>
      </c>
      <c r="AG71" s="15" t="s">
        <v>1235</v>
      </c>
      <c r="AH71" s="15" t="s">
        <v>1238</v>
      </c>
      <c r="AL71" s="15" t="s">
        <v>1239</v>
      </c>
      <c r="AN71" s="15">
        <v>81</v>
      </c>
      <c r="AO71" s="15" t="s">
        <v>1240</v>
      </c>
      <c r="AQ71" s="15" t="s">
        <v>503</v>
      </c>
      <c r="AT71" s="15" t="s">
        <v>1241</v>
      </c>
      <c r="AU71" s="17" t="s">
        <v>1242</v>
      </c>
      <c r="AV71" s="17" t="s">
        <v>1242</v>
      </c>
      <c r="AW71" s="15" t="s">
        <v>1243</v>
      </c>
      <c r="AX71" s="15" t="s">
        <v>1244</v>
      </c>
      <c r="AY71" s="15">
        <f t="shared" si="2"/>
        <v>46</v>
      </c>
      <c r="AZ71" s="17" t="s">
        <v>785</v>
      </c>
      <c r="BA71" s="17" t="s">
        <v>507</v>
      </c>
      <c r="BB71" s="17" t="s">
        <v>1245</v>
      </c>
      <c r="BE71" s="17" t="s">
        <v>541</v>
      </c>
      <c r="BJ71" s="17" t="s">
        <v>1246</v>
      </c>
      <c r="BS71" s="15" t="s">
        <v>1247</v>
      </c>
      <c r="DH71" s="15" t="s">
        <v>4597</v>
      </c>
      <c r="DI71" s="15" t="s">
        <v>4597</v>
      </c>
    </row>
    <row r="72" spans="1:113" s="15" customFormat="1" ht="12.75" x14ac:dyDescent="0.2">
      <c r="A72" s="15" t="s">
        <v>109</v>
      </c>
      <c r="B72" s="16" t="s">
        <v>493</v>
      </c>
      <c r="C72" s="15" t="s">
        <v>494</v>
      </c>
      <c r="D72" s="15" t="s">
        <v>1111</v>
      </c>
      <c r="E72" s="15" t="s">
        <v>113</v>
      </c>
      <c r="F72" s="15" t="s">
        <v>1111</v>
      </c>
      <c r="G72" s="15" t="s">
        <v>114</v>
      </c>
      <c r="H72" s="15" t="s">
        <v>1111</v>
      </c>
      <c r="J72" s="18" t="s">
        <v>115</v>
      </c>
      <c r="W72" s="15">
        <v>92</v>
      </c>
      <c r="X72" s="15">
        <v>67</v>
      </c>
      <c r="Y72" s="15" t="s">
        <v>495</v>
      </c>
      <c r="Z72" s="15" t="s">
        <v>496</v>
      </c>
      <c r="AA72" s="41" t="s">
        <v>495</v>
      </c>
      <c r="AB72" s="15" t="s">
        <v>1248</v>
      </c>
      <c r="AC72" s="15" t="s">
        <v>1249</v>
      </c>
      <c r="AD72" s="15" t="s">
        <v>1250</v>
      </c>
      <c r="AE72" s="15" t="s">
        <v>496</v>
      </c>
      <c r="AF72" s="15" t="s">
        <v>1250</v>
      </c>
      <c r="AG72" s="15" t="s">
        <v>1248</v>
      </c>
      <c r="AH72" s="15" t="s">
        <v>1251</v>
      </c>
      <c r="AL72" s="15" t="s">
        <v>1252</v>
      </c>
      <c r="AN72" s="15">
        <v>81</v>
      </c>
      <c r="AO72" s="15" t="s">
        <v>1253</v>
      </c>
      <c r="AQ72" s="15" t="s">
        <v>1254</v>
      </c>
      <c r="AT72" s="15" t="s">
        <v>1255</v>
      </c>
      <c r="AU72" s="17" t="s">
        <v>1256</v>
      </c>
      <c r="AV72" s="17" t="s">
        <v>1256</v>
      </c>
      <c r="AW72" s="15" t="s">
        <v>1257</v>
      </c>
      <c r="AX72" s="15" t="s">
        <v>1258</v>
      </c>
      <c r="AY72" s="15">
        <f t="shared" si="2"/>
        <v>60</v>
      </c>
      <c r="AZ72" s="17" t="s">
        <v>253</v>
      </c>
      <c r="BA72" s="17" t="s">
        <v>1259</v>
      </c>
      <c r="BB72" s="17" t="s">
        <v>1260</v>
      </c>
      <c r="BE72" s="17" t="s">
        <v>1261</v>
      </c>
      <c r="BJ72" s="17" t="s">
        <v>1262</v>
      </c>
      <c r="BK72" s="17" t="s">
        <v>1040</v>
      </c>
      <c r="BS72" s="15" t="s">
        <v>855</v>
      </c>
      <c r="DH72" s="15" t="s">
        <v>4597</v>
      </c>
      <c r="DI72" s="15" t="s">
        <v>4597</v>
      </c>
    </row>
    <row r="73" spans="1:113" s="15" customFormat="1" ht="12.75" x14ac:dyDescent="0.2">
      <c r="A73" s="15" t="s">
        <v>109</v>
      </c>
      <c r="B73" s="16" t="s">
        <v>493</v>
      </c>
      <c r="C73" s="15" t="s">
        <v>494</v>
      </c>
      <c r="D73" s="15" t="s">
        <v>1111</v>
      </c>
      <c r="E73" s="15" t="s">
        <v>113</v>
      </c>
      <c r="F73" s="15" t="s">
        <v>1111</v>
      </c>
      <c r="G73" s="15" t="s">
        <v>114</v>
      </c>
      <c r="H73" s="15" t="s">
        <v>1111</v>
      </c>
      <c r="J73" s="18" t="s">
        <v>115</v>
      </c>
      <c r="W73" s="15">
        <v>93</v>
      </c>
      <c r="X73" s="15">
        <v>68</v>
      </c>
      <c r="Y73" s="15" t="s">
        <v>495</v>
      </c>
      <c r="Z73" s="15" t="s">
        <v>496</v>
      </c>
      <c r="AA73" s="41" t="s">
        <v>495</v>
      </c>
      <c r="AB73" s="15" t="s">
        <v>1263</v>
      </c>
      <c r="AC73" s="15" t="s">
        <v>1264</v>
      </c>
      <c r="AD73" s="15" t="s">
        <v>1265</v>
      </c>
      <c r="AE73" s="15" t="s">
        <v>496</v>
      </c>
      <c r="AF73" s="15" t="s">
        <v>1265</v>
      </c>
      <c r="AG73" s="15" t="s">
        <v>1263</v>
      </c>
      <c r="AH73" s="15" t="s">
        <v>1266</v>
      </c>
      <c r="AL73" s="15" t="s">
        <v>1267</v>
      </c>
      <c r="AN73" s="15">
        <v>81</v>
      </c>
      <c r="AO73" s="15" t="s">
        <v>1268</v>
      </c>
      <c r="AQ73" s="15" t="s">
        <v>1254</v>
      </c>
      <c r="AT73" s="15" t="s">
        <v>1269</v>
      </c>
      <c r="AU73" s="17" t="s">
        <v>1270</v>
      </c>
      <c r="AV73" s="17" t="s">
        <v>1270</v>
      </c>
      <c r="AW73" s="15" t="s">
        <v>1271</v>
      </c>
      <c r="AX73" s="15" t="s">
        <v>1272</v>
      </c>
      <c r="AY73" s="15">
        <f t="shared" si="2"/>
        <v>60</v>
      </c>
      <c r="AZ73" s="17" t="s">
        <v>253</v>
      </c>
      <c r="BA73" s="17" t="s">
        <v>1259</v>
      </c>
      <c r="BE73" s="17" t="s">
        <v>1273</v>
      </c>
      <c r="BJ73" s="17" t="s">
        <v>1274</v>
      </c>
      <c r="BK73" s="17" t="s">
        <v>312</v>
      </c>
      <c r="BR73" s="17" t="s">
        <v>1275</v>
      </c>
      <c r="BS73" s="15" t="s">
        <v>1276</v>
      </c>
      <c r="DH73" s="15" t="s">
        <v>4597</v>
      </c>
      <c r="DI73" s="15" t="s">
        <v>4597</v>
      </c>
    </row>
    <row r="74" spans="1:113" s="15" customFormat="1" ht="12.75" x14ac:dyDescent="0.2">
      <c r="A74" s="15" t="s">
        <v>109</v>
      </c>
      <c r="B74" s="16" t="s">
        <v>493</v>
      </c>
      <c r="C74" s="15" t="s">
        <v>494</v>
      </c>
      <c r="D74" s="15" t="s">
        <v>1111</v>
      </c>
      <c r="E74" s="15" t="s">
        <v>1212</v>
      </c>
      <c r="F74" s="15" t="s">
        <v>1111</v>
      </c>
      <c r="G74" s="15" t="s">
        <v>114</v>
      </c>
      <c r="H74" s="15" t="s">
        <v>1111</v>
      </c>
      <c r="J74" s="18" t="s">
        <v>115</v>
      </c>
      <c r="W74" s="15">
        <v>94</v>
      </c>
      <c r="X74" s="15">
        <v>69</v>
      </c>
      <c r="Y74" s="15" t="s">
        <v>495</v>
      </c>
      <c r="Z74" s="15" t="s">
        <v>496</v>
      </c>
      <c r="AA74" s="41" t="s">
        <v>495</v>
      </c>
      <c r="AB74" s="15" t="s">
        <v>1277</v>
      </c>
      <c r="AC74" s="15" t="s">
        <v>1278</v>
      </c>
      <c r="AD74" s="15" t="s">
        <v>1279</v>
      </c>
      <c r="AE74" s="15" t="s">
        <v>496</v>
      </c>
      <c r="AF74" s="15" t="s">
        <v>1279</v>
      </c>
      <c r="AG74" s="15" t="s">
        <v>1277</v>
      </c>
      <c r="AH74" s="15" t="s">
        <v>1280</v>
      </c>
      <c r="AL74" s="15" t="s">
        <v>1281</v>
      </c>
      <c r="AN74" s="15">
        <v>81</v>
      </c>
      <c r="AO74" s="15" t="s">
        <v>1282</v>
      </c>
      <c r="AQ74" s="15" t="s">
        <v>1254</v>
      </c>
      <c r="AT74" s="15" t="s">
        <v>1281</v>
      </c>
      <c r="AU74" s="17" t="s">
        <v>1283</v>
      </c>
      <c r="AV74" s="17" t="s">
        <v>1283</v>
      </c>
      <c r="AW74" s="15" t="s">
        <v>1284</v>
      </c>
      <c r="AX74" s="15" t="s">
        <v>1285</v>
      </c>
      <c r="AY74" s="15">
        <f t="shared" si="2"/>
        <v>57</v>
      </c>
      <c r="AZ74" s="17" t="s">
        <v>253</v>
      </c>
      <c r="BA74" s="17" t="s">
        <v>1259</v>
      </c>
      <c r="BE74" s="17" t="s">
        <v>821</v>
      </c>
      <c r="BJ74" s="17" t="s">
        <v>1286</v>
      </c>
      <c r="BK74" s="17" t="s">
        <v>312</v>
      </c>
      <c r="BS74" s="15" t="s">
        <v>347</v>
      </c>
      <c r="DH74" s="15" t="s">
        <v>4597</v>
      </c>
      <c r="DI74" s="15" t="s">
        <v>4597</v>
      </c>
    </row>
    <row r="75" spans="1:113" s="15" customFormat="1" ht="12.75" x14ac:dyDescent="0.2">
      <c r="A75" s="15" t="s">
        <v>109</v>
      </c>
      <c r="B75" s="16" t="s">
        <v>493</v>
      </c>
      <c r="C75" s="15" t="s">
        <v>494</v>
      </c>
      <c r="D75" s="15" t="s">
        <v>1111</v>
      </c>
      <c r="E75" s="15" t="s">
        <v>113</v>
      </c>
      <c r="F75" s="15" t="s">
        <v>1111</v>
      </c>
      <c r="G75" s="15" t="s">
        <v>114</v>
      </c>
      <c r="H75" s="15" t="s">
        <v>1111</v>
      </c>
      <c r="J75" s="18" t="s">
        <v>115</v>
      </c>
      <c r="W75" s="15">
        <v>95</v>
      </c>
      <c r="X75" s="15">
        <v>70</v>
      </c>
      <c r="Y75" s="15" t="s">
        <v>495</v>
      </c>
      <c r="Z75" s="15" t="s">
        <v>496</v>
      </c>
      <c r="AA75" s="41" t="s">
        <v>495</v>
      </c>
      <c r="AB75" s="15" t="s">
        <v>1287</v>
      </c>
      <c r="AC75" s="15" t="s">
        <v>1288</v>
      </c>
      <c r="AD75" s="15" t="s">
        <v>1289</v>
      </c>
      <c r="AE75" s="15" t="s">
        <v>496</v>
      </c>
      <c r="AF75" s="15" t="s">
        <v>1289</v>
      </c>
      <c r="AG75" s="15" t="s">
        <v>1287</v>
      </c>
      <c r="AH75" s="15" t="s">
        <v>1290</v>
      </c>
      <c r="AL75" s="15" t="s">
        <v>1291</v>
      </c>
      <c r="AN75" s="15">
        <v>81</v>
      </c>
      <c r="AO75" s="15" t="s">
        <v>1292</v>
      </c>
      <c r="AQ75" s="15" t="s">
        <v>1254</v>
      </c>
      <c r="AT75" s="15" t="s">
        <v>1293</v>
      </c>
      <c r="AU75" s="17" t="s">
        <v>1294</v>
      </c>
      <c r="AV75" s="17" t="s">
        <v>1294</v>
      </c>
      <c r="AW75" s="15" t="s">
        <v>1295</v>
      </c>
      <c r="AX75" s="15" t="s">
        <v>1296</v>
      </c>
      <c r="AY75" s="15">
        <f t="shared" si="2"/>
        <v>60</v>
      </c>
      <c r="AZ75" s="17" t="s">
        <v>253</v>
      </c>
      <c r="BA75" s="17" t="s">
        <v>1259</v>
      </c>
      <c r="BE75" s="17" t="s">
        <v>1297</v>
      </c>
      <c r="BJ75" s="17" t="s">
        <v>1298</v>
      </c>
      <c r="BK75" s="17" t="s">
        <v>312</v>
      </c>
      <c r="BS75" s="15" t="s">
        <v>1276</v>
      </c>
      <c r="DH75" s="15" t="s">
        <v>4597</v>
      </c>
      <c r="DI75" s="15" t="s">
        <v>4597</v>
      </c>
    </row>
    <row r="76" spans="1:113" s="15" customFormat="1" ht="12.75" x14ac:dyDescent="0.2">
      <c r="A76" s="15" t="s">
        <v>109</v>
      </c>
      <c r="B76" s="16" t="s">
        <v>493</v>
      </c>
      <c r="C76" s="15" t="s">
        <v>494</v>
      </c>
      <c r="D76" s="15" t="s">
        <v>1111</v>
      </c>
      <c r="E76" s="15" t="s">
        <v>1212</v>
      </c>
      <c r="F76" s="15" t="s">
        <v>1111</v>
      </c>
      <c r="G76" s="15" t="s">
        <v>114</v>
      </c>
      <c r="H76" s="15" t="s">
        <v>1111</v>
      </c>
      <c r="J76" s="18" t="s">
        <v>115</v>
      </c>
      <c r="W76" s="15">
        <v>96</v>
      </c>
      <c r="X76" s="15">
        <v>71</v>
      </c>
      <c r="Y76" s="15" t="s">
        <v>495</v>
      </c>
      <c r="Z76" s="15" t="s">
        <v>496</v>
      </c>
      <c r="AA76" s="41" t="s">
        <v>495</v>
      </c>
      <c r="AB76" s="15" t="s">
        <v>1299</v>
      </c>
      <c r="AC76" s="15" t="s">
        <v>1300</v>
      </c>
      <c r="AD76" s="15" t="s">
        <v>1301</v>
      </c>
      <c r="AE76" s="15" t="s">
        <v>496</v>
      </c>
      <c r="AF76" s="15" t="s">
        <v>1301</v>
      </c>
      <c r="AG76" s="15" t="s">
        <v>1299</v>
      </c>
      <c r="AH76" s="15" t="s">
        <v>1302</v>
      </c>
      <c r="AL76" s="15" t="s">
        <v>1303</v>
      </c>
      <c r="AN76" s="15">
        <v>81</v>
      </c>
      <c r="AO76" s="15" t="s">
        <v>1304</v>
      </c>
      <c r="AQ76" s="15" t="s">
        <v>1254</v>
      </c>
      <c r="AT76" s="15" t="s">
        <v>1303</v>
      </c>
      <c r="AU76" s="17" t="s">
        <v>1305</v>
      </c>
      <c r="AV76" s="17" t="s">
        <v>1305</v>
      </c>
      <c r="AW76" s="15" t="s">
        <v>1306</v>
      </c>
      <c r="AX76" s="15" t="s">
        <v>1307</v>
      </c>
      <c r="AY76" s="15">
        <f t="shared" si="2"/>
        <v>57</v>
      </c>
      <c r="AZ76" s="17" t="s">
        <v>253</v>
      </c>
      <c r="BA76" s="17" t="s">
        <v>1259</v>
      </c>
      <c r="BE76" s="17" t="s">
        <v>1308</v>
      </c>
      <c r="BJ76" s="17" t="s">
        <v>1309</v>
      </c>
      <c r="BK76" s="17" t="s">
        <v>312</v>
      </c>
      <c r="BS76" s="15" t="s">
        <v>347</v>
      </c>
      <c r="DH76" s="15" t="s">
        <v>4597</v>
      </c>
      <c r="DI76" s="15" t="s">
        <v>4597</v>
      </c>
    </row>
    <row r="77" spans="1:113" s="15" customFormat="1" ht="12.75" x14ac:dyDescent="0.2">
      <c r="A77" s="15" t="s">
        <v>109</v>
      </c>
      <c r="B77" s="16" t="s">
        <v>493</v>
      </c>
      <c r="C77" s="15" t="s">
        <v>494</v>
      </c>
      <c r="D77" s="15" t="s">
        <v>1111</v>
      </c>
      <c r="E77" s="15" t="s">
        <v>113</v>
      </c>
      <c r="F77" s="15" t="s">
        <v>1111</v>
      </c>
      <c r="G77" s="15" t="s">
        <v>114</v>
      </c>
      <c r="H77" s="15" t="s">
        <v>1111</v>
      </c>
      <c r="J77" s="18" t="s">
        <v>115</v>
      </c>
      <c r="W77" s="15">
        <v>97</v>
      </c>
      <c r="X77" s="15">
        <v>72</v>
      </c>
      <c r="Y77" s="15" t="s">
        <v>495</v>
      </c>
      <c r="Z77" s="15" t="s">
        <v>496</v>
      </c>
      <c r="AA77" s="41" t="s">
        <v>495</v>
      </c>
      <c r="AB77" s="15" t="s">
        <v>1310</v>
      </c>
      <c r="AC77" s="15" t="s">
        <v>1311</v>
      </c>
      <c r="AD77" s="15" t="s">
        <v>1312</v>
      </c>
      <c r="AE77" s="15" t="s">
        <v>496</v>
      </c>
      <c r="AF77" s="15" t="s">
        <v>1312</v>
      </c>
      <c r="AG77" s="15" t="s">
        <v>1310</v>
      </c>
      <c r="AH77" s="15" t="s">
        <v>1313</v>
      </c>
      <c r="AL77" s="15" t="s">
        <v>1314</v>
      </c>
      <c r="AN77" s="15">
        <v>81</v>
      </c>
      <c r="AO77" s="15" t="s">
        <v>1315</v>
      </c>
      <c r="AQ77" s="15" t="s">
        <v>1316</v>
      </c>
      <c r="AT77" s="15" t="s">
        <v>1317</v>
      </c>
      <c r="AU77" s="17" t="s">
        <v>1318</v>
      </c>
      <c r="AV77" s="17" t="s">
        <v>1318</v>
      </c>
      <c r="AW77" s="15" t="s">
        <v>1319</v>
      </c>
      <c r="AX77" s="15" t="s">
        <v>1320</v>
      </c>
      <c r="AY77" s="15">
        <f t="shared" si="2"/>
        <v>57</v>
      </c>
      <c r="AZ77" s="17" t="s">
        <v>1321</v>
      </c>
      <c r="BA77" s="17" t="s">
        <v>1322</v>
      </c>
      <c r="BJ77" s="17" t="s">
        <v>1323</v>
      </c>
      <c r="BN77" s="17" t="s">
        <v>138</v>
      </c>
      <c r="BP77" s="17" t="s">
        <v>140</v>
      </c>
      <c r="BS77" s="15" t="s">
        <v>1324</v>
      </c>
      <c r="DH77" s="15" t="s">
        <v>4597</v>
      </c>
      <c r="DI77" s="15" t="s">
        <v>4597</v>
      </c>
    </row>
    <row r="78" spans="1:113" s="15" customFormat="1" ht="12.75" x14ac:dyDescent="0.2">
      <c r="A78" s="15" t="s">
        <v>109</v>
      </c>
      <c r="B78" s="16" t="s">
        <v>493</v>
      </c>
      <c r="C78" s="15" t="s">
        <v>494</v>
      </c>
      <c r="D78" s="15" t="s">
        <v>1111</v>
      </c>
      <c r="E78" s="15" t="s">
        <v>113</v>
      </c>
      <c r="F78" s="15" t="s">
        <v>1111</v>
      </c>
      <c r="G78" s="15" t="s">
        <v>114</v>
      </c>
      <c r="H78" s="15" t="s">
        <v>1111</v>
      </c>
      <c r="J78" s="18" t="s">
        <v>115</v>
      </c>
      <c r="W78" s="15">
        <v>98</v>
      </c>
      <c r="X78" s="15">
        <v>73</v>
      </c>
      <c r="Y78" s="15" t="s">
        <v>495</v>
      </c>
      <c r="Z78" s="15" t="s">
        <v>496</v>
      </c>
      <c r="AA78" s="41" t="s">
        <v>495</v>
      </c>
      <c r="AB78" s="15" t="s">
        <v>1325</v>
      </c>
      <c r="AC78" s="15" t="s">
        <v>1326</v>
      </c>
      <c r="AD78" s="15" t="s">
        <v>1327</v>
      </c>
      <c r="AE78" s="15" t="s">
        <v>496</v>
      </c>
      <c r="AF78" s="15" t="s">
        <v>1327</v>
      </c>
      <c r="AG78" s="15" t="s">
        <v>1325</v>
      </c>
      <c r="AH78" s="15" t="s">
        <v>1328</v>
      </c>
      <c r="AL78" s="15" t="s">
        <v>1329</v>
      </c>
      <c r="AN78" s="15">
        <v>81</v>
      </c>
      <c r="AO78" s="15" t="s">
        <v>1330</v>
      </c>
      <c r="AQ78" s="15" t="s">
        <v>1316</v>
      </c>
      <c r="AT78" s="15" t="s">
        <v>1331</v>
      </c>
      <c r="AU78" s="17" t="s">
        <v>1332</v>
      </c>
      <c r="AV78" s="17" t="s">
        <v>1332</v>
      </c>
      <c r="AW78" s="15" t="s">
        <v>1333</v>
      </c>
      <c r="AX78" s="15" t="s">
        <v>1334</v>
      </c>
      <c r="AY78" s="15">
        <f t="shared" si="2"/>
        <v>59</v>
      </c>
      <c r="AZ78" s="17" t="s">
        <v>1321</v>
      </c>
      <c r="BA78" s="17" t="s">
        <v>1322</v>
      </c>
      <c r="BJ78" s="17" t="s">
        <v>1335</v>
      </c>
      <c r="BN78" s="17" t="s">
        <v>138</v>
      </c>
      <c r="BP78" s="17" t="s">
        <v>140</v>
      </c>
      <c r="BS78" s="15" t="s">
        <v>1336</v>
      </c>
      <c r="DH78" s="15" t="s">
        <v>4597</v>
      </c>
      <c r="DI78" s="15" t="s">
        <v>4597</v>
      </c>
    </row>
    <row r="79" spans="1:113" s="15" customFormat="1" ht="12.75" x14ac:dyDescent="0.2">
      <c r="A79" s="15" t="s">
        <v>109</v>
      </c>
      <c r="B79" s="16" t="s">
        <v>493</v>
      </c>
      <c r="C79" s="15" t="s">
        <v>494</v>
      </c>
      <c r="D79" s="15" t="s">
        <v>1111</v>
      </c>
      <c r="E79" s="15" t="s">
        <v>1337</v>
      </c>
      <c r="F79" s="15" t="s">
        <v>1111</v>
      </c>
      <c r="G79" s="15" t="s">
        <v>114</v>
      </c>
      <c r="H79" s="15" t="s">
        <v>1111</v>
      </c>
      <c r="J79" s="18" t="s">
        <v>115</v>
      </c>
      <c r="W79" s="15">
        <v>99</v>
      </c>
      <c r="X79" s="15">
        <v>74</v>
      </c>
      <c r="Y79" s="15" t="s">
        <v>495</v>
      </c>
      <c r="Z79" s="15" t="s">
        <v>496</v>
      </c>
      <c r="AA79" s="41" t="s">
        <v>495</v>
      </c>
      <c r="AB79" s="15" t="s">
        <v>1338</v>
      </c>
      <c r="AC79" s="15" t="s">
        <v>1339</v>
      </c>
      <c r="AD79" s="15" t="s">
        <v>1340</v>
      </c>
      <c r="AE79" s="15" t="s">
        <v>496</v>
      </c>
      <c r="AF79" s="15" t="s">
        <v>1340</v>
      </c>
      <c r="AG79" s="15" t="s">
        <v>1338</v>
      </c>
      <c r="AH79" s="15" t="s">
        <v>1341</v>
      </c>
      <c r="AL79" s="15" t="s">
        <v>1342</v>
      </c>
      <c r="AN79" s="15">
        <v>81</v>
      </c>
      <c r="AO79" s="15" t="s">
        <v>1343</v>
      </c>
      <c r="AQ79" s="15" t="s">
        <v>503</v>
      </c>
      <c r="AT79" s="15" t="s">
        <v>1344</v>
      </c>
      <c r="AU79" s="17" t="s">
        <v>1345</v>
      </c>
      <c r="AV79" s="17" t="s">
        <v>1345</v>
      </c>
      <c r="AW79" s="15" t="s">
        <v>1346</v>
      </c>
      <c r="AX79" s="15" t="s">
        <v>1347</v>
      </c>
      <c r="AY79" s="15">
        <f t="shared" si="2"/>
        <v>59</v>
      </c>
      <c r="AZ79" s="17" t="s">
        <v>785</v>
      </c>
      <c r="BA79" s="17" t="s">
        <v>507</v>
      </c>
      <c r="BB79" s="17" t="s">
        <v>1348</v>
      </c>
      <c r="BE79" s="17" t="s">
        <v>1349</v>
      </c>
      <c r="BF79" s="17" t="s">
        <v>1350</v>
      </c>
      <c r="BJ79" s="17" t="s">
        <v>1351</v>
      </c>
      <c r="BN79" s="17" t="s">
        <v>511</v>
      </c>
      <c r="BP79" s="17" t="s">
        <v>140</v>
      </c>
      <c r="BQ79" s="17" t="s">
        <v>258</v>
      </c>
      <c r="BS79" s="15" t="s">
        <v>1352</v>
      </c>
      <c r="DH79" s="15" t="s">
        <v>4597</v>
      </c>
      <c r="DI79" s="15" t="s">
        <v>4597</v>
      </c>
    </row>
    <row r="80" spans="1:113" s="15" customFormat="1" ht="12.75" x14ac:dyDescent="0.2">
      <c r="A80" s="15" t="s">
        <v>109</v>
      </c>
      <c r="B80" s="16" t="s">
        <v>493</v>
      </c>
      <c r="C80" s="15" t="s">
        <v>494</v>
      </c>
      <c r="D80" s="15" t="s">
        <v>1111</v>
      </c>
      <c r="E80" s="15" t="s">
        <v>1337</v>
      </c>
      <c r="F80" s="15" t="s">
        <v>1111</v>
      </c>
      <c r="G80" s="15" t="s">
        <v>114</v>
      </c>
      <c r="H80" s="15" t="s">
        <v>1111</v>
      </c>
      <c r="J80" s="18" t="s">
        <v>115</v>
      </c>
      <c r="W80" s="15">
        <v>100</v>
      </c>
      <c r="X80" s="15">
        <v>75</v>
      </c>
      <c r="Y80" s="15" t="s">
        <v>495</v>
      </c>
      <c r="Z80" s="15" t="s">
        <v>496</v>
      </c>
      <c r="AA80" s="41" t="s">
        <v>495</v>
      </c>
      <c r="AB80" s="15" t="s">
        <v>1353</v>
      </c>
      <c r="AC80" s="15" t="s">
        <v>1354</v>
      </c>
      <c r="AD80" s="15" t="s">
        <v>1355</v>
      </c>
      <c r="AE80" s="15" t="s">
        <v>496</v>
      </c>
      <c r="AF80" s="15" t="s">
        <v>1355</v>
      </c>
      <c r="AG80" s="15" t="s">
        <v>1353</v>
      </c>
      <c r="AH80" s="15" t="s">
        <v>1356</v>
      </c>
      <c r="AL80" s="15" t="s">
        <v>1357</v>
      </c>
      <c r="AN80" s="15">
        <v>81</v>
      </c>
      <c r="AO80" s="15" t="s">
        <v>1358</v>
      </c>
      <c r="AQ80" s="15" t="s">
        <v>503</v>
      </c>
      <c r="AT80" s="15" t="s">
        <v>1359</v>
      </c>
      <c r="AU80" s="17" t="s">
        <v>1360</v>
      </c>
      <c r="AV80" s="17" t="s">
        <v>1360</v>
      </c>
      <c r="AW80" s="15" t="s">
        <v>1361</v>
      </c>
      <c r="AX80" s="15" t="s">
        <v>1362</v>
      </c>
      <c r="AY80" s="15">
        <f t="shared" si="2"/>
        <v>60</v>
      </c>
      <c r="AZ80" s="17" t="s">
        <v>785</v>
      </c>
      <c r="BA80" s="17" t="s">
        <v>507</v>
      </c>
      <c r="BB80" s="17" t="s">
        <v>1348</v>
      </c>
      <c r="BE80" s="17" t="s">
        <v>1363</v>
      </c>
      <c r="BF80" s="17" t="s">
        <v>1364</v>
      </c>
      <c r="BJ80" s="17" t="s">
        <v>1351</v>
      </c>
      <c r="BN80" s="17" t="s">
        <v>511</v>
      </c>
      <c r="BP80" s="17" t="s">
        <v>140</v>
      </c>
      <c r="BQ80" s="17" t="s">
        <v>258</v>
      </c>
      <c r="BS80" s="15" t="s">
        <v>1365</v>
      </c>
      <c r="DH80" s="15" t="s">
        <v>4597</v>
      </c>
      <c r="DI80" s="15" t="s">
        <v>4597</v>
      </c>
    </row>
    <row r="81" spans="1:113" s="15" customFormat="1" ht="12.75" x14ac:dyDescent="0.2">
      <c r="A81" s="15" t="s">
        <v>109</v>
      </c>
      <c r="B81" s="16" t="s">
        <v>493</v>
      </c>
      <c r="C81" s="15" t="s">
        <v>494</v>
      </c>
      <c r="D81" s="15" t="s">
        <v>1111</v>
      </c>
      <c r="E81" s="15" t="s">
        <v>113</v>
      </c>
      <c r="F81" s="15" t="s">
        <v>1111</v>
      </c>
      <c r="G81" s="15" t="s">
        <v>114</v>
      </c>
      <c r="H81" s="15" t="s">
        <v>1111</v>
      </c>
      <c r="J81" s="18" t="s">
        <v>115</v>
      </c>
      <c r="W81" s="15">
        <v>101</v>
      </c>
      <c r="X81" s="15">
        <v>76</v>
      </c>
      <c r="Y81" s="15" t="s">
        <v>495</v>
      </c>
      <c r="Z81" s="15" t="s">
        <v>496</v>
      </c>
      <c r="AA81" s="41" t="s">
        <v>495</v>
      </c>
      <c r="AB81" s="15" t="s">
        <v>1366</v>
      </c>
      <c r="AC81" s="15" t="s">
        <v>1367</v>
      </c>
      <c r="AD81" s="15" t="s">
        <v>1368</v>
      </c>
      <c r="AE81" s="15" t="s">
        <v>496</v>
      </c>
      <c r="AF81" s="15" t="s">
        <v>1368</v>
      </c>
      <c r="AG81" s="15" t="s">
        <v>1366</v>
      </c>
      <c r="AH81" s="15" t="s">
        <v>1369</v>
      </c>
      <c r="AL81" s="15" t="s">
        <v>1370</v>
      </c>
      <c r="AN81" s="15">
        <v>81</v>
      </c>
      <c r="AO81" s="15" t="s">
        <v>1371</v>
      </c>
      <c r="AQ81" s="15" t="s">
        <v>1316</v>
      </c>
      <c r="AT81" s="15" t="s">
        <v>1372</v>
      </c>
      <c r="AU81" s="17" t="s">
        <v>1373</v>
      </c>
      <c r="AV81" s="17" t="s">
        <v>1373</v>
      </c>
      <c r="AW81" s="15" t="s">
        <v>1374</v>
      </c>
      <c r="AX81" s="15" t="s">
        <v>1375</v>
      </c>
      <c r="AY81" s="15">
        <f t="shared" si="2"/>
        <v>45</v>
      </c>
      <c r="AZ81" s="17" t="s">
        <v>1321</v>
      </c>
      <c r="BA81" s="17" t="s">
        <v>1322</v>
      </c>
      <c r="BJ81" s="17" t="s">
        <v>1376</v>
      </c>
      <c r="BS81" s="15" t="s">
        <v>1211</v>
      </c>
      <c r="DH81" s="15" t="s">
        <v>4597</v>
      </c>
      <c r="DI81" s="15" t="s">
        <v>4597</v>
      </c>
    </row>
    <row r="82" spans="1:113" s="15" customFormat="1" ht="12.75" x14ac:dyDescent="0.2">
      <c r="A82" s="15" t="s">
        <v>109</v>
      </c>
      <c r="B82" s="16" t="s">
        <v>493</v>
      </c>
      <c r="C82" s="15" t="s">
        <v>494</v>
      </c>
      <c r="D82" s="15" t="s">
        <v>1111</v>
      </c>
      <c r="E82" s="15" t="s">
        <v>113</v>
      </c>
      <c r="F82" s="15" t="s">
        <v>1111</v>
      </c>
      <c r="G82" s="15" t="s">
        <v>114</v>
      </c>
      <c r="H82" s="15" t="s">
        <v>1111</v>
      </c>
      <c r="J82" s="18" t="s">
        <v>115</v>
      </c>
      <c r="W82" s="15">
        <v>102</v>
      </c>
      <c r="X82" s="15">
        <v>77</v>
      </c>
      <c r="Y82" s="15" t="s">
        <v>495</v>
      </c>
      <c r="Z82" s="15" t="s">
        <v>496</v>
      </c>
      <c r="AA82" s="41" t="s">
        <v>495</v>
      </c>
      <c r="AB82" s="15" t="s">
        <v>1377</v>
      </c>
      <c r="AC82" s="15" t="s">
        <v>1378</v>
      </c>
      <c r="AD82" s="15" t="s">
        <v>1379</v>
      </c>
      <c r="AE82" s="15" t="s">
        <v>496</v>
      </c>
      <c r="AF82" s="15" t="s">
        <v>1379</v>
      </c>
      <c r="AG82" s="15" t="s">
        <v>1377</v>
      </c>
      <c r="AH82" s="15" t="s">
        <v>1380</v>
      </c>
      <c r="AL82" s="15" t="s">
        <v>1381</v>
      </c>
      <c r="AN82" s="15">
        <v>81</v>
      </c>
      <c r="AO82" s="15" t="s">
        <v>1382</v>
      </c>
      <c r="AQ82" s="15" t="s">
        <v>1316</v>
      </c>
      <c r="AT82" s="15" t="s">
        <v>1383</v>
      </c>
      <c r="AU82" s="17" t="s">
        <v>1384</v>
      </c>
      <c r="AV82" s="17" t="s">
        <v>1384</v>
      </c>
      <c r="AW82" s="15" t="s">
        <v>1385</v>
      </c>
      <c r="AX82" s="15" t="s">
        <v>1386</v>
      </c>
      <c r="AY82" s="15">
        <f t="shared" si="2"/>
        <v>41</v>
      </c>
      <c r="AZ82" s="17" t="s">
        <v>1321</v>
      </c>
      <c r="BA82" s="17" t="s">
        <v>1322</v>
      </c>
      <c r="BJ82" s="17" t="s">
        <v>1387</v>
      </c>
      <c r="BN82" s="17" t="s">
        <v>511</v>
      </c>
      <c r="BP82" s="17" t="s">
        <v>140</v>
      </c>
      <c r="BS82" s="15" t="s">
        <v>1388</v>
      </c>
      <c r="DH82" s="15" t="s">
        <v>4597</v>
      </c>
      <c r="DI82" s="15" t="s">
        <v>4597</v>
      </c>
    </row>
    <row r="83" spans="1:113" s="15" customFormat="1" ht="12.75" x14ac:dyDescent="0.2">
      <c r="A83" s="15" t="s">
        <v>109</v>
      </c>
      <c r="B83" s="16" t="s">
        <v>493</v>
      </c>
      <c r="C83" s="15" t="s">
        <v>494</v>
      </c>
      <c r="D83" s="15" t="s">
        <v>1111</v>
      </c>
      <c r="E83" s="15" t="s">
        <v>113</v>
      </c>
      <c r="F83" s="15" t="s">
        <v>1111</v>
      </c>
      <c r="G83" s="15" t="s">
        <v>114</v>
      </c>
      <c r="H83" s="15" t="s">
        <v>1111</v>
      </c>
      <c r="J83" s="18" t="s">
        <v>115</v>
      </c>
      <c r="W83" s="15">
        <v>103</v>
      </c>
      <c r="X83" s="15">
        <v>78</v>
      </c>
      <c r="Y83" s="15" t="s">
        <v>495</v>
      </c>
      <c r="Z83" s="15" t="s">
        <v>496</v>
      </c>
      <c r="AA83" s="41" t="s">
        <v>495</v>
      </c>
      <c r="AB83" s="15" t="s">
        <v>1389</v>
      </c>
      <c r="AC83" s="15" t="s">
        <v>1390</v>
      </c>
      <c r="AD83" s="15" t="s">
        <v>1391</v>
      </c>
      <c r="AE83" s="15" t="s">
        <v>496</v>
      </c>
      <c r="AF83" s="15" t="s">
        <v>1391</v>
      </c>
      <c r="AG83" s="15" t="s">
        <v>1389</v>
      </c>
      <c r="AH83" s="15" t="s">
        <v>1392</v>
      </c>
      <c r="AL83" s="15" t="s">
        <v>1393</v>
      </c>
      <c r="AN83" s="15">
        <v>81</v>
      </c>
      <c r="AO83" s="15" t="s">
        <v>1394</v>
      </c>
      <c r="AQ83" s="15" t="s">
        <v>1316</v>
      </c>
      <c r="AT83" s="15" t="s">
        <v>1395</v>
      </c>
      <c r="AU83" s="17" t="s">
        <v>1396</v>
      </c>
      <c r="AV83" s="17" t="s">
        <v>1396</v>
      </c>
      <c r="AW83" s="15" t="s">
        <v>1397</v>
      </c>
      <c r="AX83" s="15" t="s">
        <v>1398</v>
      </c>
      <c r="AY83" s="15">
        <f t="shared" si="2"/>
        <v>54</v>
      </c>
      <c r="AZ83" s="17" t="s">
        <v>1321</v>
      </c>
      <c r="BA83" s="17" t="s">
        <v>1322</v>
      </c>
      <c r="BJ83" s="17" t="s">
        <v>1399</v>
      </c>
      <c r="BN83" s="17" t="s">
        <v>511</v>
      </c>
      <c r="BP83" s="17" t="s">
        <v>140</v>
      </c>
      <c r="BS83" s="15" t="s">
        <v>1400</v>
      </c>
      <c r="DH83" s="15" t="s">
        <v>4597</v>
      </c>
      <c r="DI83" s="15" t="s">
        <v>4597</v>
      </c>
    </row>
    <row r="84" spans="1:113" s="15" customFormat="1" ht="12.75" x14ac:dyDescent="0.2">
      <c r="A84" s="15" t="s">
        <v>109</v>
      </c>
      <c r="B84" s="16" t="s">
        <v>493</v>
      </c>
      <c r="C84" s="15" t="s">
        <v>494</v>
      </c>
      <c r="D84" s="15" t="s">
        <v>1111</v>
      </c>
      <c r="E84" s="15" t="s">
        <v>113</v>
      </c>
      <c r="F84" s="15" t="s">
        <v>1111</v>
      </c>
      <c r="G84" s="15" t="s">
        <v>114</v>
      </c>
      <c r="H84" s="15" t="s">
        <v>1111</v>
      </c>
      <c r="J84" s="18" t="s">
        <v>115</v>
      </c>
      <c r="W84" s="15">
        <v>104</v>
      </c>
      <c r="X84" s="15">
        <v>79</v>
      </c>
      <c r="Y84" s="15" t="s">
        <v>495</v>
      </c>
      <c r="Z84" s="15" t="s">
        <v>496</v>
      </c>
      <c r="AA84" s="41" t="s">
        <v>495</v>
      </c>
      <c r="AB84" s="15" t="s">
        <v>1401</v>
      </c>
      <c r="AC84" s="15" t="s">
        <v>1402</v>
      </c>
      <c r="AD84" s="15" t="s">
        <v>1403</v>
      </c>
      <c r="AE84" s="15" t="s">
        <v>496</v>
      </c>
      <c r="AF84" s="15" t="s">
        <v>1403</v>
      </c>
      <c r="AG84" s="15" t="s">
        <v>1401</v>
      </c>
      <c r="AH84" s="15" t="s">
        <v>1404</v>
      </c>
      <c r="AL84" s="15" t="s">
        <v>1405</v>
      </c>
      <c r="AN84" s="15">
        <v>81</v>
      </c>
      <c r="AO84" s="15" t="s">
        <v>1406</v>
      </c>
      <c r="AQ84" s="15" t="s">
        <v>1316</v>
      </c>
      <c r="AT84" s="15" t="s">
        <v>1395</v>
      </c>
      <c r="AU84" s="17" t="s">
        <v>1407</v>
      </c>
      <c r="AV84" s="17" t="s">
        <v>1407</v>
      </c>
      <c r="AW84" s="15" t="s">
        <v>1408</v>
      </c>
      <c r="AX84" s="15" t="s">
        <v>1409</v>
      </c>
      <c r="AY84" s="15">
        <f t="shared" si="2"/>
        <v>58</v>
      </c>
      <c r="AZ84" s="17" t="s">
        <v>1321</v>
      </c>
      <c r="BA84" s="17" t="s">
        <v>1322</v>
      </c>
      <c r="BJ84" s="17" t="s">
        <v>1410</v>
      </c>
      <c r="BN84" s="17" t="s">
        <v>138</v>
      </c>
      <c r="BS84" s="15" t="s">
        <v>1211</v>
      </c>
      <c r="DH84" s="15" t="s">
        <v>4597</v>
      </c>
      <c r="DI84" s="15" t="s">
        <v>4597</v>
      </c>
    </row>
    <row r="85" spans="1:113" s="15" customFormat="1" ht="12.75" x14ac:dyDescent="0.2">
      <c r="A85" s="15" t="s">
        <v>109</v>
      </c>
      <c r="B85" s="16" t="s">
        <v>493</v>
      </c>
      <c r="C85" s="15" t="s">
        <v>494</v>
      </c>
      <c r="D85" s="15" t="s">
        <v>1111</v>
      </c>
      <c r="E85" s="15" t="s">
        <v>113</v>
      </c>
      <c r="F85" s="15" t="s">
        <v>1111</v>
      </c>
      <c r="G85" s="15" t="s">
        <v>114</v>
      </c>
      <c r="H85" s="15" t="s">
        <v>1111</v>
      </c>
      <c r="J85" s="18" t="s">
        <v>115</v>
      </c>
      <c r="W85" s="15">
        <v>105</v>
      </c>
      <c r="X85" s="15">
        <v>80</v>
      </c>
      <c r="Y85" s="15" t="s">
        <v>495</v>
      </c>
      <c r="Z85" s="15" t="s">
        <v>496</v>
      </c>
      <c r="AA85" s="41" t="s">
        <v>495</v>
      </c>
      <c r="AB85" s="15" t="s">
        <v>1411</v>
      </c>
      <c r="AC85" s="15" t="s">
        <v>1412</v>
      </c>
      <c r="AD85" s="15" t="s">
        <v>1413</v>
      </c>
      <c r="AE85" s="15" t="s">
        <v>496</v>
      </c>
      <c r="AF85" s="15" t="s">
        <v>1413</v>
      </c>
      <c r="AG85" s="15" t="s">
        <v>1411</v>
      </c>
      <c r="AH85" s="15" t="s">
        <v>1414</v>
      </c>
      <c r="AL85" s="15" t="s">
        <v>1415</v>
      </c>
      <c r="AN85" s="15">
        <v>81</v>
      </c>
      <c r="AO85" s="15" t="s">
        <v>1416</v>
      </c>
      <c r="AQ85" s="15" t="s">
        <v>1316</v>
      </c>
      <c r="AT85" s="15" t="s">
        <v>1417</v>
      </c>
      <c r="AU85" s="17" t="s">
        <v>1418</v>
      </c>
      <c r="AV85" s="17" t="s">
        <v>1418</v>
      </c>
      <c r="AW85" s="15" t="s">
        <v>1419</v>
      </c>
      <c r="AX85" s="15" t="s">
        <v>1420</v>
      </c>
      <c r="AY85" s="15">
        <f t="shared" si="2"/>
        <v>50</v>
      </c>
      <c r="AZ85" s="17" t="s">
        <v>1321</v>
      </c>
      <c r="BA85" s="17" t="s">
        <v>1322</v>
      </c>
      <c r="BJ85" s="17" t="s">
        <v>1421</v>
      </c>
      <c r="BN85" s="17" t="s">
        <v>511</v>
      </c>
      <c r="BP85" s="17" t="s">
        <v>140</v>
      </c>
      <c r="BS85" s="15" t="s">
        <v>1422</v>
      </c>
      <c r="DH85" s="15" t="s">
        <v>4597</v>
      </c>
      <c r="DI85" s="15" t="s">
        <v>4597</v>
      </c>
    </row>
    <row r="86" spans="1:113" s="15" customFormat="1" ht="12.75" x14ac:dyDescent="0.2">
      <c r="A86" s="15" t="s">
        <v>109</v>
      </c>
      <c r="B86" s="16" t="s">
        <v>493</v>
      </c>
      <c r="C86" s="15" t="s">
        <v>494</v>
      </c>
      <c r="D86" s="15" t="s">
        <v>1111</v>
      </c>
      <c r="E86" s="15" t="s">
        <v>1212</v>
      </c>
      <c r="F86" s="15" t="s">
        <v>1111</v>
      </c>
      <c r="G86" s="15" t="s">
        <v>114</v>
      </c>
      <c r="H86" s="15" t="s">
        <v>1111</v>
      </c>
      <c r="J86" s="18" t="s">
        <v>115</v>
      </c>
      <c r="W86" s="15">
        <v>106</v>
      </c>
      <c r="X86" s="15">
        <v>81</v>
      </c>
      <c r="Y86" s="15" t="s">
        <v>495</v>
      </c>
      <c r="Z86" s="15" t="s">
        <v>496</v>
      </c>
      <c r="AA86" s="41" t="s">
        <v>495</v>
      </c>
      <c r="AB86" s="15" t="s">
        <v>1423</v>
      </c>
      <c r="AC86" s="15" t="s">
        <v>1424</v>
      </c>
      <c r="AD86" s="15" t="s">
        <v>1425</v>
      </c>
      <c r="AE86" s="15" t="s">
        <v>496</v>
      </c>
      <c r="AF86" s="15" t="s">
        <v>1425</v>
      </c>
      <c r="AG86" s="15" t="s">
        <v>1423</v>
      </c>
      <c r="AH86" s="15" t="s">
        <v>1426</v>
      </c>
      <c r="AL86" s="15" t="s">
        <v>1427</v>
      </c>
      <c r="AN86" s="15">
        <v>81</v>
      </c>
      <c r="AO86" s="15" t="s">
        <v>1428</v>
      </c>
      <c r="AQ86" s="15" t="s">
        <v>1254</v>
      </c>
      <c r="AT86" s="15" t="s">
        <v>1427</v>
      </c>
      <c r="AU86" s="17" t="s">
        <v>1429</v>
      </c>
      <c r="AV86" s="17" t="s">
        <v>1429</v>
      </c>
      <c r="AW86" s="15" t="s">
        <v>1430</v>
      </c>
      <c r="AX86" s="15" t="s">
        <v>1431</v>
      </c>
      <c r="AY86" s="15">
        <f t="shared" si="2"/>
        <v>44</v>
      </c>
      <c r="AZ86" s="17" t="s">
        <v>253</v>
      </c>
      <c r="BA86" s="17" t="s">
        <v>1259</v>
      </c>
      <c r="BE86" s="17" t="s">
        <v>841</v>
      </c>
      <c r="BJ86" s="17" t="s">
        <v>1432</v>
      </c>
      <c r="BO86" s="15" t="s">
        <v>1433</v>
      </c>
      <c r="BS86" s="15" t="s">
        <v>347</v>
      </c>
      <c r="DH86" s="15" t="s">
        <v>4597</v>
      </c>
      <c r="DI86" s="15" t="s">
        <v>4597</v>
      </c>
    </row>
    <row r="87" spans="1:113" s="15" customFormat="1" ht="12.75" x14ac:dyDescent="0.2">
      <c r="A87" s="15" t="s">
        <v>109</v>
      </c>
      <c r="B87" s="16" t="s">
        <v>493</v>
      </c>
      <c r="C87" s="15" t="s">
        <v>494</v>
      </c>
      <c r="D87" s="15" t="s">
        <v>1111</v>
      </c>
      <c r="E87" s="15" t="s">
        <v>113</v>
      </c>
      <c r="F87" s="15" t="s">
        <v>1111</v>
      </c>
      <c r="G87" s="15" t="s">
        <v>114</v>
      </c>
      <c r="H87" s="15" t="s">
        <v>1111</v>
      </c>
      <c r="J87" s="18" t="s">
        <v>115</v>
      </c>
      <c r="W87" s="15">
        <v>107</v>
      </c>
      <c r="X87" s="15">
        <v>82</v>
      </c>
      <c r="Y87" s="15" t="s">
        <v>495</v>
      </c>
      <c r="Z87" s="15" t="s">
        <v>496</v>
      </c>
      <c r="AA87" s="41" t="s">
        <v>495</v>
      </c>
      <c r="AB87" s="15" t="s">
        <v>1434</v>
      </c>
      <c r="AC87" s="15" t="s">
        <v>1435</v>
      </c>
      <c r="AD87" s="15" t="s">
        <v>1436</v>
      </c>
      <c r="AE87" s="15" t="s">
        <v>496</v>
      </c>
      <c r="AF87" s="15" t="s">
        <v>1436</v>
      </c>
      <c r="AG87" s="15" t="s">
        <v>1434</v>
      </c>
      <c r="AH87" s="15" t="s">
        <v>1437</v>
      </c>
      <c r="AL87" s="15" t="s">
        <v>1438</v>
      </c>
      <c r="AN87" s="15">
        <v>81</v>
      </c>
      <c r="AO87" s="15" t="s">
        <v>1439</v>
      </c>
      <c r="AQ87" s="15" t="s">
        <v>503</v>
      </c>
      <c r="AT87" s="15" t="s">
        <v>1440</v>
      </c>
      <c r="AU87" s="17" t="s">
        <v>1441</v>
      </c>
      <c r="AV87" s="17" t="s">
        <v>1441</v>
      </c>
      <c r="AW87" s="15" t="s">
        <v>1442</v>
      </c>
      <c r="AX87" s="15" t="s">
        <v>1443</v>
      </c>
      <c r="AY87" s="15">
        <f t="shared" si="2"/>
        <v>28</v>
      </c>
      <c r="AZ87" s="17" t="s">
        <v>785</v>
      </c>
      <c r="BA87" s="17" t="s">
        <v>507</v>
      </c>
      <c r="BB87" s="17" t="s">
        <v>1444</v>
      </c>
      <c r="BE87" s="17" t="s">
        <v>1445</v>
      </c>
      <c r="BI87" s="17"/>
      <c r="BS87" s="15" t="s">
        <v>855</v>
      </c>
      <c r="DH87" s="15" t="s">
        <v>4597</v>
      </c>
      <c r="DI87" s="15" t="s">
        <v>4597</v>
      </c>
    </row>
    <row r="88" spans="1:113" s="15" customFormat="1" ht="12.75" x14ac:dyDescent="0.2">
      <c r="A88" s="15" t="s">
        <v>109</v>
      </c>
      <c r="B88" s="16" t="s">
        <v>493</v>
      </c>
      <c r="C88" s="15" t="s">
        <v>494</v>
      </c>
      <c r="D88" s="15" t="s">
        <v>1111</v>
      </c>
      <c r="E88" s="15" t="s">
        <v>1212</v>
      </c>
      <c r="F88" s="15" t="s">
        <v>1111</v>
      </c>
      <c r="G88" s="15" t="s">
        <v>114</v>
      </c>
      <c r="H88" s="15" t="s">
        <v>1111</v>
      </c>
      <c r="J88" s="18" t="s">
        <v>115</v>
      </c>
      <c r="W88" s="15">
        <v>108</v>
      </c>
      <c r="X88" s="15">
        <v>83</v>
      </c>
      <c r="Y88" s="15" t="s">
        <v>495</v>
      </c>
      <c r="Z88" s="15" t="s">
        <v>496</v>
      </c>
      <c r="AA88" s="41" t="s">
        <v>495</v>
      </c>
      <c r="AB88" s="15" t="s">
        <v>1446</v>
      </c>
      <c r="AC88" s="15" t="s">
        <v>1447</v>
      </c>
      <c r="AD88" s="15" t="s">
        <v>1448</v>
      </c>
      <c r="AE88" s="15" t="s">
        <v>496</v>
      </c>
      <c r="AF88" s="15" t="s">
        <v>1448</v>
      </c>
      <c r="AG88" s="15" t="s">
        <v>1446</v>
      </c>
      <c r="AH88" s="15" t="s">
        <v>1449</v>
      </c>
      <c r="AL88" s="15" t="s">
        <v>1450</v>
      </c>
      <c r="AN88" s="15">
        <v>81</v>
      </c>
      <c r="AO88" s="15" t="s">
        <v>1451</v>
      </c>
      <c r="AQ88" s="15" t="s">
        <v>503</v>
      </c>
      <c r="AT88" s="15" t="s">
        <v>1450</v>
      </c>
      <c r="AU88" s="17" t="s">
        <v>1452</v>
      </c>
      <c r="AV88" s="17" t="s">
        <v>1452</v>
      </c>
      <c r="AW88" s="15" t="s">
        <v>1453</v>
      </c>
      <c r="AX88" s="15" t="s">
        <v>1454</v>
      </c>
      <c r="AY88" s="15">
        <f t="shared" si="2"/>
        <v>59</v>
      </c>
      <c r="AZ88" s="17" t="s">
        <v>785</v>
      </c>
      <c r="BA88" s="17" t="s">
        <v>507</v>
      </c>
      <c r="BB88" s="17" t="s">
        <v>1455</v>
      </c>
      <c r="BE88" s="17" t="s">
        <v>1456</v>
      </c>
      <c r="BJ88" s="17" t="s">
        <v>1457</v>
      </c>
      <c r="BS88" s="15" t="s">
        <v>347</v>
      </c>
      <c r="DH88" s="15" t="s">
        <v>4597</v>
      </c>
      <c r="DI88" s="15" t="s">
        <v>4597</v>
      </c>
    </row>
    <row r="89" spans="1:113" s="15" customFormat="1" ht="12.75" x14ac:dyDescent="0.2">
      <c r="A89" s="15" t="s">
        <v>109</v>
      </c>
      <c r="B89" s="16" t="s">
        <v>493</v>
      </c>
      <c r="C89" s="15" t="s">
        <v>494</v>
      </c>
      <c r="D89" s="15" t="s">
        <v>1111</v>
      </c>
      <c r="E89" s="15" t="s">
        <v>113</v>
      </c>
      <c r="F89" s="15" t="s">
        <v>1111</v>
      </c>
      <c r="G89" s="15" t="s">
        <v>114</v>
      </c>
      <c r="H89" s="15" t="s">
        <v>1111</v>
      </c>
      <c r="J89" s="18" t="s">
        <v>115</v>
      </c>
      <c r="W89" s="15">
        <v>109</v>
      </c>
      <c r="X89" s="15">
        <v>84</v>
      </c>
      <c r="Y89" s="15" t="s">
        <v>495</v>
      </c>
      <c r="Z89" s="15" t="s">
        <v>496</v>
      </c>
      <c r="AA89" s="41" t="s">
        <v>495</v>
      </c>
      <c r="AB89" s="15" t="s">
        <v>1458</v>
      </c>
      <c r="AC89" s="15" t="s">
        <v>1459</v>
      </c>
      <c r="AD89" s="15" t="s">
        <v>1460</v>
      </c>
      <c r="AE89" s="15" t="s">
        <v>496</v>
      </c>
      <c r="AF89" s="15" t="s">
        <v>1460</v>
      </c>
      <c r="AG89" s="15" t="s">
        <v>1458</v>
      </c>
      <c r="AH89" s="15" t="s">
        <v>1461</v>
      </c>
      <c r="AL89" s="15" t="s">
        <v>1462</v>
      </c>
      <c r="AN89" s="15">
        <v>81</v>
      </c>
      <c r="AO89" s="15" t="s">
        <v>1463</v>
      </c>
      <c r="AQ89" s="15" t="s">
        <v>503</v>
      </c>
      <c r="AT89" s="15" t="s">
        <v>1464</v>
      </c>
      <c r="AU89" s="17" t="s">
        <v>1465</v>
      </c>
      <c r="AV89" s="17" t="s">
        <v>1465</v>
      </c>
      <c r="AW89" s="15" t="s">
        <v>1466</v>
      </c>
      <c r="AX89" s="15" t="s">
        <v>1467</v>
      </c>
      <c r="AY89" s="15">
        <f t="shared" si="2"/>
        <v>58</v>
      </c>
      <c r="AZ89" s="17" t="s">
        <v>785</v>
      </c>
      <c r="BA89" s="17" t="s">
        <v>507</v>
      </c>
      <c r="BB89" s="17" t="s">
        <v>877</v>
      </c>
      <c r="BE89" s="17" t="s">
        <v>1468</v>
      </c>
      <c r="BJ89" s="17" t="s">
        <v>1469</v>
      </c>
      <c r="BN89" s="17" t="s">
        <v>511</v>
      </c>
      <c r="BP89" s="17" t="s">
        <v>140</v>
      </c>
      <c r="BS89" s="15" t="s">
        <v>1470</v>
      </c>
      <c r="DH89" s="15" t="s">
        <v>4597</v>
      </c>
      <c r="DI89" s="15" t="s">
        <v>4597</v>
      </c>
    </row>
    <row r="90" spans="1:113" s="15" customFormat="1" ht="12.75" x14ac:dyDescent="0.2">
      <c r="A90" s="15" t="s">
        <v>109</v>
      </c>
      <c r="B90" s="16" t="s">
        <v>493</v>
      </c>
      <c r="C90" s="15" t="s">
        <v>494</v>
      </c>
      <c r="D90" s="15" t="s">
        <v>1111</v>
      </c>
      <c r="E90" s="15" t="s">
        <v>113</v>
      </c>
      <c r="F90" s="15" t="s">
        <v>1111</v>
      </c>
      <c r="G90" s="15" t="s">
        <v>114</v>
      </c>
      <c r="H90" s="15" t="s">
        <v>1111</v>
      </c>
      <c r="J90" s="18" t="s">
        <v>115</v>
      </c>
      <c r="W90" s="15">
        <v>110</v>
      </c>
      <c r="X90" s="15">
        <v>85</v>
      </c>
      <c r="Y90" s="15" t="s">
        <v>495</v>
      </c>
      <c r="Z90" s="15" t="s">
        <v>496</v>
      </c>
      <c r="AA90" s="41" t="s">
        <v>495</v>
      </c>
      <c r="AB90" s="15" t="s">
        <v>1471</v>
      </c>
      <c r="AC90" s="15" t="s">
        <v>1472</v>
      </c>
      <c r="AD90" s="15" t="s">
        <v>1473</v>
      </c>
      <c r="AE90" s="15" t="s">
        <v>496</v>
      </c>
      <c r="AF90" s="15" t="s">
        <v>1473</v>
      </c>
      <c r="AG90" s="15" t="s">
        <v>1471</v>
      </c>
      <c r="AH90" s="15" t="s">
        <v>1474</v>
      </c>
      <c r="AL90" s="15" t="s">
        <v>1475</v>
      </c>
      <c r="AN90" s="15">
        <v>81</v>
      </c>
      <c r="AO90" s="15" t="s">
        <v>1476</v>
      </c>
      <c r="AQ90" s="15" t="s">
        <v>503</v>
      </c>
      <c r="AT90" s="15" t="s">
        <v>1477</v>
      </c>
      <c r="AU90" s="17" t="s">
        <v>1478</v>
      </c>
      <c r="AV90" s="17" t="s">
        <v>1478</v>
      </c>
      <c r="AW90" s="15" t="s">
        <v>1479</v>
      </c>
      <c r="AX90" s="15" t="s">
        <v>1480</v>
      </c>
      <c r="AY90" s="15">
        <f t="shared" si="2"/>
        <v>58</v>
      </c>
      <c r="AZ90" s="17" t="s">
        <v>785</v>
      </c>
      <c r="BA90" s="17" t="s">
        <v>507</v>
      </c>
      <c r="BB90" s="17" t="s">
        <v>877</v>
      </c>
      <c r="BE90" s="17" t="s">
        <v>1468</v>
      </c>
      <c r="BJ90" s="17" t="s">
        <v>1481</v>
      </c>
      <c r="BN90" s="17" t="s">
        <v>511</v>
      </c>
      <c r="BP90" s="17" t="s">
        <v>140</v>
      </c>
      <c r="BS90" s="15" t="s">
        <v>1482</v>
      </c>
      <c r="DH90" s="15" t="s">
        <v>4597</v>
      </c>
      <c r="DI90" s="15" t="s">
        <v>4597</v>
      </c>
    </row>
    <row r="91" spans="1:113" s="15" customFormat="1" ht="12.75" x14ac:dyDescent="0.2">
      <c r="A91" s="15" t="s">
        <v>109</v>
      </c>
      <c r="B91" s="16" t="s">
        <v>493</v>
      </c>
      <c r="C91" s="15" t="s">
        <v>494</v>
      </c>
      <c r="D91" s="15" t="s">
        <v>1483</v>
      </c>
      <c r="E91" s="15" t="s">
        <v>113</v>
      </c>
      <c r="F91" s="15" t="s">
        <v>1483</v>
      </c>
      <c r="G91" s="15" t="s">
        <v>114</v>
      </c>
      <c r="H91" s="15" t="s">
        <v>1111</v>
      </c>
      <c r="J91" s="18" t="s">
        <v>115</v>
      </c>
      <c r="W91" s="15">
        <v>111</v>
      </c>
      <c r="X91" s="15">
        <v>86</v>
      </c>
      <c r="Y91" s="15" t="s">
        <v>495</v>
      </c>
      <c r="Z91" s="15" t="s">
        <v>496</v>
      </c>
      <c r="AA91" s="27" t="s">
        <v>495</v>
      </c>
      <c r="AB91" s="15" t="s">
        <v>1484</v>
      </c>
      <c r="AC91" s="15" t="s">
        <v>1485</v>
      </c>
      <c r="AD91" s="15" t="s">
        <v>1486</v>
      </c>
      <c r="AE91" s="15" t="s">
        <v>496</v>
      </c>
      <c r="AF91" s="15" t="s">
        <v>1486</v>
      </c>
      <c r="AG91" s="15" t="s">
        <v>1484</v>
      </c>
      <c r="AH91" s="15" t="s">
        <v>1487</v>
      </c>
      <c r="AL91" s="15" t="s">
        <v>1488</v>
      </c>
      <c r="AN91" s="15">
        <v>81</v>
      </c>
      <c r="AO91" s="15" t="s">
        <v>1489</v>
      </c>
      <c r="AQ91" s="28" t="s">
        <v>503</v>
      </c>
      <c r="AT91" s="15" t="s">
        <v>1490</v>
      </c>
      <c r="AU91" s="17" t="s">
        <v>1491</v>
      </c>
      <c r="AV91" s="17" t="s">
        <v>1491</v>
      </c>
      <c r="AW91" s="15" t="s">
        <v>1492</v>
      </c>
      <c r="AX91" s="15" t="s">
        <v>1493</v>
      </c>
      <c r="AY91" s="15">
        <f t="shared" si="2"/>
        <v>59</v>
      </c>
      <c r="AZ91" s="17" t="s">
        <v>785</v>
      </c>
      <c r="BA91" s="17" t="s">
        <v>507</v>
      </c>
      <c r="BB91" s="17" t="s">
        <v>877</v>
      </c>
      <c r="BC91" s="17" t="s">
        <v>787</v>
      </c>
      <c r="BE91" s="17" t="s">
        <v>1494</v>
      </c>
      <c r="BJ91" s="17" t="s">
        <v>1495</v>
      </c>
      <c r="BN91" s="17" t="s">
        <v>511</v>
      </c>
      <c r="BP91" s="17" t="s">
        <v>140</v>
      </c>
      <c r="BS91" s="15" t="s">
        <v>1496</v>
      </c>
      <c r="DH91" s="15" t="s">
        <v>4597</v>
      </c>
      <c r="DI91" s="15" t="s">
        <v>4597</v>
      </c>
    </row>
    <row r="92" spans="1:113" s="15" customFormat="1" ht="12.75" x14ac:dyDescent="0.2">
      <c r="A92" s="15" t="s">
        <v>109</v>
      </c>
      <c r="B92" s="16" t="s">
        <v>493</v>
      </c>
      <c r="C92" s="15" t="s">
        <v>494</v>
      </c>
      <c r="D92" s="15" t="s">
        <v>1483</v>
      </c>
      <c r="E92" s="15" t="s">
        <v>113</v>
      </c>
      <c r="F92" s="15" t="s">
        <v>1483</v>
      </c>
      <c r="G92" s="15" t="s">
        <v>114</v>
      </c>
      <c r="H92" s="15" t="s">
        <v>1111</v>
      </c>
      <c r="J92" s="18" t="s">
        <v>115</v>
      </c>
      <c r="W92" s="15">
        <v>112</v>
      </c>
      <c r="X92" s="15">
        <v>87</v>
      </c>
      <c r="Y92" s="15" t="s">
        <v>495</v>
      </c>
      <c r="Z92" s="15" t="s">
        <v>496</v>
      </c>
      <c r="AA92" s="27" t="s">
        <v>495</v>
      </c>
      <c r="AB92" s="15" t="s">
        <v>1497</v>
      </c>
      <c r="AC92" s="15" t="s">
        <v>1498</v>
      </c>
      <c r="AD92" s="15" t="s">
        <v>1499</v>
      </c>
      <c r="AE92" s="15" t="s">
        <v>496</v>
      </c>
      <c r="AF92" s="15" t="s">
        <v>1499</v>
      </c>
      <c r="AG92" s="15" t="s">
        <v>1497</v>
      </c>
      <c r="AH92" s="15" t="s">
        <v>1500</v>
      </c>
      <c r="AL92" s="15" t="s">
        <v>1501</v>
      </c>
      <c r="AN92" s="15">
        <v>81</v>
      </c>
      <c r="AO92" s="15" t="s">
        <v>1502</v>
      </c>
      <c r="AQ92" s="28" t="s">
        <v>503</v>
      </c>
      <c r="AT92" s="15" t="s">
        <v>1503</v>
      </c>
      <c r="AU92" s="17" t="s">
        <v>1504</v>
      </c>
      <c r="AV92" s="17" t="s">
        <v>1504</v>
      </c>
      <c r="AW92" s="15" t="s">
        <v>1505</v>
      </c>
      <c r="AX92" s="15" t="s">
        <v>1506</v>
      </c>
      <c r="AY92" s="15">
        <f t="shared" si="2"/>
        <v>58</v>
      </c>
      <c r="AZ92" s="17" t="s">
        <v>785</v>
      </c>
      <c r="BA92" s="17" t="s">
        <v>507</v>
      </c>
      <c r="BB92" s="17" t="s">
        <v>877</v>
      </c>
      <c r="BE92" s="17" t="s">
        <v>1507</v>
      </c>
      <c r="BJ92" s="17" t="s">
        <v>1508</v>
      </c>
      <c r="BN92" s="17" t="s">
        <v>511</v>
      </c>
      <c r="BP92" s="17" t="s">
        <v>140</v>
      </c>
      <c r="BS92" s="15" t="s">
        <v>1509</v>
      </c>
      <c r="DH92" s="15" t="s">
        <v>4597</v>
      </c>
      <c r="DI92" s="15" t="s">
        <v>4597</v>
      </c>
    </row>
    <row r="93" spans="1:113" s="15" customFormat="1" ht="12.75" x14ac:dyDescent="0.2">
      <c r="A93" s="15" t="s">
        <v>109</v>
      </c>
      <c r="B93" s="16" t="s">
        <v>493</v>
      </c>
      <c r="C93" s="15" t="s">
        <v>494</v>
      </c>
      <c r="D93" s="15" t="s">
        <v>1483</v>
      </c>
      <c r="E93" s="15" t="s">
        <v>113</v>
      </c>
      <c r="F93" s="15" t="s">
        <v>1483</v>
      </c>
      <c r="G93" s="15" t="s">
        <v>114</v>
      </c>
      <c r="H93" s="15" t="s">
        <v>1111</v>
      </c>
      <c r="J93" s="18" t="s">
        <v>115</v>
      </c>
      <c r="W93" s="15">
        <v>113</v>
      </c>
      <c r="X93" s="15">
        <v>88</v>
      </c>
      <c r="Y93" s="15" t="s">
        <v>495</v>
      </c>
      <c r="Z93" s="15" t="s">
        <v>496</v>
      </c>
      <c r="AA93" s="27" t="s">
        <v>495</v>
      </c>
      <c r="AB93" s="15" t="s">
        <v>1510</v>
      </c>
      <c r="AC93" s="15" t="s">
        <v>1511</v>
      </c>
      <c r="AD93" s="15" t="s">
        <v>1512</v>
      </c>
      <c r="AE93" s="15" t="s">
        <v>496</v>
      </c>
      <c r="AF93" s="15" t="s">
        <v>1512</v>
      </c>
      <c r="AG93" s="15" t="s">
        <v>1510</v>
      </c>
      <c r="AH93" s="15" t="s">
        <v>1513</v>
      </c>
      <c r="AL93" s="15" t="s">
        <v>1514</v>
      </c>
      <c r="AN93" s="15">
        <v>81</v>
      </c>
      <c r="AO93" s="15" t="s">
        <v>1515</v>
      </c>
      <c r="AQ93" s="28" t="s">
        <v>503</v>
      </c>
      <c r="AT93" s="15" t="s">
        <v>1516</v>
      </c>
      <c r="AU93" s="17" t="s">
        <v>1517</v>
      </c>
      <c r="AV93" s="17" t="s">
        <v>1517</v>
      </c>
      <c r="AW93" s="15" t="s">
        <v>1518</v>
      </c>
      <c r="AX93" s="15" t="s">
        <v>1519</v>
      </c>
      <c r="AY93" s="15">
        <f t="shared" si="2"/>
        <v>59</v>
      </c>
      <c r="AZ93" s="17" t="s">
        <v>785</v>
      </c>
      <c r="BA93" s="17" t="s">
        <v>507</v>
      </c>
      <c r="BB93" s="17" t="s">
        <v>877</v>
      </c>
      <c r="BE93" s="17" t="s">
        <v>1520</v>
      </c>
      <c r="BJ93" s="17" t="s">
        <v>1521</v>
      </c>
      <c r="BN93" s="17" t="s">
        <v>511</v>
      </c>
      <c r="BP93" s="17" t="s">
        <v>140</v>
      </c>
      <c r="BS93" s="15" t="s">
        <v>1522</v>
      </c>
      <c r="DH93" s="15" t="s">
        <v>4597</v>
      </c>
      <c r="DI93" s="15" t="s">
        <v>4597</v>
      </c>
    </row>
    <row r="94" spans="1:113" s="15" customFormat="1" ht="12.75" x14ac:dyDescent="0.2">
      <c r="A94" s="15" t="s">
        <v>109</v>
      </c>
      <c r="B94" s="16" t="s">
        <v>493</v>
      </c>
      <c r="C94" s="15" t="s">
        <v>494</v>
      </c>
      <c r="D94" s="15" t="s">
        <v>1483</v>
      </c>
      <c r="E94" s="15" t="s">
        <v>113</v>
      </c>
      <c r="F94" s="15" t="s">
        <v>1483</v>
      </c>
      <c r="G94" s="15" t="s">
        <v>114</v>
      </c>
      <c r="H94" s="15" t="s">
        <v>1111</v>
      </c>
      <c r="J94" s="18" t="s">
        <v>115</v>
      </c>
      <c r="W94" s="15">
        <v>114</v>
      </c>
      <c r="X94" s="15">
        <v>89</v>
      </c>
      <c r="Y94" s="15" t="s">
        <v>495</v>
      </c>
      <c r="Z94" s="15" t="s">
        <v>496</v>
      </c>
      <c r="AA94" s="27" t="s">
        <v>495</v>
      </c>
      <c r="AB94" s="15" t="s">
        <v>1523</v>
      </c>
      <c r="AC94" s="15" t="s">
        <v>1524</v>
      </c>
      <c r="AD94" s="15" t="s">
        <v>1525</v>
      </c>
      <c r="AE94" s="15" t="s">
        <v>496</v>
      </c>
      <c r="AF94" s="15" t="s">
        <v>1525</v>
      </c>
      <c r="AG94" s="15" t="s">
        <v>1523</v>
      </c>
      <c r="AH94" s="15" t="s">
        <v>1526</v>
      </c>
      <c r="AL94" s="15" t="s">
        <v>1527</v>
      </c>
      <c r="AN94" s="15">
        <v>81</v>
      </c>
      <c r="AO94" s="15" t="s">
        <v>1528</v>
      </c>
      <c r="AQ94" s="28" t="s">
        <v>503</v>
      </c>
      <c r="AT94" s="15" t="s">
        <v>1529</v>
      </c>
      <c r="AU94" s="17" t="s">
        <v>1530</v>
      </c>
      <c r="AV94" s="17" t="s">
        <v>1530</v>
      </c>
      <c r="AW94" s="15" t="s">
        <v>1531</v>
      </c>
      <c r="AX94" s="15" t="s">
        <v>1532</v>
      </c>
      <c r="AY94" s="15">
        <f t="shared" si="2"/>
        <v>59</v>
      </c>
      <c r="AZ94" s="17" t="s">
        <v>785</v>
      </c>
      <c r="BA94" s="17" t="s">
        <v>507</v>
      </c>
      <c r="BB94" s="17" t="s">
        <v>877</v>
      </c>
      <c r="BE94" s="17" t="s">
        <v>1520</v>
      </c>
      <c r="BJ94" s="17" t="s">
        <v>1533</v>
      </c>
      <c r="BN94" s="17" t="s">
        <v>511</v>
      </c>
      <c r="BP94" s="17" t="s">
        <v>140</v>
      </c>
      <c r="BS94" s="15" t="s">
        <v>1534</v>
      </c>
      <c r="DH94" s="15" t="s">
        <v>4597</v>
      </c>
      <c r="DI94" s="15" t="s">
        <v>4597</v>
      </c>
    </row>
    <row r="95" spans="1:113" s="15" customFormat="1" ht="12.75" x14ac:dyDescent="0.2">
      <c r="A95" s="15" t="s">
        <v>109</v>
      </c>
      <c r="B95" s="16" t="s">
        <v>493</v>
      </c>
      <c r="C95" s="15" t="s">
        <v>494</v>
      </c>
      <c r="D95" s="15" t="s">
        <v>1483</v>
      </c>
      <c r="E95" s="15" t="s">
        <v>113</v>
      </c>
      <c r="F95" s="15" t="s">
        <v>1483</v>
      </c>
      <c r="G95" s="15" t="s">
        <v>114</v>
      </c>
      <c r="H95" s="15" t="s">
        <v>1111</v>
      </c>
      <c r="J95" s="18" t="s">
        <v>115</v>
      </c>
      <c r="W95" s="15">
        <v>115</v>
      </c>
      <c r="X95" s="15">
        <v>90</v>
      </c>
      <c r="Y95" s="15" t="s">
        <v>495</v>
      </c>
      <c r="Z95" s="15" t="s">
        <v>496</v>
      </c>
      <c r="AA95" s="27" t="s">
        <v>495</v>
      </c>
      <c r="AB95" s="15" t="s">
        <v>1535</v>
      </c>
      <c r="AC95" s="15" t="s">
        <v>1536</v>
      </c>
      <c r="AD95" s="15" t="s">
        <v>1537</v>
      </c>
      <c r="AE95" s="15" t="s">
        <v>496</v>
      </c>
      <c r="AF95" s="15" t="s">
        <v>1537</v>
      </c>
      <c r="AG95" s="15" t="s">
        <v>1535</v>
      </c>
      <c r="AH95" s="15" t="s">
        <v>1538</v>
      </c>
      <c r="AL95" s="15" t="s">
        <v>1539</v>
      </c>
      <c r="AN95" s="15">
        <v>81</v>
      </c>
      <c r="AO95" s="15" t="s">
        <v>1540</v>
      </c>
      <c r="AQ95" s="28" t="s">
        <v>503</v>
      </c>
      <c r="AT95" s="15" t="s">
        <v>1541</v>
      </c>
      <c r="AU95" s="17" t="s">
        <v>1542</v>
      </c>
      <c r="AV95" s="17" t="s">
        <v>1542</v>
      </c>
      <c r="AW95" s="15" t="s">
        <v>1543</v>
      </c>
      <c r="AX95" s="15" t="s">
        <v>1544</v>
      </c>
      <c r="AY95" s="15">
        <f t="shared" si="2"/>
        <v>60</v>
      </c>
      <c r="AZ95" s="17" t="s">
        <v>785</v>
      </c>
      <c r="BA95" s="17" t="s">
        <v>507</v>
      </c>
      <c r="BB95" s="17" t="s">
        <v>877</v>
      </c>
      <c r="BE95" s="17" t="s">
        <v>1545</v>
      </c>
      <c r="BJ95" s="17" t="s">
        <v>1546</v>
      </c>
      <c r="BN95" s="17" t="s">
        <v>511</v>
      </c>
      <c r="BP95" s="17" t="s">
        <v>140</v>
      </c>
      <c r="BS95" s="15" t="s">
        <v>1547</v>
      </c>
      <c r="DH95" s="15" t="s">
        <v>4597</v>
      </c>
      <c r="DI95" s="15" t="s">
        <v>4597</v>
      </c>
    </row>
    <row r="96" spans="1:113" s="15" customFormat="1" ht="12.75" x14ac:dyDescent="0.2">
      <c r="A96" s="15" t="s">
        <v>109</v>
      </c>
      <c r="B96" s="16" t="s">
        <v>493</v>
      </c>
      <c r="C96" s="15" t="s">
        <v>494</v>
      </c>
      <c r="D96" s="15" t="s">
        <v>1483</v>
      </c>
      <c r="E96" s="15" t="s">
        <v>113</v>
      </c>
      <c r="F96" s="15" t="s">
        <v>1483</v>
      </c>
      <c r="G96" s="15" t="s">
        <v>114</v>
      </c>
      <c r="H96" s="15" t="s">
        <v>1111</v>
      </c>
      <c r="J96" s="18" t="s">
        <v>115</v>
      </c>
      <c r="W96" s="15">
        <v>116</v>
      </c>
      <c r="X96" s="15">
        <v>91</v>
      </c>
      <c r="Y96" s="15" t="s">
        <v>495</v>
      </c>
      <c r="Z96" s="15" t="s">
        <v>496</v>
      </c>
      <c r="AA96" s="27" t="s">
        <v>495</v>
      </c>
      <c r="AB96" s="15" t="s">
        <v>1548</v>
      </c>
      <c r="AC96" s="15" t="s">
        <v>1549</v>
      </c>
      <c r="AD96" s="15" t="s">
        <v>1550</v>
      </c>
      <c r="AE96" s="15" t="s">
        <v>496</v>
      </c>
      <c r="AF96" s="15" t="s">
        <v>1550</v>
      </c>
      <c r="AG96" s="15" t="s">
        <v>1548</v>
      </c>
      <c r="AH96" s="15" t="s">
        <v>1551</v>
      </c>
      <c r="AL96" s="15" t="s">
        <v>1552</v>
      </c>
      <c r="AN96" s="15">
        <v>81</v>
      </c>
      <c r="AO96" s="15" t="s">
        <v>1553</v>
      </c>
      <c r="AQ96" s="28" t="s">
        <v>503</v>
      </c>
      <c r="AT96" s="15" t="s">
        <v>1554</v>
      </c>
      <c r="AU96" s="17" t="s">
        <v>1555</v>
      </c>
      <c r="AV96" s="17" t="s">
        <v>1555</v>
      </c>
      <c r="AW96" s="15" t="s">
        <v>1556</v>
      </c>
      <c r="AX96" s="15" t="s">
        <v>1557</v>
      </c>
      <c r="AY96" s="15">
        <f t="shared" si="2"/>
        <v>59</v>
      </c>
      <c r="AZ96" s="17" t="s">
        <v>785</v>
      </c>
      <c r="BA96" s="17" t="s">
        <v>507</v>
      </c>
      <c r="BB96" s="17" t="s">
        <v>877</v>
      </c>
      <c r="BE96" s="17" t="s">
        <v>1558</v>
      </c>
      <c r="BJ96" s="17" t="s">
        <v>1559</v>
      </c>
      <c r="BN96" s="17" t="s">
        <v>511</v>
      </c>
      <c r="BP96" s="17" t="s">
        <v>140</v>
      </c>
      <c r="BS96" s="15" t="s">
        <v>1560</v>
      </c>
      <c r="DH96" s="15" t="s">
        <v>4597</v>
      </c>
      <c r="DI96" s="15" t="s">
        <v>4597</v>
      </c>
    </row>
    <row r="97" spans="1:113" s="15" customFormat="1" ht="12.75" x14ac:dyDescent="0.2">
      <c r="A97" s="15" t="s">
        <v>109</v>
      </c>
      <c r="B97" s="16" t="s">
        <v>493</v>
      </c>
      <c r="C97" s="15" t="s">
        <v>494</v>
      </c>
      <c r="D97" s="15" t="s">
        <v>1483</v>
      </c>
      <c r="E97" s="15" t="s">
        <v>113</v>
      </c>
      <c r="F97" s="15" t="s">
        <v>1483</v>
      </c>
      <c r="G97" s="15" t="s">
        <v>114</v>
      </c>
      <c r="H97" s="15" t="s">
        <v>1111</v>
      </c>
      <c r="J97" s="18" t="s">
        <v>115</v>
      </c>
      <c r="W97" s="15">
        <v>117</v>
      </c>
      <c r="X97" s="15">
        <v>92</v>
      </c>
      <c r="Y97" s="15" t="s">
        <v>495</v>
      </c>
      <c r="Z97" s="15" t="s">
        <v>496</v>
      </c>
      <c r="AA97" s="27" t="s">
        <v>495</v>
      </c>
      <c r="AB97" s="15" t="s">
        <v>1561</v>
      </c>
      <c r="AC97" s="15" t="s">
        <v>1562</v>
      </c>
      <c r="AD97" s="15" t="s">
        <v>1563</v>
      </c>
      <c r="AE97" s="15" t="s">
        <v>496</v>
      </c>
      <c r="AF97" s="15" t="s">
        <v>1563</v>
      </c>
      <c r="AG97" s="15" t="s">
        <v>1561</v>
      </c>
      <c r="AH97" s="15" t="s">
        <v>1564</v>
      </c>
      <c r="AL97" s="15" t="s">
        <v>1565</v>
      </c>
      <c r="AN97" s="15">
        <v>81</v>
      </c>
      <c r="AO97" s="15" t="s">
        <v>1566</v>
      </c>
      <c r="AQ97" s="28" t="s">
        <v>503</v>
      </c>
      <c r="AT97" s="15" t="s">
        <v>1567</v>
      </c>
      <c r="AU97" s="17" t="s">
        <v>1568</v>
      </c>
      <c r="AV97" s="17" t="s">
        <v>1568</v>
      </c>
      <c r="AW97" s="15" t="s">
        <v>1569</v>
      </c>
      <c r="AX97" s="15" t="s">
        <v>1570</v>
      </c>
      <c r="AY97" s="15">
        <f t="shared" si="2"/>
        <v>59</v>
      </c>
      <c r="AZ97" s="17" t="s">
        <v>785</v>
      </c>
      <c r="BA97" s="17" t="s">
        <v>507</v>
      </c>
      <c r="BB97" s="17" t="s">
        <v>877</v>
      </c>
      <c r="BE97" s="17" t="s">
        <v>1571</v>
      </c>
      <c r="BJ97" s="17" t="s">
        <v>1572</v>
      </c>
      <c r="BN97" s="17" t="s">
        <v>511</v>
      </c>
      <c r="BP97" s="17" t="s">
        <v>140</v>
      </c>
      <c r="BS97" s="15" t="s">
        <v>1573</v>
      </c>
      <c r="DH97" s="15" t="s">
        <v>4597</v>
      </c>
      <c r="DI97" s="15" t="s">
        <v>4597</v>
      </c>
    </row>
    <row r="98" spans="1:113" s="15" customFormat="1" ht="12.75" x14ac:dyDescent="0.2">
      <c r="A98" s="15" t="s">
        <v>109</v>
      </c>
      <c r="B98" s="16" t="s">
        <v>493</v>
      </c>
      <c r="C98" s="15" t="s">
        <v>494</v>
      </c>
      <c r="D98" s="15" t="s">
        <v>1483</v>
      </c>
      <c r="E98" s="15" t="s">
        <v>113</v>
      </c>
      <c r="F98" s="15" t="s">
        <v>1483</v>
      </c>
      <c r="G98" s="15" t="s">
        <v>114</v>
      </c>
      <c r="H98" s="15" t="s">
        <v>1111</v>
      </c>
      <c r="J98" s="18" t="s">
        <v>115</v>
      </c>
      <c r="W98" s="15">
        <v>118</v>
      </c>
      <c r="X98" s="15">
        <v>93</v>
      </c>
      <c r="Y98" s="15" t="s">
        <v>495</v>
      </c>
      <c r="Z98" s="15" t="s">
        <v>496</v>
      </c>
      <c r="AA98" s="27" t="s">
        <v>495</v>
      </c>
      <c r="AB98" s="15" t="s">
        <v>1574</v>
      </c>
      <c r="AC98" s="15" t="s">
        <v>1575</v>
      </c>
      <c r="AD98" s="15" t="s">
        <v>1576</v>
      </c>
      <c r="AE98" s="15" t="s">
        <v>496</v>
      </c>
      <c r="AF98" s="15" t="s">
        <v>1576</v>
      </c>
      <c r="AG98" s="15" t="s">
        <v>1574</v>
      </c>
      <c r="AH98" s="15" t="s">
        <v>1577</v>
      </c>
      <c r="AL98" s="15" t="s">
        <v>1578</v>
      </c>
      <c r="AN98" s="15">
        <v>81</v>
      </c>
      <c r="AO98" s="15" t="s">
        <v>1579</v>
      </c>
      <c r="AQ98" s="28" t="s">
        <v>503</v>
      </c>
      <c r="AT98" s="15" t="s">
        <v>1567</v>
      </c>
      <c r="AU98" s="17" t="s">
        <v>1580</v>
      </c>
      <c r="AV98" s="17" t="s">
        <v>1580</v>
      </c>
      <c r="AW98" s="15" t="s">
        <v>1581</v>
      </c>
      <c r="AX98" s="15" t="s">
        <v>1582</v>
      </c>
      <c r="AY98" s="15">
        <f t="shared" ref="AY98:AY129" si="3">LEN(SUBSTITUTE(AX98, ", "," "))</f>
        <v>56</v>
      </c>
      <c r="AZ98" s="17" t="s">
        <v>785</v>
      </c>
      <c r="BA98" s="17" t="s">
        <v>507</v>
      </c>
      <c r="BB98" s="17" t="s">
        <v>877</v>
      </c>
      <c r="BE98" s="17" t="s">
        <v>1583</v>
      </c>
      <c r="BJ98" s="17" t="s">
        <v>1584</v>
      </c>
      <c r="BN98" s="17" t="s">
        <v>511</v>
      </c>
      <c r="BP98" s="17" t="s">
        <v>140</v>
      </c>
      <c r="BS98" s="15" t="s">
        <v>1585</v>
      </c>
      <c r="DH98" s="15" t="s">
        <v>4597</v>
      </c>
      <c r="DI98" s="15" t="s">
        <v>4597</v>
      </c>
    </row>
    <row r="99" spans="1:113" s="15" customFormat="1" ht="12.75" x14ac:dyDescent="0.2">
      <c r="A99" s="15" t="s">
        <v>109</v>
      </c>
      <c r="B99" s="16" t="s">
        <v>493</v>
      </c>
      <c r="C99" s="15" t="s">
        <v>494</v>
      </c>
      <c r="D99" s="15" t="s">
        <v>1483</v>
      </c>
      <c r="E99" s="15" t="s">
        <v>113</v>
      </c>
      <c r="F99" s="15" t="s">
        <v>1483</v>
      </c>
      <c r="G99" s="15" t="s">
        <v>114</v>
      </c>
      <c r="H99" s="15" t="s">
        <v>1111</v>
      </c>
      <c r="J99" s="18" t="s">
        <v>115</v>
      </c>
      <c r="W99" s="15">
        <v>119</v>
      </c>
      <c r="X99" s="15">
        <v>94</v>
      </c>
      <c r="Y99" s="15" t="s">
        <v>495</v>
      </c>
      <c r="Z99" s="15" t="s">
        <v>496</v>
      </c>
      <c r="AA99" s="27" t="s">
        <v>495</v>
      </c>
      <c r="AB99" s="15" t="s">
        <v>1586</v>
      </c>
      <c r="AC99" s="15" t="s">
        <v>1587</v>
      </c>
      <c r="AD99" s="15" t="s">
        <v>1588</v>
      </c>
      <c r="AE99" s="15" t="s">
        <v>496</v>
      </c>
      <c r="AF99" s="15" t="s">
        <v>1588</v>
      </c>
      <c r="AG99" s="15" t="s">
        <v>1586</v>
      </c>
      <c r="AH99" s="15" t="s">
        <v>1589</v>
      </c>
      <c r="AL99" s="15" t="s">
        <v>1590</v>
      </c>
      <c r="AN99" s="15">
        <v>81</v>
      </c>
      <c r="AO99" s="15" t="s">
        <v>1591</v>
      </c>
      <c r="AQ99" s="28" t="s">
        <v>503</v>
      </c>
      <c r="AT99" s="15" t="s">
        <v>1567</v>
      </c>
      <c r="AU99" s="17" t="s">
        <v>1592</v>
      </c>
      <c r="AV99" s="17" t="s">
        <v>1592</v>
      </c>
      <c r="AW99" s="15" t="s">
        <v>1593</v>
      </c>
      <c r="AX99" s="15" t="s">
        <v>1594</v>
      </c>
      <c r="AY99" s="15">
        <f t="shared" si="3"/>
        <v>57</v>
      </c>
      <c r="AZ99" s="17" t="s">
        <v>785</v>
      </c>
      <c r="BA99" s="17" t="s">
        <v>507</v>
      </c>
      <c r="BB99" s="17" t="s">
        <v>877</v>
      </c>
      <c r="BE99" s="17" t="s">
        <v>1468</v>
      </c>
      <c r="BJ99" s="17" t="s">
        <v>1595</v>
      </c>
      <c r="BN99" s="17" t="s">
        <v>511</v>
      </c>
      <c r="BP99" s="17" t="s">
        <v>140</v>
      </c>
      <c r="BS99" s="15" t="s">
        <v>1596</v>
      </c>
      <c r="DH99" s="15" t="s">
        <v>4597</v>
      </c>
      <c r="DI99" s="15" t="s">
        <v>4597</v>
      </c>
    </row>
    <row r="100" spans="1:113" s="15" customFormat="1" ht="12.75" x14ac:dyDescent="0.2">
      <c r="A100" s="15" t="s">
        <v>109</v>
      </c>
      <c r="B100" s="16" t="s">
        <v>493</v>
      </c>
      <c r="C100" s="15" t="s">
        <v>494</v>
      </c>
      <c r="D100" s="15" t="s">
        <v>1483</v>
      </c>
      <c r="E100" s="15" t="s">
        <v>113</v>
      </c>
      <c r="F100" s="15" t="s">
        <v>1483</v>
      </c>
      <c r="G100" s="15" t="s">
        <v>114</v>
      </c>
      <c r="H100" s="15" t="s">
        <v>1111</v>
      </c>
      <c r="J100" s="18" t="s">
        <v>115</v>
      </c>
      <c r="W100" s="15">
        <v>120</v>
      </c>
      <c r="X100" s="15">
        <v>95</v>
      </c>
      <c r="Y100" s="15" t="s">
        <v>495</v>
      </c>
      <c r="Z100" s="15" t="s">
        <v>496</v>
      </c>
      <c r="AA100" s="27" t="s">
        <v>495</v>
      </c>
      <c r="AB100" s="15" t="s">
        <v>1597</v>
      </c>
      <c r="AC100" s="15" t="s">
        <v>1598</v>
      </c>
      <c r="AD100" s="15" t="s">
        <v>1599</v>
      </c>
      <c r="AE100" s="15" t="s">
        <v>496</v>
      </c>
      <c r="AF100" s="15" t="s">
        <v>1599</v>
      </c>
      <c r="AG100" s="15" t="s">
        <v>1597</v>
      </c>
      <c r="AH100" s="15" t="s">
        <v>1600</v>
      </c>
      <c r="AL100" s="15" t="s">
        <v>1601</v>
      </c>
      <c r="AN100" s="15">
        <v>81</v>
      </c>
      <c r="AO100" s="15" t="s">
        <v>1602</v>
      </c>
      <c r="AQ100" s="28" t="s">
        <v>503</v>
      </c>
      <c r="AT100" s="15" t="s">
        <v>1567</v>
      </c>
      <c r="AU100" s="17" t="s">
        <v>1603</v>
      </c>
      <c r="AV100" s="17" t="s">
        <v>1603</v>
      </c>
      <c r="AW100" s="15" t="s">
        <v>1604</v>
      </c>
      <c r="AX100" s="15" t="s">
        <v>1605</v>
      </c>
      <c r="AY100" s="15">
        <f t="shared" si="3"/>
        <v>57</v>
      </c>
      <c r="AZ100" s="17" t="s">
        <v>785</v>
      </c>
      <c r="BA100" s="17" t="s">
        <v>507</v>
      </c>
      <c r="BB100" s="17" t="s">
        <v>877</v>
      </c>
      <c r="BE100" s="17" t="s">
        <v>1606</v>
      </c>
      <c r="BJ100" s="17" t="s">
        <v>1595</v>
      </c>
      <c r="BN100" s="17" t="s">
        <v>511</v>
      </c>
      <c r="BP100" s="17" t="s">
        <v>140</v>
      </c>
      <c r="BS100" s="15" t="s">
        <v>1607</v>
      </c>
      <c r="DH100" s="15" t="s">
        <v>4597</v>
      </c>
      <c r="DI100" s="15" t="s">
        <v>4597</v>
      </c>
    </row>
    <row r="101" spans="1:113" s="15" customFormat="1" ht="12.75" x14ac:dyDescent="0.2">
      <c r="A101" s="15" t="s">
        <v>109</v>
      </c>
      <c r="B101" s="16" t="s">
        <v>493</v>
      </c>
      <c r="C101" s="15" t="s">
        <v>494</v>
      </c>
      <c r="D101" s="15" t="s">
        <v>1483</v>
      </c>
      <c r="E101" s="15" t="s">
        <v>113</v>
      </c>
      <c r="F101" s="15" t="s">
        <v>1483</v>
      </c>
      <c r="G101" s="15" t="s">
        <v>114</v>
      </c>
      <c r="H101" s="15" t="s">
        <v>1111</v>
      </c>
      <c r="J101" s="18" t="s">
        <v>115</v>
      </c>
      <c r="W101" s="15">
        <v>121</v>
      </c>
      <c r="X101" s="15">
        <v>96</v>
      </c>
      <c r="Y101" s="15" t="s">
        <v>495</v>
      </c>
      <c r="Z101" s="15" t="s">
        <v>496</v>
      </c>
      <c r="AA101" s="27" t="s">
        <v>495</v>
      </c>
      <c r="AB101" s="15" t="s">
        <v>1608</v>
      </c>
      <c r="AC101" s="15" t="s">
        <v>1609</v>
      </c>
      <c r="AD101" s="15" t="s">
        <v>1610</v>
      </c>
      <c r="AE101" s="15" t="s">
        <v>496</v>
      </c>
      <c r="AF101" s="15" t="s">
        <v>1610</v>
      </c>
      <c r="AG101" s="15" t="s">
        <v>1608</v>
      </c>
      <c r="AH101" s="15" t="s">
        <v>1611</v>
      </c>
      <c r="AL101" s="15" t="s">
        <v>1612</v>
      </c>
      <c r="AN101" s="15">
        <v>81</v>
      </c>
      <c r="AO101" s="15" t="s">
        <v>1613</v>
      </c>
      <c r="AQ101" s="28" t="s">
        <v>503</v>
      </c>
      <c r="AT101" s="15" t="s">
        <v>1567</v>
      </c>
      <c r="AU101" s="17" t="s">
        <v>1614</v>
      </c>
      <c r="AV101" s="17" t="s">
        <v>1614</v>
      </c>
      <c r="AW101" s="15" t="s">
        <v>1615</v>
      </c>
      <c r="AX101" s="15" t="s">
        <v>1616</v>
      </c>
      <c r="AY101" s="15">
        <f t="shared" si="3"/>
        <v>57</v>
      </c>
      <c r="AZ101" s="17" t="s">
        <v>785</v>
      </c>
      <c r="BA101" s="17" t="s">
        <v>507</v>
      </c>
      <c r="BB101" s="17" t="s">
        <v>877</v>
      </c>
      <c r="BE101" s="17" t="s">
        <v>1617</v>
      </c>
      <c r="BJ101" s="17" t="s">
        <v>1595</v>
      </c>
      <c r="BN101" s="17" t="s">
        <v>511</v>
      </c>
      <c r="BP101" s="17" t="s">
        <v>140</v>
      </c>
      <c r="BS101" s="15" t="s">
        <v>1618</v>
      </c>
      <c r="DH101" s="15" t="s">
        <v>4597</v>
      </c>
      <c r="DI101" s="15" t="s">
        <v>4597</v>
      </c>
    </row>
    <row r="102" spans="1:113" s="15" customFormat="1" ht="12.75" x14ac:dyDescent="0.2">
      <c r="A102" s="15" t="s">
        <v>109</v>
      </c>
      <c r="B102" s="16" t="s">
        <v>493</v>
      </c>
      <c r="C102" s="15" t="s">
        <v>494</v>
      </c>
      <c r="D102" s="15" t="s">
        <v>1483</v>
      </c>
      <c r="E102" s="15" t="s">
        <v>113</v>
      </c>
      <c r="F102" s="15" t="s">
        <v>1483</v>
      </c>
      <c r="G102" s="15" t="s">
        <v>114</v>
      </c>
      <c r="H102" s="15" t="s">
        <v>1111</v>
      </c>
      <c r="J102" s="18" t="s">
        <v>115</v>
      </c>
      <c r="W102" s="15">
        <v>122</v>
      </c>
      <c r="X102" s="15">
        <v>97</v>
      </c>
      <c r="Y102" s="15" t="s">
        <v>495</v>
      </c>
      <c r="Z102" s="15" t="s">
        <v>496</v>
      </c>
      <c r="AA102" s="27" t="s">
        <v>495</v>
      </c>
      <c r="AB102" s="15" t="s">
        <v>1619</v>
      </c>
      <c r="AC102" s="15" t="s">
        <v>1620</v>
      </c>
      <c r="AD102" s="15" t="s">
        <v>1621</v>
      </c>
      <c r="AE102" s="15" t="s">
        <v>496</v>
      </c>
      <c r="AF102" s="15" t="s">
        <v>1621</v>
      </c>
      <c r="AG102" s="15" t="s">
        <v>1619</v>
      </c>
      <c r="AH102" s="15" t="s">
        <v>1622</v>
      </c>
      <c r="AL102" s="15" t="s">
        <v>1623</v>
      </c>
      <c r="AN102" s="15">
        <v>81</v>
      </c>
      <c r="AO102" s="15" t="s">
        <v>1624</v>
      </c>
      <c r="AQ102" s="28" t="s">
        <v>503</v>
      </c>
      <c r="AT102" s="15" t="s">
        <v>1625</v>
      </c>
      <c r="AU102" s="17" t="s">
        <v>1626</v>
      </c>
      <c r="AV102" s="17" t="s">
        <v>1626</v>
      </c>
      <c r="AW102" s="15" t="s">
        <v>1627</v>
      </c>
      <c r="AX102" s="15" t="s">
        <v>1628</v>
      </c>
      <c r="AY102" s="15">
        <f t="shared" si="3"/>
        <v>60</v>
      </c>
      <c r="AZ102" s="17" t="s">
        <v>785</v>
      </c>
      <c r="BA102" s="17" t="s">
        <v>507</v>
      </c>
      <c r="BB102" s="17" t="s">
        <v>877</v>
      </c>
      <c r="BE102" s="17" t="s">
        <v>1520</v>
      </c>
      <c r="BJ102" s="17" t="s">
        <v>1629</v>
      </c>
      <c r="BN102" s="17" t="s">
        <v>511</v>
      </c>
      <c r="BP102" s="17" t="s">
        <v>140</v>
      </c>
      <c r="BS102" s="15" t="s">
        <v>1630</v>
      </c>
      <c r="DH102" s="15" t="s">
        <v>4597</v>
      </c>
      <c r="DI102" s="15" t="s">
        <v>4597</v>
      </c>
    </row>
    <row r="103" spans="1:113" s="15" customFormat="1" ht="12.75" x14ac:dyDescent="0.2">
      <c r="A103" s="15" t="s">
        <v>109</v>
      </c>
      <c r="B103" s="16" t="s">
        <v>493</v>
      </c>
      <c r="C103" s="15" t="s">
        <v>494</v>
      </c>
      <c r="D103" s="15" t="s">
        <v>1483</v>
      </c>
      <c r="E103" s="15" t="s">
        <v>113</v>
      </c>
      <c r="F103" s="15" t="s">
        <v>1483</v>
      </c>
      <c r="G103" s="15" t="s">
        <v>114</v>
      </c>
      <c r="H103" s="15" t="s">
        <v>1111</v>
      </c>
      <c r="J103" s="18" t="s">
        <v>115</v>
      </c>
      <c r="W103" s="15">
        <v>123</v>
      </c>
      <c r="X103" s="15">
        <v>98</v>
      </c>
      <c r="Y103" s="15" t="s">
        <v>495</v>
      </c>
      <c r="Z103" s="15" t="s">
        <v>496</v>
      </c>
      <c r="AA103" s="27" t="s">
        <v>495</v>
      </c>
      <c r="AB103" s="15" t="s">
        <v>1631</v>
      </c>
      <c r="AC103" s="15" t="s">
        <v>1632</v>
      </c>
      <c r="AD103" s="15" t="s">
        <v>1633</v>
      </c>
      <c r="AE103" s="15" t="s">
        <v>496</v>
      </c>
      <c r="AF103" s="15" t="s">
        <v>1633</v>
      </c>
      <c r="AG103" s="15" t="s">
        <v>1631</v>
      </c>
      <c r="AH103" s="15" t="s">
        <v>1634</v>
      </c>
      <c r="AL103" s="15" t="s">
        <v>1635</v>
      </c>
      <c r="AN103" s="15">
        <v>81</v>
      </c>
      <c r="AO103" s="15" t="s">
        <v>1636</v>
      </c>
      <c r="AQ103" s="28" t="s">
        <v>503</v>
      </c>
      <c r="AT103" s="15" t="s">
        <v>1637</v>
      </c>
      <c r="AU103" s="17" t="s">
        <v>1638</v>
      </c>
      <c r="AV103" s="17" t="s">
        <v>1638</v>
      </c>
      <c r="AW103" s="15" t="s">
        <v>1639</v>
      </c>
      <c r="AX103" s="15" t="s">
        <v>1640</v>
      </c>
      <c r="AY103" s="15">
        <f t="shared" si="3"/>
        <v>58</v>
      </c>
      <c r="AZ103" s="17" t="s">
        <v>785</v>
      </c>
      <c r="BA103" s="17" t="s">
        <v>507</v>
      </c>
      <c r="BB103" s="17" t="s">
        <v>877</v>
      </c>
      <c r="BE103" s="17" t="s">
        <v>1545</v>
      </c>
      <c r="BJ103" s="17" t="s">
        <v>1641</v>
      </c>
      <c r="BN103" s="17" t="s">
        <v>511</v>
      </c>
      <c r="BP103" s="17" t="s">
        <v>140</v>
      </c>
      <c r="BS103" s="15" t="s">
        <v>1642</v>
      </c>
      <c r="DH103" s="15" t="s">
        <v>4597</v>
      </c>
      <c r="DI103" s="15" t="s">
        <v>4597</v>
      </c>
    </row>
    <row r="104" spans="1:113" s="15" customFormat="1" ht="12.75" x14ac:dyDescent="0.2">
      <c r="A104" s="15" t="s">
        <v>109</v>
      </c>
      <c r="B104" s="16" t="s">
        <v>493</v>
      </c>
      <c r="C104" s="15" t="s">
        <v>494</v>
      </c>
      <c r="D104" s="15" t="s">
        <v>1483</v>
      </c>
      <c r="E104" s="15" t="s">
        <v>113</v>
      </c>
      <c r="F104" s="15" t="s">
        <v>1483</v>
      </c>
      <c r="G104" s="15" t="s">
        <v>114</v>
      </c>
      <c r="H104" s="15" t="s">
        <v>1111</v>
      </c>
      <c r="J104" s="18" t="s">
        <v>115</v>
      </c>
      <c r="W104" s="15">
        <v>124</v>
      </c>
      <c r="X104" s="15">
        <v>99</v>
      </c>
      <c r="Y104" s="15" t="s">
        <v>495</v>
      </c>
      <c r="Z104" s="15" t="s">
        <v>496</v>
      </c>
      <c r="AA104" s="27" t="s">
        <v>495</v>
      </c>
      <c r="AB104" s="15" t="s">
        <v>1643</v>
      </c>
      <c r="AC104" s="15" t="s">
        <v>1644</v>
      </c>
      <c r="AD104" s="15" t="s">
        <v>1645</v>
      </c>
      <c r="AE104" s="15" t="s">
        <v>496</v>
      </c>
      <c r="AF104" s="15" t="s">
        <v>1645</v>
      </c>
      <c r="AG104" s="15" t="s">
        <v>1643</v>
      </c>
      <c r="AH104" s="15" t="s">
        <v>1646</v>
      </c>
      <c r="AL104" s="15" t="s">
        <v>1647</v>
      </c>
      <c r="AN104" s="15">
        <v>81</v>
      </c>
      <c r="AO104" s="15" t="s">
        <v>1648</v>
      </c>
      <c r="AQ104" s="28" t="s">
        <v>503</v>
      </c>
      <c r="AT104" s="15" t="s">
        <v>1637</v>
      </c>
      <c r="AU104" s="17" t="s">
        <v>1649</v>
      </c>
      <c r="AV104" s="17" t="s">
        <v>1649</v>
      </c>
      <c r="AW104" s="15" t="s">
        <v>1650</v>
      </c>
      <c r="AX104" s="15" t="s">
        <v>1651</v>
      </c>
      <c r="AY104" s="15">
        <f t="shared" si="3"/>
        <v>59</v>
      </c>
      <c r="AZ104" s="17" t="s">
        <v>785</v>
      </c>
      <c r="BA104" s="17" t="s">
        <v>507</v>
      </c>
      <c r="BB104" s="17" t="s">
        <v>877</v>
      </c>
      <c r="BE104" s="17" t="s">
        <v>1617</v>
      </c>
      <c r="BJ104" s="17" t="s">
        <v>1652</v>
      </c>
      <c r="BN104" s="17" t="s">
        <v>511</v>
      </c>
      <c r="BP104" s="17" t="s">
        <v>140</v>
      </c>
      <c r="BS104" s="15" t="s">
        <v>1653</v>
      </c>
      <c r="DH104" s="15" t="s">
        <v>4597</v>
      </c>
      <c r="DI104" s="15" t="s">
        <v>4597</v>
      </c>
    </row>
    <row r="105" spans="1:113" s="15" customFormat="1" ht="12.75" x14ac:dyDescent="0.2">
      <c r="A105" s="15" t="s">
        <v>109</v>
      </c>
      <c r="B105" s="16" t="s">
        <v>493</v>
      </c>
      <c r="C105" s="15" t="s">
        <v>494</v>
      </c>
      <c r="D105" s="15" t="s">
        <v>1483</v>
      </c>
      <c r="E105" s="15" t="s">
        <v>113</v>
      </c>
      <c r="F105" s="15" t="s">
        <v>1483</v>
      </c>
      <c r="G105" s="15" t="s">
        <v>114</v>
      </c>
      <c r="H105" s="15" t="s">
        <v>1111</v>
      </c>
      <c r="J105" s="18" t="s">
        <v>115</v>
      </c>
      <c r="W105" s="15">
        <v>125</v>
      </c>
      <c r="X105" s="15">
        <v>100</v>
      </c>
      <c r="Y105" s="15" t="s">
        <v>495</v>
      </c>
      <c r="Z105" s="15" t="s">
        <v>496</v>
      </c>
      <c r="AA105" s="27" t="s">
        <v>495</v>
      </c>
      <c r="AB105" s="15" t="s">
        <v>1654</v>
      </c>
      <c r="AC105" s="15" t="s">
        <v>1655</v>
      </c>
      <c r="AD105" s="15" t="s">
        <v>1656</v>
      </c>
      <c r="AE105" s="15" t="s">
        <v>496</v>
      </c>
      <c r="AF105" s="15" t="s">
        <v>1656</v>
      </c>
      <c r="AG105" s="15" t="s">
        <v>1654</v>
      </c>
      <c r="AH105" s="15" t="s">
        <v>1657</v>
      </c>
      <c r="AL105" s="15" t="s">
        <v>1658</v>
      </c>
      <c r="AN105" s="15">
        <v>81</v>
      </c>
      <c r="AO105" s="15" t="s">
        <v>1659</v>
      </c>
      <c r="AQ105" s="28" t="s">
        <v>503</v>
      </c>
      <c r="AT105" s="15" t="s">
        <v>1660</v>
      </c>
      <c r="AU105" s="17" t="s">
        <v>1661</v>
      </c>
      <c r="AV105" s="17" t="s">
        <v>1661</v>
      </c>
      <c r="AW105" s="15" t="s">
        <v>1662</v>
      </c>
      <c r="AX105" s="15" t="s">
        <v>1663</v>
      </c>
      <c r="AY105" s="15">
        <f t="shared" si="3"/>
        <v>60</v>
      </c>
      <c r="AZ105" s="17" t="s">
        <v>785</v>
      </c>
      <c r="BA105" s="17" t="s">
        <v>507</v>
      </c>
      <c r="BB105" s="17" t="s">
        <v>877</v>
      </c>
      <c r="BE105" s="17" t="s">
        <v>740</v>
      </c>
      <c r="BJ105" s="17" t="s">
        <v>1664</v>
      </c>
      <c r="BN105" s="17" t="s">
        <v>511</v>
      </c>
      <c r="BP105" s="17" t="s">
        <v>140</v>
      </c>
      <c r="BS105" s="15" t="s">
        <v>1665</v>
      </c>
      <c r="DH105" s="15" t="s">
        <v>4597</v>
      </c>
      <c r="DI105" s="15" t="s">
        <v>4597</v>
      </c>
    </row>
    <row r="106" spans="1:113" s="15" customFormat="1" ht="12.75" x14ac:dyDescent="0.2">
      <c r="A106" s="15" t="s">
        <v>109</v>
      </c>
      <c r="B106" s="16" t="s">
        <v>493</v>
      </c>
      <c r="C106" s="15" t="s">
        <v>494</v>
      </c>
      <c r="D106" s="15" t="s">
        <v>1483</v>
      </c>
      <c r="E106" s="15" t="s">
        <v>113</v>
      </c>
      <c r="F106" s="15" t="s">
        <v>1483</v>
      </c>
      <c r="G106" s="15" t="s">
        <v>114</v>
      </c>
      <c r="H106" s="15" t="s">
        <v>1111</v>
      </c>
      <c r="J106" s="18" t="s">
        <v>115</v>
      </c>
      <c r="W106" s="15">
        <v>126</v>
      </c>
      <c r="X106" s="15">
        <v>101</v>
      </c>
      <c r="Y106" s="15" t="s">
        <v>495</v>
      </c>
      <c r="Z106" s="15" t="s">
        <v>496</v>
      </c>
      <c r="AA106" s="27" t="s">
        <v>495</v>
      </c>
      <c r="AB106" s="15" t="s">
        <v>1666</v>
      </c>
      <c r="AC106" s="15" t="s">
        <v>1667</v>
      </c>
      <c r="AD106" s="15" t="s">
        <v>1668</v>
      </c>
      <c r="AE106" s="15" t="s">
        <v>496</v>
      </c>
      <c r="AF106" s="15" t="s">
        <v>1668</v>
      </c>
      <c r="AG106" s="15" t="s">
        <v>1666</v>
      </c>
      <c r="AH106" s="15" t="s">
        <v>1669</v>
      </c>
      <c r="AL106" s="15" t="s">
        <v>1670</v>
      </c>
      <c r="AN106" s="15">
        <v>81</v>
      </c>
      <c r="AO106" s="15" t="s">
        <v>1671</v>
      </c>
      <c r="AQ106" s="28" t="s">
        <v>503</v>
      </c>
      <c r="AT106" s="15" t="s">
        <v>1672</v>
      </c>
      <c r="AU106" s="17" t="s">
        <v>1673</v>
      </c>
      <c r="AV106" s="17" t="s">
        <v>1673</v>
      </c>
      <c r="AW106" s="15" t="s">
        <v>1674</v>
      </c>
      <c r="AX106" s="15" t="s">
        <v>1675</v>
      </c>
      <c r="AY106" s="15">
        <f t="shared" si="3"/>
        <v>58</v>
      </c>
      <c r="AZ106" s="17" t="s">
        <v>785</v>
      </c>
      <c r="BA106" s="17" t="s">
        <v>507</v>
      </c>
      <c r="BB106" s="17" t="s">
        <v>877</v>
      </c>
      <c r="BE106" s="17" t="s">
        <v>1676</v>
      </c>
      <c r="BJ106" s="17" t="s">
        <v>1677</v>
      </c>
      <c r="BN106" s="17" t="s">
        <v>511</v>
      </c>
      <c r="BP106" s="17" t="s">
        <v>140</v>
      </c>
      <c r="BS106" s="15" t="s">
        <v>1678</v>
      </c>
      <c r="DH106" s="15" t="s">
        <v>4597</v>
      </c>
      <c r="DI106" s="15" t="s">
        <v>4597</v>
      </c>
    </row>
    <row r="107" spans="1:113" s="15" customFormat="1" ht="12.75" x14ac:dyDescent="0.2">
      <c r="A107" s="15" t="s">
        <v>109</v>
      </c>
      <c r="B107" s="16" t="s">
        <v>493</v>
      </c>
      <c r="C107" s="15" t="s">
        <v>494</v>
      </c>
      <c r="D107" s="15" t="s">
        <v>1483</v>
      </c>
      <c r="E107" s="15" t="s">
        <v>113</v>
      </c>
      <c r="F107" s="15" t="s">
        <v>1483</v>
      </c>
      <c r="G107" s="15" t="s">
        <v>114</v>
      </c>
      <c r="H107" s="15" t="s">
        <v>1111</v>
      </c>
      <c r="J107" s="18" t="s">
        <v>115</v>
      </c>
      <c r="W107" s="15">
        <v>127</v>
      </c>
      <c r="X107" s="15">
        <v>102</v>
      </c>
      <c r="Y107" s="15" t="s">
        <v>495</v>
      </c>
      <c r="Z107" s="15" t="s">
        <v>496</v>
      </c>
      <c r="AA107" s="27" t="s">
        <v>495</v>
      </c>
      <c r="AB107" s="15" t="s">
        <v>1679</v>
      </c>
      <c r="AC107" s="15" t="s">
        <v>1680</v>
      </c>
      <c r="AD107" s="15" t="s">
        <v>1681</v>
      </c>
      <c r="AE107" s="15" t="s">
        <v>496</v>
      </c>
      <c r="AF107" s="15" t="s">
        <v>1681</v>
      </c>
      <c r="AG107" s="15" t="s">
        <v>1679</v>
      </c>
      <c r="AH107" s="15" t="s">
        <v>1682</v>
      </c>
      <c r="AL107" s="15" t="s">
        <v>1683</v>
      </c>
      <c r="AN107" s="15">
        <v>81</v>
      </c>
      <c r="AO107" s="15" t="s">
        <v>1684</v>
      </c>
      <c r="AQ107" s="28" t="s">
        <v>503</v>
      </c>
      <c r="AT107" s="15" t="s">
        <v>1685</v>
      </c>
      <c r="AU107" s="17" t="s">
        <v>1686</v>
      </c>
      <c r="AV107" s="17" t="s">
        <v>1686</v>
      </c>
      <c r="AW107" s="15" t="s">
        <v>1687</v>
      </c>
      <c r="AX107" s="15" t="s">
        <v>1688</v>
      </c>
      <c r="AY107" s="15">
        <f t="shared" si="3"/>
        <v>58</v>
      </c>
      <c r="AZ107" s="17" t="s">
        <v>785</v>
      </c>
      <c r="BA107" s="17" t="s">
        <v>507</v>
      </c>
      <c r="BB107" s="17" t="s">
        <v>877</v>
      </c>
      <c r="BE107" s="17" t="s">
        <v>342</v>
      </c>
      <c r="BJ107" s="17" t="s">
        <v>1689</v>
      </c>
      <c r="BN107" s="17" t="s">
        <v>511</v>
      </c>
      <c r="BP107" s="17" t="s">
        <v>140</v>
      </c>
      <c r="BS107" s="15" t="s">
        <v>1690</v>
      </c>
      <c r="DH107" s="15" t="s">
        <v>4597</v>
      </c>
      <c r="DI107" s="15" t="s">
        <v>4597</v>
      </c>
    </row>
    <row r="108" spans="1:113" s="15" customFormat="1" ht="12.75" x14ac:dyDescent="0.2">
      <c r="A108" s="15" t="s">
        <v>109</v>
      </c>
      <c r="B108" s="16" t="s">
        <v>493</v>
      </c>
      <c r="C108" s="15" t="s">
        <v>494</v>
      </c>
      <c r="D108" s="15" t="s">
        <v>1483</v>
      </c>
      <c r="E108" s="15" t="s">
        <v>113</v>
      </c>
      <c r="F108" s="15" t="s">
        <v>1483</v>
      </c>
      <c r="G108" s="15" t="s">
        <v>114</v>
      </c>
      <c r="H108" s="15" t="s">
        <v>1111</v>
      </c>
      <c r="J108" s="18" t="s">
        <v>115</v>
      </c>
      <c r="W108" s="15">
        <v>128</v>
      </c>
      <c r="X108" s="15">
        <v>103</v>
      </c>
      <c r="Y108" s="15" t="s">
        <v>495</v>
      </c>
      <c r="Z108" s="15" t="s">
        <v>496</v>
      </c>
      <c r="AA108" s="27" t="s">
        <v>495</v>
      </c>
      <c r="AB108" s="15" t="s">
        <v>1691</v>
      </c>
      <c r="AC108" s="15" t="s">
        <v>1692</v>
      </c>
      <c r="AD108" s="15" t="s">
        <v>1693</v>
      </c>
      <c r="AE108" s="15" t="s">
        <v>496</v>
      </c>
      <c r="AF108" s="15" t="s">
        <v>1693</v>
      </c>
      <c r="AG108" s="15" t="s">
        <v>1691</v>
      </c>
      <c r="AH108" s="15" t="s">
        <v>1694</v>
      </c>
      <c r="AL108" s="15" t="s">
        <v>1695</v>
      </c>
      <c r="AN108" s="15">
        <v>81</v>
      </c>
      <c r="AO108" s="15" t="s">
        <v>1696</v>
      </c>
      <c r="AQ108" s="28" t="s">
        <v>503</v>
      </c>
      <c r="AT108" s="15" t="s">
        <v>1697</v>
      </c>
      <c r="AU108" s="17" t="s">
        <v>1698</v>
      </c>
      <c r="AV108" s="17" t="s">
        <v>1698</v>
      </c>
      <c r="AW108" s="15" t="s">
        <v>1699</v>
      </c>
      <c r="AX108" s="15" t="s">
        <v>1700</v>
      </c>
      <c r="AY108" s="15">
        <f t="shared" si="3"/>
        <v>58</v>
      </c>
      <c r="AZ108" s="17" t="s">
        <v>785</v>
      </c>
      <c r="BA108" s="17" t="s">
        <v>507</v>
      </c>
      <c r="BB108" s="17" t="s">
        <v>877</v>
      </c>
      <c r="BE108" s="17" t="s">
        <v>1701</v>
      </c>
      <c r="BJ108" s="17" t="s">
        <v>1702</v>
      </c>
      <c r="BN108" s="17" t="s">
        <v>511</v>
      </c>
      <c r="BP108" s="17" t="s">
        <v>140</v>
      </c>
      <c r="BS108" s="15" t="s">
        <v>1703</v>
      </c>
      <c r="DH108" s="15" t="s">
        <v>4597</v>
      </c>
      <c r="DI108" s="15" t="s">
        <v>4597</v>
      </c>
    </row>
    <row r="109" spans="1:113" s="15" customFormat="1" ht="12.75" x14ac:dyDescent="0.2">
      <c r="A109" s="15" t="s">
        <v>109</v>
      </c>
      <c r="B109" s="16" t="s">
        <v>493</v>
      </c>
      <c r="C109" s="15" t="s">
        <v>494</v>
      </c>
      <c r="D109" s="15" t="s">
        <v>1483</v>
      </c>
      <c r="E109" s="15" t="s">
        <v>113</v>
      </c>
      <c r="F109" s="15" t="s">
        <v>1483</v>
      </c>
      <c r="G109" s="15" t="s">
        <v>114</v>
      </c>
      <c r="H109" s="15" t="s">
        <v>1111</v>
      </c>
      <c r="J109" s="18" t="s">
        <v>115</v>
      </c>
      <c r="W109" s="15">
        <v>129</v>
      </c>
      <c r="X109" s="15">
        <v>104</v>
      </c>
      <c r="Y109" s="15" t="s">
        <v>495</v>
      </c>
      <c r="Z109" s="15" t="s">
        <v>496</v>
      </c>
      <c r="AA109" s="27" t="s">
        <v>495</v>
      </c>
      <c r="AB109" s="15" t="s">
        <v>1704</v>
      </c>
      <c r="AC109" s="15" t="s">
        <v>1705</v>
      </c>
      <c r="AD109" s="15" t="s">
        <v>1706</v>
      </c>
      <c r="AE109" s="15" t="s">
        <v>496</v>
      </c>
      <c r="AF109" s="15" t="s">
        <v>1706</v>
      </c>
      <c r="AG109" s="15" t="s">
        <v>1704</v>
      </c>
      <c r="AH109" s="15" t="s">
        <v>1707</v>
      </c>
      <c r="AL109" s="15" t="s">
        <v>1708</v>
      </c>
      <c r="AN109" s="15">
        <v>81</v>
      </c>
      <c r="AO109" s="15" t="s">
        <v>1709</v>
      </c>
      <c r="AQ109" s="28" t="s">
        <v>503</v>
      </c>
      <c r="AT109" s="15" t="s">
        <v>1710</v>
      </c>
      <c r="AU109" s="17" t="s">
        <v>1711</v>
      </c>
      <c r="AV109" s="17" t="s">
        <v>1711</v>
      </c>
      <c r="AW109" s="15" t="s">
        <v>1712</v>
      </c>
      <c r="AX109" s="15" t="s">
        <v>1713</v>
      </c>
      <c r="AY109" s="15">
        <f t="shared" si="3"/>
        <v>60</v>
      </c>
      <c r="AZ109" s="17" t="s">
        <v>785</v>
      </c>
      <c r="BA109" s="17" t="s">
        <v>507</v>
      </c>
      <c r="BB109" s="17" t="s">
        <v>877</v>
      </c>
      <c r="BE109" s="17" t="s">
        <v>1520</v>
      </c>
      <c r="BJ109" s="17" t="s">
        <v>1714</v>
      </c>
      <c r="BN109" s="17" t="s">
        <v>511</v>
      </c>
      <c r="BP109" s="17" t="s">
        <v>140</v>
      </c>
      <c r="BS109" s="15" t="s">
        <v>1715</v>
      </c>
      <c r="DH109" s="15" t="s">
        <v>4597</v>
      </c>
      <c r="DI109" s="15" t="s">
        <v>4597</v>
      </c>
    </row>
    <row r="110" spans="1:113" s="15" customFormat="1" ht="12.75" x14ac:dyDescent="0.2">
      <c r="A110" s="15" t="s">
        <v>109</v>
      </c>
      <c r="B110" s="16" t="s">
        <v>493</v>
      </c>
      <c r="C110" s="15" t="s">
        <v>494</v>
      </c>
      <c r="D110" s="15" t="s">
        <v>1483</v>
      </c>
      <c r="E110" s="15" t="s">
        <v>113</v>
      </c>
      <c r="F110" s="15" t="s">
        <v>1483</v>
      </c>
      <c r="G110" s="15" t="s">
        <v>114</v>
      </c>
      <c r="H110" s="15" t="s">
        <v>1111</v>
      </c>
      <c r="J110" s="18" t="s">
        <v>115</v>
      </c>
      <c r="W110" s="15">
        <v>131</v>
      </c>
      <c r="X110" s="15">
        <v>106</v>
      </c>
      <c r="Y110" s="15" t="s">
        <v>495</v>
      </c>
      <c r="Z110" s="15" t="s">
        <v>496</v>
      </c>
      <c r="AA110" s="27" t="s">
        <v>495</v>
      </c>
      <c r="AB110" s="15" t="s">
        <v>1729</v>
      </c>
      <c r="AC110" s="15" t="s">
        <v>1729</v>
      </c>
      <c r="AD110" s="15" t="s">
        <v>1730</v>
      </c>
      <c r="AE110" s="15" t="s">
        <v>496</v>
      </c>
      <c r="AF110" s="15" t="s">
        <v>1730</v>
      </c>
      <c r="AG110" s="15" t="s">
        <v>1729</v>
      </c>
      <c r="AH110" s="15" t="s">
        <v>1731</v>
      </c>
      <c r="AL110" s="15" t="s">
        <v>1732</v>
      </c>
      <c r="AN110" s="15">
        <v>81</v>
      </c>
      <c r="AO110" s="15" t="s">
        <v>1733</v>
      </c>
      <c r="AQ110" s="28" t="s">
        <v>1254</v>
      </c>
      <c r="AT110" s="15" t="s">
        <v>1734</v>
      </c>
      <c r="AU110" s="17" t="s">
        <v>1735</v>
      </c>
      <c r="AV110" s="17" t="s">
        <v>1735</v>
      </c>
      <c r="AW110" s="15" t="s">
        <v>1736</v>
      </c>
      <c r="AX110" s="15" t="s">
        <v>1737</v>
      </c>
      <c r="AY110" s="15">
        <f t="shared" si="3"/>
        <v>60</v>
      </c>
      <c r="AZ110" s="17" t="s">
        <v>253</v>
      </c>
      <c r="BA110" s="17" t="s">
        <v>1259</v>
      </c>
      <c r="BE110" s="17" t="s">
        <v>1738</v>
      </c>
      <c r="BG110" s="17" t="s">
        <v>1739</v>
      </c>
      <c r="BJ110" s="17" t="s">
        <v>1740</v>
      </c>
      <c r="BN110" s="17" t="s">
        <v>511</v>
      </c>
      <c r="BP110" s="17" t="s">
        <v>140</v>
      </c>
      <c r="BS110" s="15" t="s">
        <v>1741</v>
      </c>
      <c r="DH110" s="15" t="s">
        <v>4597</v>
      </c>
      <c r="DI110" s="15" t="s">
        <v>4597</v>
      </c>
    </row>
    <row r="111" spans="1:113" s="15" customFormat="1" ht="12.75" x14ac:dyDescent="0.2">
      <c r="A111" s="15" t="s">
        <v>109</v>
      </c>
      <c r="B111" s="16" t="s">
        <v>493</v>
      </c>
      <c r="C111" s="15" t="s">
        <v>494</v>
      </c>
      <c r="D111" s="15" t="s">
        <v>1483</v>
      </c>
      <c r="E111" s="15" t="s">
        <v>113</v>
      </c>
      <c r="F111" s="15" t="s">
        <v>1483</v>
      </c>
      <c r="G111" s="15" t="s">
        <v>114</v>
      </c>
      <c r="H111" s="15" t="s">
        <v>1111</v>
      </c>
      <c r="J111" s="18" t="s">
        <v>115</v>
      </c>
      <c r="W111" s="15">
        <v>132</v>
      </c>
      <c r="X111" s="15">
        <v>107</v>
      </c>
      <c r="Y111" s="15" t="s">
        <v>495</v>
      </c>
      <c r="Z111" s="15" t="s">
        <v>496</v>
      </c>
      <c r="AA111" s="27" t="s">
        <v>495</v>
      </c>
      <c r="AB111" s="15" t="s">
        <v>1742</v>
      </c>
      <c r="AC111" s="15" t="s">
        <v>1742</v>
      </c>
      <c r="AD111" s="15" t="s">
        <v>1743</v>
      </c>
      <c r="AE111" s="15" t="s">
        <v>496</v>
      </c>
      <c r="AF111" s="15" t="s">
        <v>1743</v>
      </c>
      <c r="AG111" s="15" t="s">
        <v>1742</v>
      </c>
      <c r="AH111" s="15" t="s">
        <v>1744</v>
      </c>
      <c r="AL111" s="15" t="s">
        <v>1745</v>
      </c>
      <c r="AN111" s="15">
        <v>81</v>
      </c>
      <c r="AO111" s="15" t="s">
        <v>1746</v>
      </c>
      <c r="AQ111" s="28" t="s">
        <v>1254</v>
      </c>
      <c r="AT111" s="15" t="s">
        <v>1734</v>
      </c>
      <c r="AU111" s="17" t="s">
        <v>1747</v>
      </c>
      <c r="AV111" s="17" t="s">
        <v>1747</v>
      </c>
      <c r="AW111" s="15" t="s">
        <v>1748</v>
      </c>
      <c r="AX111" s="15" t="s">
        <v>1749</v>
      </c>
      <c r="AY111" s="15">
        <f t="shared" si="3"/>
        <v>60</v>
      </c>
      <c r="AZ111" s="17" t="s">
        <v>253</v>
      </c>
      <c r="BA111" s="17" t="s">
        <v>1259</v>
      </c>
      <c r="BE111" s="17" t="s">
        <v>1750</v>
      </c>
      <c r="BG111" s="17" t="s">
        <v>1739</v>
      </c>
      <c r="BJ111" s="17" t="s">
        <v>1740</v>
      </c>
      <c r="BN111" s="17" t="s">
        <v>511</v>
      </c>
      <c r="BP111" s="17" t="s">
        <v>140</v>
      </c>
      <c r="BS111" s="15" t="s">
        <v>1751</v>
      </c>
      <c r="DH111" s="15" t="s">
        <v>4597</v>
      </c>
      <c r="DI111" s="15" t="s">
        <v>4597</v>
      </c>
    </row>
    <row r="112" spans="1:113" s="15" customFormat="1" ht="12.75" x14ac:dyDescent="0.2">
      <c r="A112" s="15" t="s">
        <v>109</v>
      </c>
      <c r="B112" s="16" t="s">
        <v>493</v>
      </c>
      <c r="C112" s="15" t="s">
        <v>494</v>
      </c>
      <c r="D112" s="15" t="s">
        <v>1483</v>
      </c>
      <c r="E112" s="15" t="s">
        <v>113</v>
      </c>
      <c r="F112" s="15" t="s">
        <v>1483</v>
      </c>
      <c r="G112" s="15" t="s">
        <v>114</v>
      </c>
      <c r="H112" s="15" t="s">
        <v>1111</v>
      </c>
      <c r="J112" s="18" t="s">
        <v>115</v>
      </c>
      <c r="W112" s="15">
        <v>133</v>
      </c>
      <c r="X112" s="15">
        <v>108</v>
      </c>
      <c r="Y112" s="15" t="s">
        <v>495</v>
      </c>
      <c r="Z112" s="15" t="s">
        <v>496</v>
      </c>
      <c r="AA112" s="27" t="s">
        <v>495</v>
      </c>
      <c r="AB112" s="15" t="s">
        <v>1752</v>
      </c>
      <c r="AC112" s="15" t="s">
        <v>1752</v>
      </c>
      <c r="AD112" s="15" t="s">
        <v>1753</v>
      </c>
      <c r="AE112" s="15" t="s">
        <v>496</v>
      </c>
      <c r="AF112" s="15" t="s">
        <v>1753</v>
      </c>
      <c r="AG112" s="15" t="s">
        <v>1752</v>
      </c>
      <c r="AH112" s="15" t="s">
        <v>1754</v>
      </c>
      <c r="AL112" s="15" t="s">
        <v>1755</v>
      </c>
      <c r="AN112" s="15">
        <v>81</v>
      </c>
      <c r="AO112" s="15" t="s">
        <v>1756</v>
      </c>
      <c r="AQ112" s="28" t="s">
        <v>1254</v>
      </c>
      <c r="AT112" s="15" t="s">
        <v>1734</v>
      </c>
      <c r="AU112" s="17" t="s">
        <v>1757</v>
      </c>
      <c r="AV112" s="17" t="s">
        <v>1757</v>
      </c>
      <c r="AW112" s="15" t="s">
        <v>1758</v>
      </c>
      <c r="AX112" s="15" t="s">
        <v>1759</v>
      </c>
      <c r="AY112" s="15">
        <f t="shared" si="3"/>
        <v>60</v>
      </c>
      <c r="AZ112" s="17" t="s">
        <v>253</v>
      </c>
      <c r="BA112" s="17" t="s">
        <v>1259</v>
      </c>
      <c r="BE112" s="17" t="s">
        <v>1760</v>
      </c>
      <c r="BG112" s="17" t="s">
        <v>1739</v>
      </c>
      <c r="BJ112" s="17" t="s">
        <v>1740</v>
      </c>
      <c r="BN112" s="17" t="s">
        <v>511</v>
      </c>
      <c r="BP112" s="17" t="s">
        <v>140</v>
      </c>
      <c r="BS112" s="15" t="s">
        <v>1761</v>
      </c>
      <c r="DH112" s="15" t="s">
        <v>4597</v>
      </c>
      <c r="DI112" s="15" t="s">
        <v>4597</v>
      </c>
    </row>
    <row r="113" spans="1:113" s="15" customFormat="1" ht="12.75" x14ac:dyDescent="0.2">
      <c r="A113" s="15" t="s">
        <v>109</v>
      </c>
      <c r="B113" s="16" t="s">
        <v>493</v>
      </c>
      <c r="C113" s="15" t="s">
        <v>494</v>
      </c>
      <c r="D113" s="15" t="s">
        <v>1483</v>
      </c>
      <c r="E113" s="15" t="s">
        <v>113</v>
      </c>
      <c r="F113" s="15" t="s">
        <v>1483</v>
      </c>
      <c r="G113" s="15" t="s">
        <v>114</v>
      </c>
      <c r="H113" s="15" t="s">
        <v>1111</v>
      </c>
      <c r="J113" s="18" t="s">
        <v>115</v>
      </c>
      <c r="W113" s="15">
        <v>134</v>
      </c>
      <c r="X113" s="15">
        <v>109</v>
      </c>
      <c r="Y113" s="15" t="s">
        <v>495</v>
      </c>
      <c r="Z113" s="15" t="s">
        <v>496</v>
      </c>
      <c r="AA113" s="27" t="s">
        <v>495</v>
      </c>
      <c r="AB113" s="15" t="s">
        <v>1762</v>
      </c>
      <c r="AC113" s="15" t="s">
        <v>1762</v>
      </c>
      <c r="AD113" s="15" t="s">
        <v>1763</v>
      </c>
      <c r="AE113" s="15" t="s">
        <v>496</v>
      </c>
      <c r="AF113" s="15" t="s">
        <v>1763</v>
      </c>
      <c r="AG113" s="15" t="s">
        <v>1762</v>
      </c>
      <c r="AH113" s="15" t="s">
        <v>1764</v>
      </c>
      <c r="AL113" s="15" t="s">
        <v>1765</v>
      </c>
      <c r="AN113" s="15">
        <v>81</v>
      </c>
      <c r="AO113" s="15" t="s">
        <v>1766</v>
      </c>
      <c r="AQ113" s="28" t="s">
        <v>1254</v>
      </c>
      <c r="AT113" s="15" t="s">
        <v>1767</v>
      </c>
      <c r="AU113" s="17" t="s">
        <v>1768</v>
      </c>
      <c r="AV113" s="17" t="s">
        <v>1768</v>
      </c>
      <c r="AW113" s="15" t="s">
        <v>1769</v>
      </c>
      <c r="AX113" s="15" t="s">
        <v>1770</v>
      </c>
      <c r="AY113" s="15">
        <f t="shared" si="3"/>
        <v>58</v>
      </c>
      <c r="AZ113" s="17" t="s">
        <v>253</v>
      </c>
      <c r="BA113" s="17" t="s">
        <v>1259</v>
      </c>
      <c r="BE113" s="17" t="s">
        <v>800</v>
      </c>
      <c r="BJ113" s="17" t="s">
        <v>1771</v>
      </c>
      <c r="BN113" s="17" t="s">
        <v>511</v>
      </c>
      <c r="BP113" s="17" t="s">
        <v>140</v>
      </c>
      <c r="BS113" s="15" t="s">
        <v>1772</v>
      </c>
      <c r="DH113" s="15" t="s">
        <v>4597</v>
      </c>
      <c r="DI113" s="15" t="s">
        <v>4597</v>
      </c>
    </row>
    <row r="114" spans="1:113" s="15" customFormat="1" ht="12.75" x14ac:dyDescent="0.2">
      <c r="A114" s="15" t="s">
        <v>109</v>
      </c>
      <c r="B114" s="16" t="s">
        <v>493</v>
      </c>
      <c r="C114" s="15" t="s">
        <v>494</v>
      </c>
      <c r="D114" s="15" t="s">
        <v>1483</v>
      </c>
      <c r="E114" s="15" t="s">
        <v>113</v>
      </c>
      <c r="F114" s="15" t="s">
        <v>1483</v>
      </c>
      <c r="G114" s="15" t="s">
        <v>114</v>
      </c>
      <c r="H114" s="15" t="s">
        <v>1111</v>
      </c>
      <c r="J114" s="18" t="s">
        <v>115</v>
      </c>
      <c r="W114" s="15">
        <v>135</v>
      </c>
      <c r="X114" s="15">
        <v>110</v>
      </c>
      <c r="Y114" s="15" t="s">
        <v>495</v>
      </c>
      <c r="Z114" s="15" t="s">
        <v>496</v>
      </c>
      <c r="AA114" s="27" t="s">
        <v>495</v>
      </c>
      <c r="AB114" s="15" t="s">
        <v>1773</v>
      </c>
      <c r="AC114" s="15" t="s">
        <v>1773</v>
      </c>
      <c r="AD114" s="15" t="s">
        <v>1774</v>
      </c>
      <c r="AE114" s="15" t="s">
        <v>496</v>
      </c>
      <c r="AF114" s="15" t="s">
        <v>1774</v>
      </c>
      <c r="AG114" s="15" t="s">
        <v>1773</v>
      </c>
      <c r="AH114" s="15" t="s">
        <v>1775</v>
      </c>
      <c r="AL114" s="15" t="s">
        <v>1776</v>
      </c>
      <c r="AN114" s="15">
        <v>81</v>
      </c>
      <c r="AO114" s="15" t="s">
        <v>1777</v>
      </c>
      <c r="AQ114" s="28" t="s">
        <v>1254</v>
      </c>
      <c r="AT114" s="15" t="s">
        <v>1734</v>
      </c>
      <c r="AU114" s="17" t="s">
        <v>1778</v>
      </c>
      <c r="AV114" s="17" t="s">
        <v>1778</v>
      </c>
      <c r="AW114" s="15" t="s">
        <v>1779</v>
      </c>
      <c r="AX114" s="15" t="s">
        <v>1780</v>
      </c>
      <c r="AY114" s="15">
        <f t="shared" si="3"/>
        <v>58</v>
      </c>
      <c r="AZ114" s="17" t="s">
        <v>253</v>
      </c>
      <c r="BA114" s="17" t="s">
        <v>1259</v>
      </c>
      <c r="BE114" s="17" t="s">
        <v>1781</v>
      </c>
      <c r="BG114" s="17" t="s">
        <v>1739</v>
      </c>
      <c r="BJ114" s="17" t="s">
        <v>1740</v>
      </c>
      <c r="BN114" s="17" t="s">
        <v>511</v>
      </c>
      <c r="BP114" s="17" t="s">
        <v>140</v>
      </c>
      <c r="BS114" s="15" t="s">
        <v>1782</v>
      </c>
      <c r="DH114" s="15" t="s">
        <v>4597</v>
      </c>
      <c r="DI114" s="15" t="s">
        <v>4597</v>
      </c>
    </row>
    <row r="115" spans="1:113" s="15" customFormat="1" ht="12.75" x14ac:dyDescent="0.2">
      <c r="A115" s="15" t="s">
        <v>109</v>
      </c>
      <c r="B115" s="16" t="s">
        <v>493</v>
      </c>
      <c r="C115" s="15" t="s">
        <v>494</v>
      </c>
      <c r="D115" s="15" t="s">
        <v>1483</v>
      </c>
      <c r="E115" s="15" t="s">
        <v>113</v>
      </c>
      <c r="F115" s="15" t="s">
        <v>1483</v>
      </c>
      <c r="G115" s="15" t="s">
        <v>114</v>
      </c>
      <c r="H115" s="15" t="s">
        <v>1111</v>
      </c>
      <c r="J115" s="18" t="s">
        <v>115</v>
      </c>
      <c r="W115" s="15">
        <v>136</v>
      </c>
      <c r="X115" s="15">
        <v>111</v>
      </c>
      <c r="Y115" s="15" t="s">
        <v>495</v>
      </c>
      <c r="Z115" s="15" t="s">
        <v>496</v>
      </c>
      <c r="AA115" s="27" t="s">
        <v>495</v>
      </c>
      <c r="AB115" s="15" t="s">
        <v>1783</v>
      </c>
      <c r="AC115" s="15" t="s">
        <v>1783</v>
      </c>
      <c r="AD115" s="15" t="s">
        <v>1784</v>
      </c>
      <c r="AE115" s="15" t="s">
        <v>496</v>
      </c>
      <c r="AF115" s="15" t="s">
        <v>1784</v>
      </c>
      <c r="AG115" s="15" t="s">
        <v>1783</v>
      </c>
      <c r="AH115" s="15" t="s">
        <v>1785</v>
      </c>
      <c r="AL115" s="15" t="s">
        <v>1786</v>
      </c>
      <c r="AN115" s="15">
        <v>81</v>
      </c>
      <c r="AO115" s="15" t="s">
        <v>1787</v>
      </c>
      <c r="AQ115" s="28" t="s">
        <v>1254</v>
      </c>
      <c r="AT115" s="15" t="s">
        <v>1788</v>
      </c>
      <c r="AU115" s="17" t="s">
        <v>1789</v>
      </c>
      <c r="AV115" s="17" t="s">
        <v>1789</v>
      </c>
      <c r="AW115" s="15" t="s">
        <v>1790</v>
      </c>
      <c r="AX115" s="15" t="s">
        <v>1791</v>
      </c>
      <c r="AY115" s="15">
        <f t="shared" si="3"/>
        <v>60</v>
      </c>
      <c r="AZ115" s="17" t="s">
        <v>253</v>
      </c>
      <c r="BA115" s="17" t="s">
        <v>1259</v>
      </c>
      <c r="BB115" s="17" t="s">
        <v>1792</v>
      </c>
      <c r="BE115" s="17" t="s">
        <v>1760</v>
      </c>
      <c r="BG115" s="17" t="s">
        <v>1739</v>
      </c>
      <c r="BJ115" s="17" t="s">
        <v>1793</v>
      </c>
      <c r="BK115" s="17" t="s">
        <v>312</v>
      </c>
      <c r="BN115" s="17" t="s">
        <v>511</v>
      </c>
      <c r="BO115" s="17" t="s">
        <v>1794</v>
      </c>
      <c r="BP115" s="17" t="s">
        <v>140</v>
      </c>
      <c r="BS115" s="15" t="s">
        <v>1795</v>
      </c>
      <c r="DH115" s="15" t="s">
        <v>4597</v>
      </c>
      <c r="DI115" s="15" t="s">
        <v>4597</v>
      </c>
    </row>
    <row r="116" spans="1:113" s="15" customFormat="1" ht="12.75" x14ac:dyDescent="0.2">
      <c r="A116" s="15" t="s">
        <v>109</v>
      </c>
      <c r="B116" s="16" t="s">
        <v>493</v>
      </c>
      <c r="C116" s="15" t="s">
        <v>494</v>
      </c>
      <c r="D116" s="15" t="s">
        <v>1483</v>
      </c>
      <c r="E116" s="15" t="s">
        <v>113</v>
      </c>
      <c r="F116" s="15" t="s">
        <v>1483</v>
      </c>
      <c r="G116" s="15" t="s">
        <v>114</v>
      </c>
      <c r="H116" s="15" t="s">
        <v>1111</v>
      </c>
      <c r="J116" s="18" t="s">
        <v>115</v>
      </c>
      <c r="W116" s="15">
        <v>137</v>
      </c>
      <c r="X116" s="15">
        <v>112</v>
      </c>
      <c r="Y116" s="15" t="s">
        <v>495</v>
      </c>
      <c r="Z116" s="15" t="s">
        <v>496</v>
      </c>
      <c r="AA116" s="27" t="s">
        <v>495</v>
      </c>
      <c r="AB116" s="15" t="s">
        <v>1796</v>
      </c>
      <c r="AC116" s="15" t="s">
        <v>1796</v>
      </c>
      <c r="AD116" s="15" t="s">
        <v>1797</v>
      </c>
      <c r="AE116" s="15" t="s">
        <v>496</v>
      </c>
      <c r="AF116" s="15" t="s">
        <v>1797</v>
      </c>
      <c r="AG116" s="15" t="s">
        <v>1796</v>
      </c>
      <c r="AH116" s="15" t="s">
        <v>1798</v>
      </c>
      <c r="AL116" s="15" t="s">
        <v>1799</v>
      </c>
      <c r="AN116" s="15">
        <v>81</v>
      </c>
      <c r="AO116" s="15" t="s">
        <v>1800</v>
      </c>
      <c r="AQ116" s="28" t="s">
        <v>1254</v>
      </c>
      <c r="AT116" s="15" t="s">
        <v>1788</v>
      </c>
      <c r="AU116" s="17" t="s">
        <v>1801</v>
      </c>
      <c r="AV116" s="17" t="s">
        <v>1801</v>
      </c>
      <c r="AW116" s="15" t="s">
        <v>1802</v>
      </c>
      <c r="AX116" s="15" t="s">
        <v>1803</v>
      </c>
      <c r="AY116" s="15">
        <f t="shared" si="3"/>
        <v>60</v>
      </c>
      <c r="AZ116" s="17" t="s">
        <v>253</v>
      </c>
      <c r="BA116" s="17" t="s">
        <v>1259</v>
      </c>
      <c r="BB116" s="17" t="s">
        <v>1792</v>
      </c>
      <c r="BE116" s="17" t="s">
        <v>800</v>
      </c>
      <c r="BG116" s="17" t="s">
        <v>1739</v>
      </c>
      <c r="BJ116" s="17" t="s">
        <v>1793</v>
      </c>
      <c r="BK116" s="17" t="s">
        <v>312</v>
      </c>
      <c r="BN116" s="17" t="s">
        <v>511</v>
      </c>
      <c r="BO116" s="17" t="s">
        <v>1794</v>
      </c>
      <c r="BP116" s="17" t="s">
        <v>140</v>
      </c>
      <c r="BS116" s="15" t="s">
        <v>1804</v>
      </c>
      <c r="DH116" s="15" t="s">
        <v>4597</v>
      </c>
      <c r="DI116" s="15" t="s">
        <v>4597</v>
      </c>
    </row>
    <row r="117" spans="1:113" s="15" customFormat="1" ht="12.75" x14ac:dyDescent="0.2">
      <c r="A117" s="15" t="s">
        <v>109</v>
      </c>
      <c r="B117" s="16" t="s">
        <v>493</v>
      </c>
      <c r="C117" s="15" t="s">
        <v>494</v>
      </c>
      <c r="D117" s="15" t="s">
        <v>1483</v>
      </c>
      <c r="E117" s="15" t="s">
        <v>113</v>
      </c>
      <c r="F117" s="15" t="s">
        <v>1483</v>
      </c>
      <c r="G117" s="15" t="s">
        <v>114</v>
      </c>
      <c r="H117" s="15" t="s">
        <v>1111</v>
      </c>
      <c r="J117" s="18" t="s">
        <v>115</v>
      </c>
      <c r="W117" s="15">
        <v>138</v>
      </c>
      <c r="X117" s="15">
        <v>113</v>
      </c>
      <c r="Y117" s="15" t="s">
        <v>495</v>
      </c>
      <c r="Z117" s="15" t="s">
        <v>496</v>
      </c>
      <c r="AA117" s="27" t="s">
        <v>495</v>
      </c>
      <c r="AB117" s="15" t="s">
        <v>1805</v>
      </c>
      <c r="AC117" s="15" t="s">
        <v>1805</v>
      </c>
      <c r="AD117" s="15" t="s">
        <v>1806</v>
      </c>
      <c r="AE117" s="15" t="s">
        <v>496</v>
      </c>
      <c r="AF117" s="15" t="s">
        <v>1806</v>
      </c>
      <c r="AG117" s="15" t="s">
        <v>1805</v>
      </c>
      <c r="AH117" s="15" t="s">
        <v>1807</v>
      </c>
      <c r="AL117" s="15" t="s">
        <v>1808</v>
      </c>
      <c r="AN117" s="15">
        <v>81</v>
      </c>
      <c r="AO117" s="15" t="s">
        <v>1809</v>
      </c>
      <c r="AQ117" s="28" t="s">
        <v>1254</v>
      </c>
      <c r="AT117" s="15" t="s">
        <v>1810</v>
      </c>
      <c r="AU117" s="17" t="s">
        <v>1811</v>
      </c>
      <c r="AV117" s="17" t="s">
        <v>1811</v>
      </c>
      <c r="AW117" s="15" t="s">
        <v>1812</v>
      </c>
      <c r="AX117" s="15" t="s">
        <v>1813</v>
      </c>
      <c r="AY117" s="15">
        <f t="shared" si="3"/>
        <v>50</v>
      </c>
      <c r="AZ117" s="17" t="s">
        <v>253</v>
      </c>
      <c r="BA117" s="17" t="s">
        <v>1259</v>
      </c>
      <c r="BE117" s="17" t="s">
        <v>800</v>
      </c>
      <c r="BJ117" s="17" t="s">
        <v>1814</v>
      </c>
      <c r="BR117" s="17" t="s">
        <v>181</v>
      </c>
      <c r="BS117" s="15" t="s">
        <v>1815</v>
      </c>
      <c r="DH117" s="15" t="s">
        <v>4597</v>
      </c>
      <c r="DI117" s="15" t="s">
        <v>4597</v>
      </c>
    </row>
    <row r="118" spans="1:113" s="15" customFormat="1" ht="12.75" x14ac:dyDescent="0.2">
      <c r="A118" s="15" t="s">
        <v>109</v>
      </c>
      <c r="B118" s="16" t="s">
        <v>493</v>
      </c>
      <c r="C118" s="15" t="s">
        <v>494</v>
      </c>
      <c r="D118" s="15" t="s">
        <v>1483</v>
      </c>
      <c r="E118" s="15" t="s">
        <v>113</v>
      </c>
      <c r="F118" s="15" t="s">
        <v>1483</v>
      </c>
      <c r="G118" s="15" t="s">
        <v>114</v>
      </c>
      <c r="H118" s="15" t="s">
        <v>1111</v>
      </c>
      <c r="J118" s="18" t="s">
        <v>115</v>
      </c>
      <c r="W118" s="15">
        <v>140</v>
      </c>
      <c r="X118" s="15">
        <v>115</v>
      </c>
      <c r="Y118" s="15" t="s">
        <v>495</v>
      </c>
      <c r="Z118" s="15" t="s">
        <v>496</v>
      </c>
      <c r="AA118" s="27" t="s">
        <v>495</v>
      </c>
      <c r="AB118" s="15" t="s">
        <v>1827</v>
      </c>
      <c r="AC118" s="15" t="s">
        <v>1827</v>
      </c>
      <c r="AD118" s="15" t="s">
        <v>1828</v>
      </c>
      <c r="AE118" s="15" t="s">
        <v>496</v>
      </c>
      <c r="AF118" s="15" t="s">
        <v>1828</v>
      </c>
      <c r="AG118" s="15" t="s">
        <v>1827</v>
      </c>
      <c r="AH118" s="15" t="s">
        <v>1829</v>
      </c>
      <c r="AL118" s="15" t="s">
        <v>1830</v>
      </c>
      <c r="AN118" s="15">
        <v>81</v>
      </c>
      <c r="AO118" s="15" t="s">
        <v>1831</v>
      </c>
      <c r="AQ118" s="28" t="s">
        <v>1254</v>
      </c>
      <c r="AT118" s="15" t="s">
        <v>1832</v>
      </c>
      <c r="AU118" s="17" t="s">
        <v>1833</v>
      </c>
      <c r="AV118" s="17" t="s">
        <v>1833</v>
      </c>
      <c r="AW118" s="15" t="s">
        <v>1834</v>
      </c>
      <c r="AX118" s="15" t="s">
        <v>1835</v>
      </c>
      <c r="AY118" s="15">
        <f t="shared" si="3"/>
        <v>58</v>
      </c>
      <c r="AZ118" s="17" t="s">
        <v>253</v>
      </c>
      <c r="BA118" s="17" t="s">
        <v>1259</v>
      </c>
      <c r="BE118" s="17" t="s">
        <v>1738</v>
      </c>
      <c r="BG118" s="17" t="s">
        <v>1739</v>
      </c>
      <c r="BJ118" s="17" t="s">
        <v>1836</v>
      </c>
      <c r="BN118" s="17" t="s">
        <v>511</v>
      </c>
      <c r="BO118" s="17" t="s">
        <v>1433</v>
      </c>
      <c r="BP118" s="17" t="s">
        <v>140</v>
      </c>
      <c r="BS118" s="15" t="s">
        <v>1837</v>
      </c>
      <c r="DH118" s="15" t="s">
        <v>4597</v>
      </c>
      <c r="DI118" s="15" t="s">
        <v>4597</v>
      </c>
    </row>
    <row r="119" spans="1:113" s="15" customFormat="1" ht="12.75" x14ac:dyDescent="0.2">
      <c r="A119" s="15" t="s">
        <v>109</v>
      </c>
      <c r="B119" s="16" t="s">
        <v>493</v>
      </c>
      <c r="C119" s="15" t="s">
        <v>494</v>
      </c>
      <c r="D119" s="15" t="s">
        <v>1483</v>
      </c>
      <c r="E119" s="15" t="s">
        <v>113</v>
      </c>
      <c r="F119" s="15" t="s">
        <v>1483</v>
      </c>
      <c r="G119" s="15" t="s">
        <v>114</v>
      </c>
      <c r="H119" s="15" t="s">
        <v>1111</v>
      </c>
      <c r="J119" s="18" t="s">
        <v>115</v>
      </c>
      <c r="W119" s="15">
        <v>141</v>
      </c>
      <c r="X119" s="15">
        <v>116</v>
      </c>
      <c r="Y119" s="15" t="s">
        <v>495</v>
      </c>
      <c r="Z119" s="15" t="s">
        <v>496</v>
      </c>
      <c r="AA119" s="27" t="s">
        <v>495</v>
      </c>
      <c r="AB119" s="15" t="s">
        <v>1838</v>
      </c>
      <c r="AC119" s="15" t="s">
        <v>1838</v>
      </c>
      <c r="AD119" s="15" t="s">
        <v>1839</v>
      </c>
      <c r="AE119" s="15" t="s">
        <v>496</v>
      </c>
      <c r="AF119" s="15" t="s">
        <v>1839</v>
      </c>
      <c r="AG119" s="15" t="s">
        <v>1838</v>
      </c>
      <c r="AH119" s="15" t="s">
        <v>1840</v>
      </c>
      <c r="AL119" s="15" t="s">
        <v>1841</v>
      </c>
      <c r="AN119" s="15">
        <v>81</v>
      </c>
      <c r="AO119" s="15" t="s">
        <v>1842</v>
      </c>
      <c r="AQ119" s="28" t="s">
        <v>1254</v>
      </c>
      <c r="AT119" s="15" t="s">
        <v>1832</v>
      </c>
      <c r="AU119" s="17" t="s">
        <v>1843</v>
      </c>
      <c r="AV119" s="17" t="s">
        <v>1843</v>
      </c>
      <c r="AW119" s="15" t="s">
        <v>1844</v>
      </c>
      <c r="AX119" s="15" t="s">
        <v>1845</v>
      </c>
      <c r="AY119" s="15">
        <f t="shared" si="3"/>
        <v>58</v>
      </c>
      <c r="AZ119" s="17" t="s">
        <v>253</v>
      </c>
      <c r="BA119" s="17" t="s">
        <v>1259</v>
      </c>
      <c r="BE119" s="17" t="s">
        <v>1846</v>
      </c>
      <c r="BG119" s="17" t="s">
        <v>1739</v>
      </c>
      <c r="BJ119" s="17" t="s">
        <v>1836</v>
      </c>
      <c r="BN119" s="17" t="s">
        <v>511</v>
      </c>
      <c r="BO119" s="17" t="s">
        <v>1433</v>
      </c>
      <c r="BP119" s="17" t="s">
        <v>140</v>
      </c>
      <c r="BS119" s="15" t="s">
        <v>1847</v>
      </c>
      <c r="DH119" s="15" t="s">
        <v>4597</v>
      </c>
      <c r="DI119" s="15" t="s">
        <v>4597</v>
      </c>
    </row>
    <row r="120" spans="1:113" s="15" customFormat="1" ht="12.75" x14ac:dyDescent="0.2">
      <c r="A120" s="15" t="s">
        <v>109</v>
      </c>
      <c r="B120" s="16" t="s">
        <v>493</v>
      </c>
      <c r="C120" s="15" t="s">
        <v>494</v>
      </c>
      <c r="D120" s="15" t="s">
        <v>1483</v>
      </c>
      <c r="E120" s="15" t="s">
        <v>113</v>
      </c>
      <c r="F120" s="15" t="s">
        <v>1483</v>
      </c>
      <c r="G120" s="15" t="s">
        <v>114</v>
      </c>
      <c r="H120" s="15" t="s">
        <v>1111</v>
      </c>
      <c r="J120" s="18" t="s">
        <v>115</v>
      </c>
      <c r="W120" s="15">
        <v>142</v>
      </c>
      <c r="X120" s="15">
        <v>117</v>
      </c>
      <c r="Y120" s="15" t="s">
        <v>495</v>
      </c>
      <c r="Z120" s="15" t="s">
        <v>496</v>
      </c>
      <c r="AA120" s="27" t="s">
        <v>495</v>
      </c>
      <c r="AB120" s="15" t="s">
        <v>1848</v>
      </c>
      <c r="AC120" s="15" t="s">
        <v>1848</v>
      </c>
      <c r="AD120" s="15" t="s">
        <v>1849</v>
      </c>
      <c r="AE120" s="15" t="s">
        <v>496</v>
      </c>
      <c r="AF120" s="15" t="s">
        <v>1849</v>
      </c>
      <c r="AG120" s="15" t="s">
        <v>1848</v>
      </c>
      <c r="AH120" s="15" t="s">
        <v>1850</v>
      </c>
      <c r="AL120" s="15" t="s">
        <v>1851</v>
      </c>
      <c r="AN120" s="15">
        <v>81</v>
      </c>
      <c r="AO120" s="15" t="s">
        <v>1852</v>
      </c>
      <c r="AQ120" s="28" t="s">
        <v>1254</v>
      </c>
      <c r="AT120" s="15" t="s">
        <v>1832</v>
      </c>
      <c r="AU120" s="17" t="s">
        <v>1853</v>
      </c>
      <c r="AV120" s="17" t="s">
        <v>1853</v>
      </c>
      <c r="AW120" s="15" t="s">
        <v>1854</v>
      </c>
      <c r="AX120" s="15" t="s">
        <v>1855</v>
      </c>
      <c r="AY120" s="15">
        <f t="shared" si="3"/>
        <v>58</v>
      </c>
      <c r="AZ120" s="17" t="s">
        <v>253</v>
      </c>
      <c r="BA120" s="17" t="s">
        <v>1259</v>
      </c>
      <c r="BE120" s="17" t="s">
        <v>1750</v>
      </c>
      <c r="BG120" s="17" t="s">
        <v>1739</v>
      </c>
      <c r="BJ120" s="17" t="s">
        <v>1836</v>
      </c>
      <c r="BN120" s="17" t="s">
        <v>511</v>
      </c>
      <c r="BO120" s="17" t="s">
        <v>1433</v>
      </c>
      <c r="BP120" s="17" t="s">
        <v>140</v>
      </c>
      <c r="BS120" s="15" t="s">
        <v>1856</v>
      </c>
      <c r="DH120" s="15" t="s">
        <v>4597</v>
      </c>
      <c r="DI120" s="15" t="s">
        <v>4597</v>
      </c>
    </row>
    <row r="121" spans="1:113" s="15" customFormat="1" ht="12.75" x14ac:dyDescent="0.2">
      <c r="A121" s="15" t="s">
        <v>109</v>
      </c>
      <c r="B121" s="16" t="s">
        <v>493</v>
      </c>
      <c r="C121" s="15" t="s">
        <v>494</v>
      </c>
      <c r="D121" s="15" t="s">
        <v>1483</v>
      </c>
      <c r="E121" s="15" t="s">
        <v>113</v>
      </c>
      <c r="F121" s="15" t="s">
        <v>1483</v>
      </c>
      <c r="G121" s="15" t="s">
        <v>114</v>
      </c>
      <c r="H121" s="15" t="s">
        <v>1111</v>
      </c>
      <c r="J121" s="18" t="s">
        <v>115</v>
      </c>
      <c r="W121" s="15">
        <v>143</v>
      </c>
      <c r="X121" s="15">
        <v>118</v>
      </c>
      <c r="Y121" s="15" t="s">
        <v>495</v>
      </c>
      <c r="Z121" s="15" t="s">
        <v>496</v>
      </c>
      <c r="AA121" s="27" t="s">
        <v>495</v>
      </c>
      <c r="AB121" s="15" t="s">
        <v>1857</v>
      </c>
      <c r="AC121" s="15" t="s">
        <v>1857</v>
      </c>
      <c r="AD121" s="15" t="s">
        <v>1858</v>
      </c>
      <c r="AE121" s="15" t="s">
        <v>496</v>
      </c>
      <c r="AF121" s="15" t="s">
        <v>1858</v>
      </c>
      <c r="AG121" s="15" t="s">
        <v>1857</v>
      </c>
      <c r="AH121" s="15" t="s">
        <v>1859</v>
      </c>
      <c r="AL121" s="15" t="s">
        <v>1860</v>
      </c>
      <c r="AN121" s="15">
        <v>81</v>
      </c>
      <c r="AO121" s="15" t="s">
        <v>1861</v>
      </c>
      <c r="AQ121" s="28" t="s">
        <v>1254</v>
      </c>
      <c r="AT121" s="15" t="s">
        <v>1832</v>
      </c>
      <c r="AU121" s="17" t="s">
        <v>1862</v>
      </c>
      <c r="AV121" s="17" t="s">
        <v>1862</v>
      </c>
      <c r="AW121" s="15" t="s">
        <v>1863</v>
      </c>
      <c r="AX121" s="15" t="s">
        <v>1864</v>
      </c>
      <c r="AY121" s="15">
        <f t="shared" si="3"/>
        <v>58</v>
      </c>
      <c r="AZ121" s="17" t="s">
        <v>253</v>
      </c>
      <c r="BA121" s="17" t="s">
        <v>1259</v>
      </c>
      <c r="BE121" s="17" t="s">
        <v>1865</v>
      </c>
      <c r="BG121" s="17" t="s">
        <v>1739</v>
      </c>
      <c r="BJ121" s="17" t="s">
        <v>1836</v>
      </c>
      <c r="BN121" s="17" t="s">
        <v>511</v>
      </c>
      <c r="BO121" s="17" t="s">
        <v>1433</v>
      </c>
      <c r="BP121" s="17" t="s">
        <v>140</v>
      </c>
      <c r="BS121" s="15" t="s">
        <v>1866</v>
      </c>
      <c r="DH121" s="15" t="s">
        <v>4597</v>
      </c>
      <c r="DI121" s="15" t="s">
        <v>4597</v>
      </c>
    </row>
    <row r="122" spans="1:113" s="15" customFormat="1" ht="12.75" x14ac:dyDescent="0.2">
      <c r="A122" s="15" t="s">
        <v>109</v>
      </c>
      <c r="B122" s="16" t="s">
        <v>493</v>
      </c>
      <c r="C122" s="15" t="s">
        <v>494</v>
      </c>
      <c r="D122" s="15" t="s">
        <v>1483</v>
      </c>
      <c r="E122" s="15" t="s">
        <v>113</v>
      </c>
      <c r="F122" s="15" t="s">
        <v>1483</v>
      </c>
      <c r="G122" s="15" t="s">
        <v>114</v>
      </c>
      <c r="H122" s="15" t="s">
        <v>1111</v>
      </c>
      <c r="J122" s="18" t="s">
        <v>115</v>
      </c>
      <c r="W122" s="15">
        <v>144</v>
      </c>
      <c r="X122" s="15">
        <v>119</v>
      </c>
      <c r="Y122" s="15" t="s">
        <v>495</v>
      </c>
      <c r="Z122" s="15" t="s">
        <v>496</v>
      </c>
      <c r="AA122" s="27" t="s">
        <v>495</v>
      </c>
      <c r="AB122" s="15" t="s">
        <v>1867</v>
      </c>
      <c r="AC122" s="15" t="s">
        <v>1867</v>
      </c>
      <c r="AD122" s="15" t="s">
        <v>1868</v>
      </c>
      <c r="AE122" s="15" t="s">
        <v>496</v>
      </c>
      <c r="AF122" s="15" t="s">
        <v>1868</v>
      </c>
      <c r="AG122" s="15" t="s">
        <v>1867</v>
      </c>
      <c r="AH122" s="15" t="s">
        <v>1869</v>
      </c>
      <c r="AL122" s="15" t="s">
        <v>1870</v>
      </c>
      <c r="AN122" s="15">
        <v>81</v>
      </c>
      <c r="AO122" s="15" t="s">
        <v>1871</v>
      </c>
      <c r="AQ122" s="28" t="s">
        <v>1254</v>
      </c>
      <c r="AT122" s="15" t="s">
        <v>1832</v>
      </c>
      <c r="AU122" s="17" t="s">
        <v>1872</v>
      </c>
      <c r="AV122" s="17" t="s">
        <v>1872</v>
      </c>
      <c r="AW122" s="15" t="s">
        <v>1873</v>
      </c>
      <c r="AX122" s="15" t="s">
        <v>1874</v>
      </c>
      <c r="AY122" s="15">
        <f t="shared" si="3"/>
        <v>58</v>
      </c>
      <c r="AZ122" s="17" t="s">
        <v>253</v>
      </c>
      <c r="BA122" s="17" t="s">
        <v>1259</v>
      </c>
      <c r="BE122" s="17" t="s">
        <v>1875</v>
      </c>
      <c r="BG122" s="17" t="s">
        <v>1739</v>
      </c>
      <c r="BJ122" s="17" t="s">
        <v>1836</v>
      </c>
      <c r="BN122" s="17" t="s">
        <v>511</v>
      </c>
      <c r="BO122" s="17" t="s">
        <v>1433</v>
      </c>
      <c r="BP122" s="17" t="s">
        <v>140</v>
      </c>
      <c r="BS122" s="15" t="s">
        <v>1876</v>
      </c>
      <c r="DH122" s="15" t="s">
        <v>4597</v>
      </c>
      <c r="DI122" s="15" t="s">
        <v>4597</v>
      </c>
    </row>
    <row r="123" spans="1:113" s="15" customFormat="1" ht="12.75" x14ac:dyDescent="0.2">
      <c r="A123" s="15" t="s">
        <v>109</v>
      </c>
      <c r="B123" s="16" t="s">
        <v>493</v>
      </c>
      <c r="C123" s="15" t="s">
        <v>494</v>
      </c>
      <c r="D123" s="15" t="s">
        <v>1483</v>
      </c>
      <c r="E123" s="15" t="s">
        <v>113</v>
      </c>
      <c r="F123" s="15" t="s">
        <v>1483</v>
      </c>
      <c r="G123" s="15" t="s">
        <v>114</v>
      </c>
      <c r="H123" s="15" t="s">
        <v>1111</v>
      </c>
      <c r="J123" s="18" t="s">
        <v>115</v>
      </c>
      <c r="W123" s="15">
        <v>145</v>
      </c>
      <c r="X123" s="15">
        <v>120</v>
      </c>
      <c r="Y123" s="15" t="s">
        <v>495</v>
      </c>
      <c r="Z123" s="15" t="s">
        <v>496</v>
      </c>
      <c r="AA123" s="27" t="s">
        <v>495</v>
      </c>
      <c r="AB123" s="15" t="s">
        <v>1877</v>
      </c>
      <c r="AC123" s="15" t="s">
        <v>1877</v>
      </c>
      <c r="AD123" s="15" t="s">
        <v>1878</v>
      </c>
      <c r="AE123" s="15" t="s">
        <v>496</v>
      </c>
      <c r="AF123" s="15" t="s">
        <v>1878</v>
      </c>
      <c r="AG123" s="15" t="s">
        <v>1877</v>
      </c>
      <c r="AH123" s="15" t="s">
        <v>1879</v>
      </c>
      <c r="AL123" s="15" t="s">
        <v>1880</v>
      </c>
      <c r="AN123" s="15">
        <v>81</v>
      </c>
      <c r="AO123" s="15" t="s">
        <v>1881</v>
      </c>
      <c r="AQ123" s="28" t="s">
        <v>1254</v>
      </c>
      <c r="AT123" s="15" t="s">
        <v>1832</v>
      </c>
      <c r="AU123" s="17" t="s">
        <v>1882</v>
      </c>
      <c r="AV123" s="17" t="s">
        <v>1882</v>
      </c>
      <c r="AW123" s="15" t="s">
        <v>1883</v>
      </c>
      <c r="AX123" s="15" t="s">
        <v>1884</v>
      </c>
      <c r="AY123" s="15">
        <f t="shared" si="3"/>
        <v>58</v>
      </c>
      <c r="AZ123" s="17" t="s">
        <v>253</v>
      </c>
      <c r="BA123" s="17" t="s">
        <v>1259</v>
      </c>
      <c r="BE123" s="17" t="s">
        <v>1885</v>
      </c>
      <c r="BG123" s="17" t="s">
        <v>1739</v>
      </c>
      <c r="BJ123" s="17" t="s">
        <v>1836</v>
      </c>
      <c r="BN123" s="17" t="s">
        <v>511</v>
      </c>
      <c r="BO123" s="17" t="s">
        <v>1433</v>
      </c>
      <c r="BP123" s="17" t="s">
        <v>140</v>
      </c>
      <c r="BS123" s="15" t="s">
        <v>1886</v>
      </c>
      <c r="DH123" s="15" t="s">
        <v>4597</v>
      </c>
      <c r="DI123" s="15" t="s">
        <v>4597</v>
      </c>
    </row>
    <row r="124" spans="1:113" s="15" customFormat="1" ht="12.75" x14ac:dyDescent="0.2">
      <c r="A124" s="15" t="s">
        <v>109</v>
      </c>
      <c r="B124" s="16" t="s">
        <v>493</v>
      </c>
      <c r="C124" s="15" t="s">
        <v>494</v>
      </c>
      <c r="D124" s="15" t="s">
        <v>1483</v>
      </c>
      <c r="E124" s="15" t="s">
        <v>113</v>
      </c>
      <c r="F124" s="15" t="s">
        <v>1483</v>
      </c>
      <c r="G124" s="15" t="s">
        <v>114</v>
      </c>
      <c r="H124" s="15" t="s">
        <v>1111</v>
      </c>
      <c r="J124" s="18" t="s">
        <v>115</v>
      </c>
      <c r="W124" s="15">
        <v>146</v>
      </c>
      <c r="X124" s="15">
        <v>121</v>
      </c>
      <c r="Y124" s="15" t="s">
        <v>495</v>
      </c>
      <c r="Z124" s="15" t="s">
        <v>496</v>
      </c>
      <c r="AA124" s="27" t="s">
        <v>495</v>
      </c>
      <c r="AB124" s="15" t="s">
        <v>1887</v>
      </c>
      <c r="AC124" s="15" t="s">
        <v>1887</v>
      </c>
      <c r="AD124" s="15" t="s">
        <v>1888</v>
      </c>
      <c r="AE124" s="15" t="s">
        <v>496</v>
      </c>
      <c r="AF124" s="15" t="s">
        <v>1888</v>
      </c>
      <c r="AG124" s="15" t="s">
        <v>1887</v>
      </c>
      <c r="AH124" s="15" t="s">
        <v>1889</v>
      </c>
      <c r="AL124" s="15" t="s">
        <v>1890</v>
      </c>
      <c r="AN124" s="15">
        <v>81</v>
      </c>
      <c r="AO124" s="15" t="s">
        <v>1891</v>
      </c>
      <c r="AQ124" s="28" t="s">
        <v>1254</v>
      </c>
      <c r="AT124" s="15" t="s">
        <v>1832</v>
      </c>
      <c r="AU124" s="17" t="s">
        <v>1892</v>
      </c>
      <c r="AV124" s="17" t="s">
        <v>1892</v>
      </c>
      <c r="AW124" s="15" t="s">
        <v>1893</v>
      </c>
      <c r="AX124" s="15" t="s">
        <v>1894</v>
      </c>
      <c r="AY124" s="15">
        <f t="shared" si="3"/>
        <v>60</v>
      </c>
      <c r="AZ124" s="17" t="s">
        <v>253</v>
      </c>
      <c r="BA124" s="17" t="s">
        <v>1259</v>
      </c>
      <c r="BE124" s="17" t="s">
        <v>1895</v>
      </c>
      <c r="BG124" s="17" t="s">
        <v>1739</v>
      </c>
      <c r="BJ124" s="17" t="s">
        <v>1836</v>
      </c>
      <c r="BN124" s="17" t="s">
        <v>511</v>
      </c>
      <c r="BO124" s="17" t="s">
        <v>1433</v>
      </c>
      <c r="BP124" s="17" t="s">
        <v>140</v>
      </c>
      <c r="BS124" s="15" t="s">
        <v>1896</v>
      </c>
      <c r="DH124" s="15" t="s">
        <v>4597</v>
      </c>
      <c r="DI124" s="15" t="s">
        <v>4597</v>
      </c>
    </row>
    <row r="125" spans="1:113" s="15" customFormat="1" ht="12.75" x14ac:dyDescent="0.2">
      <c r="A125" s="15" t="s">
        <v>109</v>
      </c>
      <c r="B125" s="16" t="s">
        <v>493</v>
      </c>
      <c r="C125" s="15" t="s">
        <v>494</v>
      </c>
      <c r="D125" s="15" t="s">
        <v>1483</v>
      </c>
      <c r="E125" s="15" t="s">
        <v>113</v>
      </c>
      <c r="F125" s="15" t="s">
        <v>1483</v>
      </c>
      <c r="G125" s="15" t="s">
        <v>114</v>
      </c>
      <c r="H125" s="15" t="s">
        <v>1111</v>
      </c>
      <c r="J125" s="18" t="s">
        <v>115</v>
      </c>
      <c r="W125" s="15">
        <v>147</v>
      </c>
      <c r="X125" s="15">
        <v>122</v>
      </c>
      <c r="Y125" s="15" t="s">
        <v>495</v>
      </c>
      <c r="Z125" s="15" t="s">
        <v>496</v>
      </c>
      <c r="AA125" s="27" t="s">
        <v>495</v>
      </c>
      <c r="AB125" s="15" t="s">
        <v>1897</v>
      </c>
      <c r="AC125" s="15" t="s">
        <v>1897</v>
      </c>
      <c r="AD125" s="15" t="s">
        <v>1898</v>
      </c>
      <c r="AE125" s="15" t="s">
        <v>496</v>
      </c>
      <c r="AF125" s="15" t="s">
        <v>1898</v>
      </c>
      <c r="AG125" s="15" t="s">
        <v>1897</v>
      </c>
      <c r="AH125" s="15" t="s">
        <v>1899</v>
      </c>
      <c r="AL125" s="15" t="s">
        <v>1900</v>
      </c>
      <c r="AN125" s="15">
        <v>81</v>
      </c>
      <c r="AO125" s="15" t="s">
        <v>1901</v>
      </c>
      <c r="AQ125" s="28" t="s">
        <v>1254</v>
      </c>
      <c r="AT125" s="15" t="s">
        <v>1902</v>
      </c>
      <c r="AU125" s="17" t="s">
        <v>1903</v>
      </c>
      <c r="AV125" s="17" t="s">
        <v>1903</v>
      </c>
      <c r="AW125" s="15" t="s">
        <v>1904</v>
      </c>
      <c r="AX125" s="15" t="s">
        <v>1905</v>
      </c>
      <c r="AY125" s="15">
        <f t="shared" si="3"/>
        <v>55</v>
      </c>
      <c r="AZ125" s="17" t="s">
        <v>253</v>
      </c>
      <c r="BA125" s="17" t="s">
        <v>1259</v>
      </c>
      <c r="BE125" s="17" t="s">
        <v>1895</v>
      </c>
      <c r="BJ125" s="17" t="s">
        <v>1906</v>
      </c>
      <c r="BO125" s="17" t="s">
        <v>1433</v>
      </c>
      <c r="BS125" s="15" t="s">
        <v>1907</v>
      </c>
      <c r="DH125" s="15" t="s">
        <v>4597</v>
      </c>
      <c r="DI125" s="15" t="s">
        <v>4597</v>
      </c>
    </row>
    <row r="126" spans="1:113" s="15" customFormat="1" ht="12.75" x14ac:dyDescent="0.2">
      <c r="A126" s="15" t="s">
        <v>109</v>
      </c>
      <c r="B126" s="16" t="s">
        <v>493</v>
      </c>
      <c r="C126" s="15" t="s">
        <v>494</v>
      </c>
      <c r="D126" s="15" t="s">
        <v>1483</v>
      </c>
      <c r="E126" s="15" t="s">
        <v>1337</v>
      </c>
      <c r="F126" s="15" t="s">
        <v>1483</v>
      </c>
      <c r="G126" s="15" t="s">
        <v>114</v>
      </c>
      <c r="H126" s="15" t="s">
        <v>1111</v>
      </c>
      <c r="J126" s="18" t="s">
        <v>115</v>
      </c>
      <c r="W126" s="15">
        <v>148</v>
      </c>
      <c r="X126" s="15">
        <v>123</v>
      </c>
      <c r="Y126" s="15" t="s">
        <v>495</v>
      </c>
      <c r="Z126" s="15" t="s">
        <v>496</v>
      </c>
      <c r="AA126" s="27" t="s">
        <v>495</v>
      </c>
      <c r="AB126" s="15" t="s">
        <v>1908</v>
      </c>
      <c r="AC126" s="15" t="s">
        <v>1908</v>
      </c>
      <c r="AD126" s="15" t="s">
        <v>1909</v>
      </c>
      <c r="AE126" s="15" t="s">
        <v>496</v>
      </c>
      <c r="AF126" s="15" t="s">
        <v>1909</v>
      </c>
      <c r="AG126" s="15" t="s">
        <v>1908</v>
      </c>
      <c r="AH126" s="15" t="s">
        <v>1910</v>
      </c>
      <c r="AL126" s="15" t="s">
        <v>1911</v>
      </c>
      <c r="AN126" s="15">
        <v>81</v>
      </c>
      <c r="AO126" s="15" t="s">
        <v>1912</v>
      </c>
      <c r="AQ126" s="28" t="s">
        <v>1254</v>
      </c>
      <c r="AT126" s="15" t="s">
        <v>1911</v>
      </c>
      <c r="AU126" s="17" t="s">
        <v>1913</v>
      </c>
      <c r="AV126" s="17" t="s">
        <v>1913</v>
      </c>
      <c r="AW126" s="15" t="s">
        <v>1914</v>
      </c>
      <c r="AX126" s="15" t="s">
        <v>1915</v>
      </c>
      <c r="AY126" s="15">
        <f t="shared" si="3"/>
        <v>51</v>
      </c>
      <c r="AZ126" s="17" t="s">
        <v>253</v>
      </c>
      <c r="BA126" s="17" t="s">
        <v>1259</v>
      </c>
      <c r="BE126" s="17" t="s">
        <v>1916</v>
      </c>
      <c r="BJ126" s="17" t="s">
        <v>1917</v>
      </c>
      <c r="BN126" s="17" t="s">
        <v>511</v>
      </c>
      <c r="BO126" s="17" t="s">
        <v>1433</v>
      </c>
      <c r="BP126" s="17" t="s">
        <v>140</v>
      </c>
      <c r="BS126" s="15" t="s">
        <v>1918</v>
      </c>
      <c r="DH126" s="15" t="s">
        <v>4597</v>
      </c>
      <c r="DI126" s="15" t="s">
        <v>4597</v>
      </c>
    </row>
    <row r="127" spans="1:113" s="15" customFormat="1" ht="12.75" x14ac:dyDescent="0.2">
      <c r="A127" s="15" t="s">
        <v>109</v>
      </c>
      <c r="B127" s="16" t="s">
        <v>493</v>
      </c>
      <c r="C127" s="15" t="s">
        <v>494</v>
      </c>
      <c r="D127" s="15" t="s">
        <v>1483</v>
      </c>
      <c r="E127" s="15" t="s">
        <v>1337</v>
      </c>
      <c r="F127" s="15" t="s">
        <v>1483</v>
      </c>
      <c r="G127" s="15" t="s">
        <v>114</v>
      </c>
      <c r="H127" s="15" t="s">
        <v>1111</v>
      </c>
      <c r="J127" s="18" t="s">
        <v>115</v>
      </c>
      <c r="W127" s="15">
        <v>151</v>
      </c>
      <c r="X127" s="15">
        <v>126</v>
      </c>
      <c r="Y127" s="15" t="s">
        <v>495</v>
      </c>
      <c r="Z127" s="15" t="s">
        <v>496</v>
      </c>
      <c r="AA127" s="27" t="s">
        <v>495</v>
      </c>
      <c r="AB127" s="15" t="s">
        <v>1938</v>
      </c>
      <c r="AC127" s="15" t="s">
        <v>1938</v>
      </c>
      <c r="AD127" s="15" t="s">
        <v>1939</v>
      </c>
      <c r="AE127" s="15" t="s">
        <v>496</v>
      </c>
      <c r="AF127" s="15" t="s">
        <v>1939</v>
      </c>
      <c r="AG127" s="15" t="s">
        <v>1938</v>
      </c>
      <c r="AH127" s="15" t="s">
        <v>1940</v>
      </c>
      <c r="AL127" s="15" t="s">
        <v>1941</v>
      </c>
      <c r="AN127" s="15">
        <v>81</v>
      </c>
      <c r="AO127" s="15" t="s">
        <v>1942</v>
      </c>
      <c r="AQ127" s="28" t="s">
        <v>503</v>
      </c>
      <c r="AT127" s="15" t="s">
        <v>1941</v>
      </c>
      <c r="AU127" s="17" t="s">
        <v>1943</v>
      </c>
      <c r="AV127" s="17" t="s">
        <v>1943</v>
      </c>
      <c r="AW127" s="15" t="s">
        <v>1944</v>
      </c>
      <c r="AX127" s="15" t="s">
        <v>1945</v>
      </c>
      <c r="AY127" s="15">
        <f t="shared" si="3"/>
        <v>60</v>
      </c>
      <c r="AZ127" s="17" t="s">
        <v>785</v>
      </c>
      <c r="BA127" s="17" t="s">
        <v>507</v>
      </c>
      <c r="BB127" s="17" t="s">
        <v>1946</v>
      </c>
      <c r="BE127" s="17" t="s">
        <v>1947</v>
      </c>
      <c r="BJ127" s="17" t="s">
        <v>1948</v>
      </c>
      <c r="BK127" s="17" t="s">
        <v>312</v>
      </c>
      <c r="BN127" s="17" t="s">
        <v>511</v>
      </c>
      <c r="BP127" s="17" t="s">
        <v>140</v>
      </c>
      <c r="BQ127" s="17" t="s">
        <v>258</v>
      </c>
      <c r="BS127" s="15" t="s">
        <v>1949</v>
      </c>
      <c r="DH127" s="15" t="s">
        <v>4597</v>
      </c>
      <c r="DI127" s="15" t="s">
        <v>4597</v>
      </c>
    </row>
    <row r="128" spans="1:113" s="15" customFormat="1" ht="12.75" x14ac:dyDescent="0.2">
      <c r="A128" s="15" t="s">
        <v>109</v>
      </c>
      <c r="B128" s="16" t="s">
        <v>493</v>
      </c>
      <c r="C128" s="15" t="s">
        <v>494</v>
      </c>
      <c r="D128" s="15" t="s">
        <v>1483</v>
      </c>
      <c r="E128" s="15" t="s">
        <v>113</v>
      </c>
      <c r="F128" s="15" t="s">
        <v>1483</v>
      </c>
      <c r="G128" s="15" t="s">
        <v>114</v>
      </c>
      <c r="H128" s="15" t="s">
        <v>1111</v>
      </c>
      <c r="J128" s="18" t="s">
        <v>115</v>
      </c>
      <c r="W128" s="15">
        <v>152</v>
      </c>
      <c r="X128" s="15">
        <v>127</v>
      </c>
      <c r="Y128" s="15" t="s">
        <v>495</v>
      </c>
      <c r="Z128" s="15" t="s">
        <v>496</v>
      </c>
      <c r="AA128" s="27" t="s">
        <v>495</v>
      </c>
      <c r="AB128" s="15" t="s">
        <v>1950</v>
      </c>
      <c r="AC128" s="15" t="s">
        <v>1950</v>
      </c>
      <c r="AD128" s="15" t="s">
        <v>1951</v>
      </c>
      <c r="AE128" s="15" t="s">
        <v>496</v>
      </c>
      <c r="AF128" s="15" t="s">
        <v>1951</v>
      </c>
      <c r="AG128" s="15" t="s">
        <v>1950</v>
      </c>
      <c r="AH128" s="15" t="s">
        <v>1952</v>
      </c>
      <c r="AL128" s="15" t="s">
        <v>1953</v>
      </c>
      <c r="AN128" s="15">
        <v>81</v>
      </c>
      <c r="AO128" s="15" t="s">
        <v>1954</v>
      </c>
      <c r="AQ128" s="28" t="s">
        <v>503</v>
      </c>
      <c r="AT128" s="15" t="s">
        <v>1955</v>
      </c>
      <c r="AU128" s="17" t="s">
        <v>1956</v>
      </c>
      <c r="AV128" s="17" t="s">
        <v>1956</v>
      </c>
      <c r="AW128" s="15" t="s">
        <v>1957</v>
      </c>
      <c r="AX128" s="15" t="s">
        <v>1958</v>
      </c>
      <c r="AY128" s="15">
        <f t="shared" si="3"/>
        <v>52</v>
      </c>
      <c r="AZ128" s="17" t="s">
        <v>785</v>
      </c>
      <c r="BA128" s="17" t="s">
        <v>507</v>
      </c>
      <c r="BB128" s="17" t="s">
        <v>1959</v>
      </c>
      <c r="BE128" s="17" t="s">
        <v>1960</v>
      </c>
      <c r="BK128" s="17" t="s">
        <v>312</v>
      </c>
      <c r="BN128" s="17" t="s">
        <v>511</v>
      </c>
      <c r="BP128" s="17" t="s">
        <v>140</v>
      </c>
      <c r="BS128" s="15" t="s">
        <v>1961</v>
      </c>
      <c r="DH128" s="15" t="s">
        <v>4597</v>
      </c>
      <c r="DI128" s="15" t="s">
        <v>4597</v>
      </c>
    </row>
    <row r="129" spans="1:113" s="15" customFormat="1" ht="12.75" x14ac:dyDescent="0.2">
      <c r="A129" s="15" t="s">
        <v>109</v>
      </c>
      <c r="B129" s="16" t="s">
        <v>493</v>
      </c>
      <c r="C129" s="15" t="s">
        <v>494</v>
      </c>
      <c r="D129" s="15" t="s">
        <v>1483</v>
      </c>
      <c r="E129" s="15" t="s">
        <v>1337</v>
      </c>
      <c r="F129" s="15" t="s">
        <v>1483</v>
      </c>
      <c r="G129" s="15" t="s">
        <v>114</v>
      </c>
      <c r="H129" s="15" t="s">
        <v>1111</v>
      </c>
      <c r="J129" s="18" t="s">
        <v>115</v>
      </c>
      <c r="W129" s="15">
        <v>153</v>
      </c>
      <c r="X129" s="15">
        <v>128</v>
      </c>
      <c r="Y129" s="15" t="s">
        <v>495</v>
      </c>
      <c r="Z129" s="15" t="s">
        <v>496</v>
      </c>
      <c r="AA129" s="27" t="s">
        <v>495</v>
      </c>
      <c r="AB129" s="15" t="s">
        <v>1962</v>
      </c>
      <c r="AC129" s="15" t="s">
        <v>1962</v>
      </c>
      <c r="AD129" s="15" t="s">
        <v>1963</v>
      </c>
      <c r="AE129" s="15" t="s">
        <v>496</v>
      </c>
      <c r="AF129" s="15" t="s">
        <v>1963</v>
      </c>
      <c r="AG129" s="15" t="s">
        <v>1962</v>
      </c>
      <c r="AH129" s="15" t="s">
        <v>1964</v>
      </c>
      <c r="AL129" s="15" t="s">
        <v>1965</v>
      </c>
      <c r="AN129" s="15">
        <v>81</v>
      </c>
      <c r="AO129" s="15" t="s">
        <v>1966</v>
      </c>
      <c r="AQ129" s="28" t="s">
        <v>503</v>
      </c>
      <c r="AT129" s="15" t="s">
        <v>1965</v>
      </c>
      <c r="AU129" s="17" t="s">
        <v>1967</v>
      </c>
      <c r="AV129" s="17" t="s">
        <v>1967</v>
      </c>
      <c r="AW129" s="15" t="s">
        <v>1968</v>
      </c>
      <c r="AX129" s="15" t="s">
        <v>1969</v>
      </c>
      <c r="AY129" s="15">
        <f t="shared" si="3"/>
        <v>60</v>
      </c>
      <c r="AZ129" s="17" t="s">
        <v>785</v>
      </c>
      <c r="BA129" s="17" t="s">
        <v>507</v>
      </c>
      <c r="BB129" s="17" t="s">
        <v>1946</v>
      </c>
      <c r="BE129" s="17" t="s">
        <v>1970</v>
      </c>
      <c r="BJ129" s="17" t="s">
        <v>1948</v>
      </c>
      <c r="BK129" s="17" t="s">
        <v>312</v>
      </c>
      <c r="BN129" s="17" t="s">
        <v>511</v>
      </c>
      <c r="BP129" s="17" t="s">
        <v>140</v>
      </c>
      <c r="BQ129" s="17" t="s">
        <v>258</v>
      </c>
      <c r="BS129" s="15" t="s">
        <v>1971</v>
      </c>
      <c r="DH129" s="15" t="s">
        <v>4597</v>
      </c>
      <c r="DI129" s="15" t="s">
        <v>4597</v>
      </c>
    </row>
    <row r="130" spans="1:113" s="15" customFormat="1" ht="12.75" x14ac:dyDescent="0.2">
      <c r="A130" s="15" t="s">
        <v>109</v>
      </c>
      <c r="B130" s="16" t="s">
        <v>493</v>
      </c>
      <c r="C130" s="15" t="s">
        <v>494</v>
      </c>
      <c r="D130" s="15" t="s">
        <v>1483</v>
      </c>
      <c r="E130" s="15" t="s">
        <v>113</v>
      </c>
      <c r="F130" s="15" t="s">
        <v>1483</v>
      </c>
      <c r="G130" s="15" t="s">
        <v>114</v>
      </c>
      <c r="H130" s="15" t="s">
        <v>1111</v>
      </c>
      <c r="J130" s="18" t="s">
        <v>115</v>
      </c>
      <c r="W130" s="15">
        <v>154</v>
      </c>
      <c r="X130" s="15">
        <v>129</v>
      </c>
      <c r="Y130" s="15" t="s">
        <v>495</v>
      </c>
      <c r="Z130" s="15" t="s">
        <v>496</v>
      </c>
      <c r="AA130" s="27" t="s">
        <v>495</v>
      </c>
      <c r="AB130" s="15" t="s">
        <v>1972</v>
      </c>
      <c r="AC130" s="15" t="s">
        <v>1972</v>
      </c>
      <c r="AD130" s="15" t="s">
        <v>1972</v>
      </c>
      <c r="AE130" s="15" t="s">
        <v>496</v>
      </c>
      <c r="AF130" s="15" t="s">
        <v>1972</v>
      </c>
      <c r="AG130" s="15" t="s">
        <v>1972</v>
      </c>
      <c r="AH130" s="15" t="s">
        <v>1973</v>
      </c>
      <c r="AL130" s="15" t="s">
        <v>1974</v>
      </c>
      <c r="AN130" s="15">
        <v>81</v>
      </c>
      <c r="AO130" s="15" t="s">
        <v>1975</v>
      </c>
      <c r="AQ130" s="28" t="s">
        <v>503</v>
      </c>
      <c r="AT130" s="15" t="s">
        <v>1976</v>
      </c>
      <c r="AU130" s="17" t="s">
        <v>1977</v>
      </c>
      <c r="AV130" s="17" t="s">
        <v>1977</v>
      </c>
      <c r="AW130" s="15" t="s">
        <v>1978</v>
      </c>
      <c r="AX130" s="15" t="s">
        <v>1979</v>
      </c>
      <c r="AY130" s="15">
        <f t="shared" ref="AY130:AY160" si="4">LEN(SUBSTITUTE(AX130, ", "," "))</f>
        <v>52</v>
      </c>
      <c r="AZ130" s="17" t="s">
        <v>785</v>
      </c>
      <c r="BA130" s="17" t="s">
        <v>507</v>
      </c>
      <c r="BB130" s="17" t="s">
        <v>1980</v>
      </c>
      <c r="BE130" s="17" t="s">
        <v>1981</v>
      </c>
      <c r="BJ130" s="17" t="s">
        <v>1946</v>
      </c>
      <c r="BN130" s="17" t="s">
        <v>511</v>
      </c>
      <c r="BP130" s="17" t="s">
        <v>140</v>
      </c>
      <c r="BS130" s="15" t="s">
        <v>1982</v>
      </c>
      <c r="DH130" s="15" t="s">
        <v>4597</v>
      </c>
      <c r="DI130" s="15" t="s">
        <v>4597</v>
      </c>
    </row>
    <row r="131" spans="1:113" s="15" customFormat="1" ht="12.75" x14ac:dyDescent="0.2">
      <c r="A131" s="15" t="s">
        <v>109</v>
      </c>
      <c r="B131" s="16" t="s">
        <v>493</v>
      </c>
      <c r="C131" s="15" t="s">
        <v>494</v>
      </c>
      <c r="D131" s="15" t="s">
        <v>1483</v>
      </c>
      <c r="E131" s="15" t="s">
        <v>113</v>
      </c>
      <c r="F131" s="15" t="s">
        <v>1483</v>
      </c>
      <c r="G131" s="15" t="s">
        <v>114</v>
      </c>
      <c r="H131" s="15" t="s">
        <v>1111</v>
      </c>
      <c r="J131" s="18" t="s">
        <v>115</v>
      </c>
      <c r="W131" s="15">
        <v>155</v>
      </c>
      <c r="X131" s="15">
        <v>130</v>
      </c>
      <c r="Y131" s="15" t="s">
        <v>495</v>
      </c>
      <c r="Z131" s="15" t="s">
        <v>496</v>
      </c>
      <c r="AA131" s="27" t="s">
        <v>495</v>
      </c>
      <c r="AB131" s="15" t="s">
        <v>1983</v>
      </c>
      <c r="AC131" s="15" t="s">
        <v>1983</v>
      </c>
      <c r="AD131" s="15" t="s">
        <v>1983</v>
      </c>
      <c r="AE131" s="15" t="s">
        <v>496</v>
      </c>
      <c r="AF131" s="15" t="s">
        <v>1983</v>
      </c>
      <c r="AG131" s="15" t="s">
        <v>1983</v>
      </c>
      <c r="AH131" s="15" t="s">
        <v>1984</v>
      </c>
      <c r="AL131" s="15" t="s">
        <v>1985</v>
      </c>
      <c r="AN131" s="15">
        <v>81</v>
      </c>
      <c r="AO131" s="15" t="s">
        <v>1986</v>
      </c>
      <c r="AQ131" s="28" t="s">
        <v>503</v>
      </c>
      <c r="AT131" s="15" t="s">
        <v>1987</v>
      </c>
      <c r="AU131" s="17" t="s">
        <v>1988</v>
      </c>
      <c r="AV131" s="17" t="s">
        <v>1988</v>
      </c>
      <c r="AW131" s="15" t="s">
        <v>1989</v>
      </c>
      <c r="AX131" s="15" t="s">
        <v>1990</v>
      </c>
      <c r="AY131" s="15">
        <f t="shared" si="4"/>
        <v>55</v>
      </c>
      <c r="AZ131" s="17" t="s">
        <v>785</v>
      </c>
      <c r="BA131" s="17" t="s">
        <v>507</v>
      </c>
      <c r="BB131" s="17" t="s">
        <v>949</v>
      </c>
      <c r="BJ131" s="17" t="s">
        <v>1991</v>
      </c>
      <c r="BN131" s="17" t="s">
        <v>511</v>
      </c>
      <c r="BP131" s="17" t="s">
        <v>140</v>
      </c>
      <c r="BS131" s="15" t="s">
        <v>1992</v>
      </c>
      <c r="DH131" s="15" t="s">
        <v>4597</v>
      </c>
      <c r="DI131" s="15" t="s">
        <v>4597</v>
      </c>
    </row>
    <row r="132" spans="1:113" s="15" customFormat="1" ht="12.75" x14ac:dyDescent="0.2">
      <c r="A132" s="15" t="s">
        <v>109</v>
      </c>
      <c r="B132" s="16" t="s">
        <v>493</v>
      </c>
      <c r="C132" s="15" t="s">
        <v>494</v>
      </c>
      <c r="D132" s="15" t="s">
        <v>1483</v>
      </c>
      <c r="E132" s="15" t="s">
        <v>113</v>
      </c>
      <c r="F132" s="15" t="s">
        <v>1483</v>
      </c>
      <c r="G132" s="15" t="s">
        <v>114</v>
      </c>
      <c r="H132" s="15" t="s">
        <v>1111</v>
      </c>
      <c r="J132" s="18" t="s">
        <v>115</v>
      </c>
      <c r="W132" s="15">
        <v>156</v>
      </c>
      <c r="X132" s="15">
        <v>131</v>
      </c>
      <c r="Y132" s="15" t="s">
        <v>495</v>
      </c>
      <c r="Z132" s="15" t="s">
        <v>496</v>
      </c>
      <c r="AA132" s="27" t="s">
        <v>495</v>
      </c>
      <c r="AB132" s="15" t="s">
        <v>1993</v>
      </c>
      <c r="AC132" s="15" t="s">
        <v>1993</v>
      </c>
      <c r="AD132" s="15" t="s">
        <v>1993</v>
      </c>
      <c r="AE132" s="15" t="s">
        <v>496</v>
      </c>
      <c r="AF132" s="15" t="s">
        <v>1993</v>
      </c>
      <c r="AG132" s="15" t="s">
        <v>1993</v>
      </c>
      <c r="AH132" s="15" t="s">
        <v>1994</v>
      </c>
      <c r="AL132" s="15" t="s">
        <v>1995</v>
      </c>
      <c r="AN132" s="15">
        <v>81</v>
      </c>
      <c r="AO132" s="15" t="s">
        <v>1996</v>
      </c>
      <c r="AQ132" s="28" t="s">
        <v>503</v>
      </c>
      <c r="AT132" s="15" t="s">
        <v>1997</v>
      </c>
      <c r="AU132" s="17" t="s">
        <v>1998</v>
      </c>
      <c r="AV132" s="17" t="s">
        <v>1998</v>
      </c>
      <c r="AW132" s="15" t="s">
        <v>1999</v>
      </c>
      <c r="AX132" s="15" t="s">
        <v>2000</v>
      </c>
      <c r="AY132" s="15">
        <f t="shared" si="4"/>
        <v>49</v>
      </c>
      <c r="AZ132" s="17" t="s">
        <v>785</v>
      </c>
      <c r="BA132" s="17" t="s">
        <v>507</v>
      </c>
      <c r="BB132" s="17" t="s">
        <v>949</v>
      </c>
      <c r="BJ132" s="17" t="s">
        <v>2001</v>
      </c>
      <c r="BN132" s="17" t="s">
        <v>511</v>
      </c>
      <c r="BP132" s="17" t="s">
        <v>140</v>
      </c>
      <c r="BS132" s="15" t="s">
        <v>2002</v>
      </c>
      <c r="DH132" s="15" t="s">
        <v>4597</v>
      </c>
      <c r="DI132" s="15" t="s">
        <v>4597</v>
      </c>
    </row>
    <row r="133" spans="1:113" s="15" customFormat="1" ht="12.75" x14ac:dyDescent="0.2">
      <c r="A133" s="15" t="s">
        <v>109</v>
      </c>
      <c r="B133" s="16" t="s">
        <v>493</v>
      </c>
      <c r="C133" s="15" t="s">
        <v>494</v>
      </c>
      <c r="D133" s="15" t="s">
        <v>1483</v>
      </c>
      <c r="E133" s="15" t="s">
        <v>1337</v>
      </c>
      <c r="F133" s="15" t="s">
        <v>1483</v>
      </c>
      <c r="G133" s="15" t="s">
        <v>114</v>
      </c>
      <c r="H133" s="15" t="s">
        <v>1111</v>
      </c>
      <c r="J133" s="18" t="s">
        <v>115</v>
      </c>
      <c r="W133" s="15">
        <v>157</v>
      </c>
      <c r="X133" s="15">
        <v>132</v>
      </c>
      <c r="Y133" s="15" t="s">
        <v>495</v>
      </c>
      <c r="Z133" s="15" t="s">
        <v>496</v>
      </c>
      <c r="AA133" s="27" t="s">
        <v>495</v>
      </c>
      <c r="AB133" s="15" t="s">
        <v>2003</v>
      </c>
      <c r="AC133" s="15" t="s">
        <v>2003</v>
      </c>
      <c r="AD133" s="15" t="s">
        <v>2004</v>
      </c>
      <c r="AE133" s="15" t="s">
        <v>496</v>
      </c>
      <c r="AF133" s="15" t="s">
        <v>2004</v>
      </c>
      <c r="AG133" s="15" t="s">
        <v>2003</v>
      </c>
      <c r="AH133" s="15" t="s">
        <v>2005</v>
      </c>
      <c r="AL133" s="15" t="s">
        <v>2006</v>
      </c>
      <c r="AN133" s="15">
        <v>81</v>
      </c>
      <c r="AO133" s="15" t="s">
        <v>2007</v>
      </c>
      <c r="AQ133" s="28" t="s">
        <v>1316</v>
      </c>
      <c r="AT133" s="15" t="s">
        <v>2008</v>
      </c>
      <c r="AU133" s="17" t="s">
        <v>2009</v>
      </c>
      <c r="AV133" s="17" t="s">
        <v>2009</v>
      </c>
      <c r="AW133" s="15" t="s">
        <v>2010</v>
      </c>
      <c r="AX133" s="15" t="s">
        <v>2011</v>
      </c>
      <c r="AY133" s="15">
        <f t="shared" si="4"/>
        <v>28</v>
      </c>
      <c r="AZ133" s="17" t="s">
        <v>1321</v>
      </c>
      <c r="BA133" s="17" t="s">
        <v>1322</v>
      </c>
      <c r="BE133" s="17" t="s">
        <v>2012</v>
      </c>
      <c r="BJ133" s="17" t="s">
        <v>2013</v>
      </c>
      <c r="BN133" s="17" t="s">
        <v>511</v>
      </c>
      <c r="BP133" s="17" t="s">
        <v>140</v>
      </c>
      <c r="BS133" s="15" t="s">
        <v>2014</v>
      </c>
      <c r="DH133" s="15" t="s">
        <v>4597</v>
      </c>
      <c r="DI133" s="15" t="s">
        <v>4597</v>
      </c>
    </row>
    <row r="134" spans="1:113" s="15" customFormat="1" ht="12.75" x14ac:dyDescent="0.2">
      <c r="A134" s="15" t="s">
        <v>109</v>
      </c>
      <c r="B134" s="16" t="s">
        <v>493</v>
      </c>
      <c r="C134" s="15" t="s">
        <v>494</v>
      </c>
      <c r="D134" s="15" t="s">
        <v>1483</v>
      </c>
      <c r="E134" s="15" t="s">
        <v>113</v>
      </c>
      <c r="F134" s="15" t="s">
        <v>1483</v>
      </c>
      <c r="G134" s="15" t="s">
        <v>114</v>
      </c>
      <c r="H134" s="15" t="s">
        <v>1111</v>
      </c>
      <c r="J134" s="18" t="s">
        <v>115</v>
      </c>
      <c r="W134" s="15">
        <v>158</v>
      </c>
      <c r="X134" s="15">
        <v>133</v>
      </c>
      <c r="Y134" s="15" t="s">
        <v>495</v>
      </c>
      <c r="Z134" s="15" t="s">
        <v>496</v>
      </c>
      <c r="AA134" s="27" t="s">
        <v>495</v>
      </c>
      <c r="AB134" s="15" t="s">
        <v>2015</v>
      </c>
      <c r="AC134" s="15" t="s">
        <v>2015</v>
      </c>
      <c r="AD134" s="15" t="s">
        <v>2016</v>
      </c>
      <c r="AE134" s="15" t="s">
        <v>496</v>
      </c>
      <c r="AF134" s="15" t="s">
        <v>2016</v>
      </c>
      <c r="AG134" s="15" t="s">
        <v>2015</v>
      </c>
      <c r="AH134" s="15" t="s">
        <v>2017</v>
      </c>
      <c r="AL134" s="15" t="s">
        <v>2018</v>
      </c>
      <c r="AN134" s="15">
        <v>81</v>
      </c>
      <c r="AO134" s="15" t="s">
        <v>2019</v>
      </c>
      <c r="AQ134" s="28" t="s">
        <v>1316</v>
      </c>
      <c r="AT134" s="15" t="s">
        <v>2020</v>
      </c>
      <c r="AU134" s="17" t="s">
        <v>2021</v>
      </c>
      <c r="AV134" s="17" t="s">
        <v>2021</v>
      </c>
      <c r="AW134" s="15" t="s">
        <v>2022</v>
      </c>
      <c r="AX134" s="15" t="s">
        <v>2023</v>
      </c>
      <c r="AY134" s="15">
        <f t="shared" si="4"/>
        <v>59</v>
      </c>
      <c r="AZ134" s="17" t="s">
        <v>1321</v>
      </c>
      <c r="BA134" s="17" t="s">
        <v>1322</v>
      </c>
      <c r="BJ134" s="17" t="s">
        <v>2024</v>
      </c>
      <c r="BN134" s="17" t="s">
        <v>511</v>
      </c>
      <c r="BP134" s="17" t="s">
        <v>140</v>
      </c>
      <c r="BS134" s="15" t="s">
        <v>2025</v>
      </c>
      <c r="DH134" s="15" t="s">
        <v>4597</v>
      </c>
      <c r="DI134" s="15" t="s">
        <v>4597</v>
      </c>
    </row>
    <row r="135" spans="1:113" s="15" customFormat="1" ht="12.75" x14ac:dyDescent="0.2">
      <c r="A135" s="15" t="s">
        <v>109</v>
      </c>
      <c r="B135" s="16" t="s">
        <v>493</v>
      </c>
      <c r="C135" s="15" t="s">
        <v>494</v>
      </c>
      <c r="D135" s="15" t="s">
        <v>1483</v>
      </c>
      <c r="E135" s="15" t="s">
        <v>1212</v>
      </c>
      <c r="F135" s="15" t="s">
        <v>1483</v>
      </c>
      <c r="G135" s="15" t="s">
        <v>114</v>
      </c>
      <c r="H135" s="15" t="s">
        <v>1111</v>
      </c>
      <c r="J135" s="18" t="s">
        <v>115</v>
      </c>
      <c r="W135" s="15">
        <v>159</v>
      </c>
      <c r="X135" s="15">
        <v>134</v>
      </c>
      <c r="Y135" s="15" t="s">
        <v>495</v>
      </c>
      <c r="Z135" s="15" t="s">
        <v>496</v>
      </c>
      <c r="AA135" s="27" t="s">
        <v>495</v>
      </c>
      <c r="AB135" s="15" t="s">
        <v>2026</v>
      </c>
      <c r="AC135" s="15" t="s">
        <v>2026</v>
      </c>
      <c r="AD135" s="15" t="s">
        <v>2026</v>
      </c>
      <c r="AE135" s="15" t="s">
        <v>496</v>
      </c>
      <c r="AF135" s="15" t="s">
        <v>2026</v>
      </c>
      <c r="AG135" s="15" t="s">
        <v>2026</v>
      </c>
      <c r="AH135" s="15" t="s">
        <v>2027</v>
      </c>
      <c r="AL135" s="15" t="s">
        <v>2028</v>
      </c>
      <c r="AN135" s="15">
        <v>81</v>
      </c>
      <c r="AO135" s="15" t="s">
        <v>2029</v>
      </c>
      <c r="AQ135" s="28" t="s">
        <v>1316</v>
      </c>
      <c r="AT135" s="15" t="s">
        <v>2028</v>
      </c>
      <c r="AU135" s="17" t="s">
        <v>2030</v>
      </c>
      <c r="AV135" s="17" t="s">
        <v>2030</v>
      </c>
      <c r="AW135" s="15" t="s">
        <v>2031</v>
      </c>
      <c r="AX135" s="15" t="s">
        <v>2032</v>
      </c>
      <c r="AY135" s="15">
        <f t="shared" si="4"/>
        <v>57</v>
      </c>
      <c r="AZ135" s="17" t="s">
        <v>1321</v>
      </c>
      <c r="BA135" s="17" t="s">
        <v>1322</v>
      </c>
      <c r="BE135" s="17" t="s">
        <v>2033</v>
      </c>
      <c r="BJ135" s="17" t="s">
        <v>2034</v>
      </c>
      <c r="BS135" s="15" t="s">
        <v>347</v>
      </c>
      <c r="DH135" s="15" t="s">
        <v>4597</v>
      </c>
      <c r="DI135" s="15" t="s">
        <v>4597</v>
      </c>
    </row>
    <row r="136" spans="1:113" s="15" customFormat="1" ht="12.75" x14ac:dyDescent="0.2">
      <c r="A136" s="15" t="s">
        <v>109</v>
      </c>
      <c r="B136" s="16" t="s">
        <v>493</v>
      </c>
      <c r="C136" s="15" t="s">
        <v>494</v>
      </c>
      <c r="D136" s="15" t="s">
        <v>1483</v>
      </c>
      <c r="E136" s="15" t="s">
        <v>113</v>
      </c>
      <c r="F136" s="15" t="s">
        <v>1483</v>
      </c>
      <c r="G136" s="15" t="s">
        <v>114</v>
      </c>
      <c r="H136" s="15" t="s">
        <v>1111</v>
      </c>
      <c r="J136" s="18" t="s">
        <v>115</v>
      </c>
      <c r="W136" s="15">
        <v>160</v>
      </c>
      <c r="X136" s="15">
        <v>135</v>
      </c>
      <c r="Y136" s="15" t="s">
        <v>495</v>
      </c>
      <c r="Z136" s="15" t="s">
        <v>496</v>
      </c>
      <c r="AA136" s="27" t="s">
        <v>495</v>
      </c>
      <c r="AB136" s="15" t="s">
        <v>2035</v>
      </c>
      <c r="AC136" s="15" t="s">
        <v>2035</v>
      </c>
      <c r="AD136" s="15" t="s">
        <v>2036</v>
      </c>
      <c r="AE136" s="15" t="s">
        <v>496</v>
      </c>
      <c r="AF136" s="15" t="s">
        <v>2036</v>
      </c>
      <c r="AG136" s="15" t="s">
        <v>2035</v>
      </c>
      <c r="AH136" s="15" t="s">
        <v>2037</v>
      </c>
      <c r="AL136" s="15" t="s">
        <v>2038</v>
      </c>
      <c r="AN136" s="15">
        <v>81</v>
      </c>
      <c r="AO136" s="15" t="s">
        <v>2039</v>
      </c>
      <c r="AQ136" s="28" t="s">
        <v>1316</v>
      </c>
      <c r="AT136" s="15" t="s">
        <v>2040</v>
      </c>
      <c r="AU136" s="17" t="s">
        <v>2041</v>
      </c>
      <c r="AV136" s="17" t="s">
        <v>2041</v>
      </c>
      <c r="AW136" s="15" t="s">
        <v>2042</v>
      </c>
      <c r="AX136" s="15" t="s">
        <v>2043</v>
      </c>
      <c r="AY136" s="15">
        <f t="shared" si="4"/>
        <v>59</v>
      </c>
      <c r="AZ136" s="17" t="s">
        <v>1321</v>
      </c>
      <c r="BA136" s="17" t="s">
        <v>1322</v>
      </c>
      <c r="BE136" s="17" t="s">
        <v>2012</v>
      </c>
      <c r="BJ136" s="17" t="s">
        <v>2034</v>
      </c>
      <c r="BN136" s="17" t="s">
        <v>511</v>
      </c>
      <c r="BP136" s="17" t="s">
        <v>140</v>
      </c>
      <c r="BS136" s="15" t="s">
        <v>2044</v>
      </c>
      <c r="DH136" s="15" t="s">
        <v>4597</v>
      </c>
      <c r="DI136" s="15" t="s">
        <v>4597</v>
      </c>
    </row>
    <row r="137" spans="1:113" s="15" customFormat="1" ht="12.75" x14ac:dyDescent="0.2">
      <c r="A137" s="15" t="s">
        <v>109</v>
      </c>
      <c r="B137" s="16" t="s">
        <v>493</v>
      </c>
      <c r="C137" s="15" t="s">
        <v>494</v>
      </c>
      <c r="D137" s="15" t="s">
        <v>1483</v>
      </c>
      <c r="E137" s="15" t="s">
        <v>113</v>
      </c>
      <c r="F137" s="15" t="s">
        <v>1483</v>
      </c>
      <c r="G137" s="15" t="s">
        <v>114</v>
      </c>
      <c r="H137" s="15" t="s">
        <v>1111</v>
      </c>
      <c r="J137" s="18" t="s">
        <v>115</v>
      </c>
      <c r="W137" s="15">
        <v>161</v>
      </c>
      <c r="X137" s="15">
        <v>136</v>
      </c>
      <c r="Y137" s="15" t="s">
        <v>495</v>
      </c>
      <c r="Z137" s="15" t="s">
        <v>496</v>
      </c>
      <c r="AA137" s="27" t="s">
        <v>495</v>
      </c>
      <c r="AB137" s="15" t="s">
        <v>2045</v>
      </c>
      <c r="AC137" s="15" t="s">
        <v>2045</v>
      </c>
      <c r="AD137" s="15" t="s">
        <v>2046</v>
      </c>
      <c r="AE137" s="15" t="s">
        <v>496</v>
      </c>
      <c r="AF137" s="15" t="s">
        <v>2046</v>
      </c>
      <c r="AG137" s="15" t="s">
        <v>2045</v>
      </c>
      <c r="AH137" s="15" t="s">
        <v>2047</v>
      </c>
      <c r="AL137" s="15" t="s">
        <v>2048</v>
      </c>
      <c r="AN137" s="15">
        <v>81</v>
      </c>
      <c r="AO137" s="15" t="s">
        <v>2049</v>
      </c>
      <c r="AQ137" s="28" t="s">
        <v>1316</v>
      </c>
      <c r="AT137" s="15" t="s">
        <v>2050</v>
      </c>
      <c r="AU137" s="17" t="s">
        <v>2051</v>
      </c>
      <c r="AV137" s="17" t="s">
        <v>2051</v>
      </c>
      <c r="AW137" s="15" t="s">
        <v>2052</v>
      </c>
      <c r="AX137" s="15" t="s">
        <v>2053</v>
      </c>
      <c r="AY137" s="15">
        <f t="shared" si="4"/>
        <v>48</v>
      </c>
      <c r="AZ137" s="17" t="s">
        <v>1321</v>
      </c>
      <c r="BA137" s="17" t="s">
        <v>1322</v>
      </c>
      <c r="BE137" s="17" t="s">
        <v>2012</v>
      </c>
      <c r="BJ137" s="17" t="s">
        <v>2054</v>
      </c>
      <c r="BN137" s="17" t="s">
        <v>511</v>
      </c>
      <c r="BP137" s="17" t="s">
        <v>140</v>
      </c>
      <c r="BS137" s="15" t="s">
        <v>2055</v>
      </c>
      <c r="DH137" s="15" t="s">
        <v>4597</v>
      </c>
      <c r="DI137" s="15" t="s">
        <v>4597</v>
      </c>
    </row>
    <row r="138" spans="1:113" s="15" customFormat="1" ht="12.75" x14ac:dyDescent="0.2">
      <c r="A138" s="15" t="s">
        <v>109</v>
      </c>
      <c r="B138" s="16" t="s">
        <v>493</v>
      </c>
      <c r="C138" s="15" t="s">
        <v>494</v>
      </c>
      <c r="D138" s="15" t="s">
        <v>1483</v>
      </c>
      <c r="E138" s="15" t="s">
        <v>113</v>
      </c>
      <c r="F138" s="15" t="s">
        <v>1483</v>
      </c>
      <c r="G138" s="15" t="s">
        <v>114</v>
      </c>
      <c r="H138" s="15" t="s">
        <v>1111</v>
      </c>
      <c r="J138" s="18" t="s">
        <v>115</v>
      </c>
      <c r="W138" s="15">
        <v>162</v>
      </c>
      <c r="X138" s="15">
        <v>137</v>
      </c>
      <c r="Y138" s="15" t="s">
        <v>495</v>
      </c>
      <c r="Z138" s="15" t="s">
        <v>496</v>
      </c>
      <c r="AA138" s="27" t="s">
        <v>495</v>
      </c>
      <c r="AB138" s="15" t="s">
        <v>2056</v>
      </c>
      <c r="AC138" s="15" t="s">
        <v>2056</v>
      </c>
      <c r="AD138" s="15" t="s">
        <v>2057</v>
      </c>
      <c r="AE138" s="15" t="s">
        <v>496</v>
      </c>
      <c r="AF138" s="15" t="s">
        <v>2057</v>
      </c>
      <c r="AG138" s="15" t="s">
        <v>2056</v>
      </c>
      <c r="AH138" s="15" t="s">
        <v>2058</v>
      </c>
      <c r="AL138" s="15" t="s">
        <v>2059</v>
      </c>
      <c r="AN138" s="15">
        <v>81</v>
      </c>
      <c r="AO138" s="15" t="s">
        <v>2060</v>
      </c>
      <c r="AQ138" s="28" t="s">
        <v>1316</v>
      </c>
      <c r="AT138" s="15" t="s">
        <v>2061</v>
      </c>
      <c r="AU138" s="17" t="s">
        <v>2062</v>
      </c>
      <c r="AV138" s="17" t="s">
        <v>2062</v>
      </c>
      <c r="AW138" s="15" t="s">
        <v>2063</v>
      </c>
      <c r="AX138" s="15" t="s">
        <v>2064</v>
      </c>
      <c r="AY138" s="15">
        <f t="shared" si="4"/>
        <v>49</v>
      </c>
      <c r="AZ138" s="17" t="s">
        <v>1321</v>
      </c>
      <c r="BA138" s="17" t="s">
        <v>1322</v>
      </c>
      <c r="BE138" s="17" t="s">
        <v>2033</v>
      </c>
      <c r="BJ138" s="17" t="s">
        <v>2054</v>
      </c>
      <c r="BN138" s="17" t="s">
        <v>511</v>
      </c>
      <c r="BP138" s="17" t="s">
        <v>140</v>
      </c>
      <c r="BS138" s="15" t="s">
        <v>2065</v>
      </c>
      <c r="DH138" s="15" t="s">
        <v>4597</v>
      </c>
      <c r="DI138" s="15" t="s">
        <v>4597</v>
      </c>
    </row>
    <row r="139" spans="1:113" s="15" customFormat="1" ht="12.75" x14ac:dyDescent="0.2">
      <c r="A139" s="15" t="s">
        <v>109</v>
      </c>
      <c r="B139" s="16" t="s">
        <v>493</v>
      </c>
      <c r="C139" s="15" t="s">
        <v>494</v>
      </c>
      <c r="D139" s="15" t="s">
        <v>1483</v>
      </c>
      <c r="E139" s="15" t="s">
        <v>1212</v>
      </c>
      <c r="F139" s="15" t="s">
        <v>1483</v>
      </c>
      <c r="G139" s="15" t="s">
        <v>2066</v>
      </c>
      <c r="H139" s="15" t="s">
        <v>1111</v>
      </c>
      <c r="J139" s="18" t="s">
        <v>115</v>
      </c>
      <c r="W139" s="15">
        <v>163</v>
      </c>
      <c r="X139" s="15">
        <v>138</v>
      </c>
      <c r="Y139" s="15" t="s">
        <v>495</v>
      </c>
      <c r="Z139" s="15" t="s">
        <v>496</v>
      </c>
      <c r="AA139" s="27" t="s">
        <v>495</v>
      </c>
      <c r="AB139" s="15" t="s">
        <v>2067</v>
      </c>
      <c r="AC139" s="15" t="s">
        <v>2067</v>
      </c>
      <c r="AD139" s="15" t="s">
        <v>2068</v>
      </c>
      <c r="AE139" s="15" t="s">
        <v>496</v>
      </c>
      <c r="AF139" s="15" t="s">
        <v>2068</v>
      </c>
      <c r="AG139" s="15" t="s">
        <v>2067</v>
      </c>
      <c r="AH139" s="15" t="s">
        <v>2069</v>
      </c>
      <c r="AL139" s="15" t="s">
        <v>2070</v>
      </c>
      <c r="AN139" s="15">
        <v>81</v>
      </c>
      <c r="AO139" s="15" t="s">
        <v>2071</v>
      </c>
      <c r="AQ139" s="28" t="s">
        <v>1316</v>
      </c>
      <c r="AT139" s="15" t="s">
        <v>2070</v>
      </c>
      <c r="AU139" s="17" t="s">
        <v>2072</v>
      </c>
      <c r="AV139" s="17" t="s">
        <v>2072</v>
      </c>
      <c r="AW139" s="15" t="s">
        <v>2073</v>
      </c>
      <c r="AX139" s="15" t="s">
        <v>2074</v>
      </c>
      <c r="AY139" s="15">
        <f t="shared" si="4"/>
        <v>56</v>
      </c>
      <c r="AZ139" s="17" t="s">
        <v>1321</v>
      </c>
      <c r="BA139" s="17" t="s">
        <v>1322</v>
      </c>
      <c r="BE139" s="17" t="s">
        <v>2012</v>
      </c>
      <c r="BJ139" s="17" t="s">
        <v>2075</v>
      </c>
      <c r="BN139" s="17" t="s">
        <v>511</v>
      </c>
      <c r="BP139" s="17" t="s">
        <v>140</v>
      </c>
      <c r="BS139" s="15" t="s">
        <v>347</v>
      </c>
      <c r="DH139" s="15" t="s">
        <v>4597</v>
      </c>
      <c r="DI139" s="15" t="s">
        <v>4597</v>
      </c>
    </row>
    <row r="140" spans="1:113" s="15" customFormat="1" ht="12.75" x14ac:dyDescent="0.2">
      <c r="A140" s="15" t="s">
        <v>109</v>
      </c>
      <c r="B140" s="16" t="s">
        <v>493</v>
      </c>
      <c r="C140" s="15" t="s">
        <v>494</v>
      </c>
      <c r="D140" s="15" t="s">
        <v>1483</v>
      </c>
      <c r="E140" s="15" t="s">
        <v>1212</v>
      </c>
      <c r="F140" s="15" t="s">
        <v>1483</v>
      </c>
      <c r="G140" s="15" t="s">
        <v>2066</v>
      </c>
      <c r="H140" s="15" t="s">
        <v>1111</v>
      </c>
      <c r="J140" s="18" t="s">
        <v>115</v>
      </c>
      <c r="W140" s="15">
        <v>164</v>
      </c>
      <c r="X140" s="15">
        <v>139</v>
      </c>
      <c r="Y140" s="15" t="s">
        <v>495</v>
      </c>
      <c r="Z140" s="15" t="s">
        <v>496</v>
      </c>
      <c r="AA140" s="27" t="s">
        <v>495</v>
      </c>
      <c r="AB140" s="15" t="s">
        <v>2076</v>
      </c>
      <c r="AC140" s="15" t="s">
        <v>2076</v>
      </c>
      <c r="AD140" s="15" t="s">
        <v>2077</v>
      </c>
      <c r="AE140" s="15" t="s">
        <v>496</v>
      </c>
      <c r="AF140" s="15" t="s">
        <v>2077</v>
      </c>
      <c r="AG140" s="15" t="s">
        <v>2076</v>
      </c>
      <c r="AH140" s="15" t="s">
        <v>2078</v>
      </c>
      <c r="AL140" s="15" t="s">
        <v>2079</v>
      </c>
      <c r="AN140" s="15">
        <v>81</v>
      </c>
      <c r="AO140" s="15" t="s">
        <v>2080</v>
      </c>
      <c r="AQ140" s="28" t="s">
        <v>1316</v>
      </c>
      <c r="AT140" s="15" t="s">
        <v>2079</v>
      </c>
      <c r="AU140" s="17" t="s">
        <v>2081</v>
      </c>
      <c r="AV140" s="17" t="s">
        <v>2081</v>
      </c>
      <c r="AW140" s="15" t="s">
        <v>2082</v>
      </c>
      <c r="AX140" s="15" t="s">
        <v>2083</v>
      </c>
      <c r="AY140" s="15">
        <f t="shared" si="4"/>
        <v>52</v>
      </c>
      <c r="AZ140" s="17" t="s">
        <v>1321</v>
      </c>
      <c r="BA140" s="17" t="s">
        <v>1322</v>
      </c>
      <c r="BE140" s="17" t="s">
        <v>2012</v>
      </c>
      <c r="BJ140" s="17" t="s">
        <v>2084</v>
      </c>
      <c r="BN140" s="17" t="s">
        <v>511</v>
      </c>
      <c r="BP140" s="17" t="s">
        <v>140</v>
      </c>
      <c r="BS140" s="15" t="s">
        <v>347</v>
      </c>
      <c r="DH140" s="15" t="s">
        <v>4597</v>
      </c>
      <c r="DI140" s="15" t="s">
        <v>4597</v>
      </c>
    </row>
    <row r="141" spans="1:113" s="15" customFormat="1" ht="12.75" x14ac:dyDescent="0.2">
      <c r="A141" s="15" t="s">
        <v>109</v>
      </c>
      <c r="B141" s="16" t="s">
        <v>493</v>
      </c>
      <c r="C141" s="15" t="s">
        <v>494</v>
      </c>
      <c r="D141" s="15" t="s">
        <v>1483</v>
      </c>
      <c r="E141" s="15" t="s">
        <v>113</v>
      </c>
      <c r="F141" s="15" t="s">
        <v>1483</v>
      </c>
      <c r="G141" s="15" t="s">
        <v>114</v>
      </c>
      <c r="H141" s="15" t="s">
        <v>1111</v>
      </c>
      <c r="J141" s="18" t="s">
        <v>115</v>
      </c>
      <c r="W141" s="15">
        <v>165</v>
      </c>
      <c r="X141" s="15">
        <v>140</v>
      </c>
      <c r="Y141" s="15" t="s">
        <v>495</v>
      </c>
      <c r="Z141" s="15" t="s">
        <v>496</v>
      </c>
      <c r="AA141" s="27" t="s">
        <v>495</v>
      </c>
      <c r="AB141" s="15" t="s">
        <v>2085</v>
      </c>
      <c r="AC141" s="15" t="s">
        <v>2085</v>
      </c>
      <c r="AD141" s="15" t="s">
        <v>2086</v>
      </c>
      <c r="AE141" s="15" t="s">
        <v>496</v>
      </c>
      <c r="AF141" s="15" t="s">
        <v>2086</v>
      </c>
      <c r="AG141" s="15" t="s">
        <v>2085</v>
      </c>
      <c r="AH141" s="15" t="s">
        <v>2087</v>
      </c>
      <c r="AL141" s="15" t="s">
        <v>2088</v>
      </c>
      <c r="AN141" s="15">
        <v>81</v>
      </c>
      <c r="AO141" s="15" t="s">
        <v>2089</v>
      </c>
      <c r="AQ141" s="28" t="s">
        <v>1316</v>
      </c>
      <c r="AT141" s="15" t="s">
        <v>2090</v>
      </c>
      <c r="AU141" s="17" t="s">
        <v>2091</v>
      </c>
      <c r="AV141" s="17" t="s">
        <v>2091</v>
      </c>
      <c r="AW141" s="15" t="s">
        <v>2092</v>
      </c>
      <c r="AX141" s="15" t="s">
        <v>2093</v>
      </c>
      <c r="AY141" s="15">
        <f t="shared" si="4"/>
        <v>50</v>
      </c>
      <c r="AZ141" s="17" t="s">
        <v>1321</v>
      </c>
      <c r="BA141" s="17" t="s">
        <v>1322</v>
      </c>
      <c r="BE141" s="17" t="s">
        <v>2033</v>
      </c>
      <c r="BJ141" s="17" t="s">
        <v>2094</v>
      </c>
      <c r="BN141" s="17" t="s">
        <v>511</v>
      </c>
      <c r="BP141" s="17" t="s">
        <v>140</v>
      </c>
      <c r="BS141" s="15" t="s">
        <v>2095</v>
      </c>
      <c r="DH141" s="15" t="s">
        <v>4597</v>
      </c>
      <c r="DI141" s="15" t="s">
        <v>4597</v>
      </c>
    </row>
    <row r="142" spans="1:113" s="15" customFormat="1" ht="12.75" x14ac:dyDescent="0.2">
      <c r="A142" s="15" t="s">
        <v>109</v>
      </c>
      <c r="B142" s="16" t="s">
        <v>493</v>
      </c>
      <c r="C142" s="15" t="s">
        <v>494</v>
      </c>
      <c r="D142" s="15" t="s">
        <v>1483</v>
      </c>
      <c r="E142" s="15" t="s">
        <v>113</v>
      </c>
      <c r="F142" s="15" t="s">
        <v>1483</v>
      </c>
      <c r="G142" s="15" t="s">
        <v>114</v>
      </c>
      <c r="H142" s="15" t="s">
        <v>1111</v>
      </c>
      <c r="J142" s="18" t="s">
        <v>115</v>
      </c>
      <c r="W142" s="15">
        <v>166</v>
      </c>
      <c r="X142" s="15">
        <v>141</v>
      </c>
      <c r="Y142" s="15" t="s">
        <v>495</v>
      </c>
      <c r="Z142" s="15" t="s">
        <v>496</v>
      </c>
      <c r="AA142" s="27" t="s">
        <v>495</v>
      </c>
      <c r="AB142" s="15" t="s">
        <v>2096</v>
      </c>
      <c r="AC142" s="15" t="s">
        <v>2096</v>
      </c>
      <c r="AD142" s="15" t="s">
        <v>2097</v>
      </c>
      <c r="AE142" s="15" t="s">
        <v>496</v>
      </c>
      <c r="AF142" s="15" t="s">
        <v>2097</v>
      </c>
      <c r="AG142" s="15" t="s">
        <v>2096</v>
      </c>
      <c r="AH142" s="15" t="s">
        <v>2098</v>
      </c>
      <c r="AL142" s="15" t="s">
        <v>2099</v>
      </c>
      <c r="AN142" s="15">
        <v>81</v>
      </c>
      <c r="AO142" s="15" t="s">
        <v>2100</v>
      </c>
      <c r="AQ142" s="28" t="s">
        <v>1316</v>
      </c>
      <c r="AT142" s="15" t="s">
        <v>2101</v>
      </c>
      <c r="AU142" s="17" t="s">
        <v>2102</v>
      </c>
      <c r="AV142" s="17" t="s">
        <v>2102</v>
      </c>
      <c r="AW142" s="15" t="s">
        <v>2103</v>
      </c>
      <c r="AX142" s="15" t="s">
        <v>2104</v>
      </c>
      <c r="AY142" s="15">
        <f t="shared" si="4"/>
        <v>45</v>
      </c>
      <c r="AZ142" s="17" t="s">
        <v>1321</v>
      </c>
      <c r="BA142" s="17" t="s">
        <v>1322</v>
      </c>
      <c r="BE142" s="17" t="s">
        <v>2012</v>
      </c>
      <c r="BJ142" s="17" t="s">
        <v>2105</v>
      </c>
      <c r="BN142" s="17" t="s">
        <v>511</v>
      </c>
      <c r="BP142" s="17" t="s">
        <v>140</v>
      </c>
      <c r="BS142" s="15" t="s">
        <v>2106</v>
      </c>
      <c r="DH142" s="15" t="s">
        <v>4597</v>
      </c>
      <c r="DI142" s="15" t="s">
        <v>4597</v>
      </c>
    </row>
    <row r="143" spans="1:113" s="15" customFormat="1" ht="12.75" x14ac:dyDescent="0.2">
      <c r="A143" s="15" t="s">
        <v>109</v>
      </c>
      <c r="B143" s="16" t="s">
        <v>493</v>
      </c>
      <c r="C143" s="15" t="s">
        <v>494</v>
      </c>
      <c r="D143" s="15" t="s">
        <v>1483</v>
      </c>
      <c r="E143" s="15" t="s">
        <v>113</v>
      </c>
      <c r="F143" s="15" t="s">
        <v>1483</v>
      </c>
      <c r="G143" s="15" t="s">
        <v>114</v>
      </c>
      <c r="H143" s="15" t="s">
        <v>1111</v>
      </c>
      <c r="J143" s="18" t="s">
        <v>115</v>
      </c>
      <c r="W143" s="15">
        <v>167</v>
      </c>
      <c r="X143" s="15">
        <v>142</v>
      </c>
      <c r="Y143" s="15" t="s">
        <v>495</v>
      </c>
      <c r="Z143" s="15" t="s">
        <v>496</v>
      </c>
      <c r="AA143" s="27" t="s">
        <v>495</v>
      </c>
      <c r="AB143" s="15" t="s">
        <v>2107</v>
      </c>
      <c r="AC143" s="15" t="s">
        <v>2107</v>
      </c>
      <c r="AD143" s="15" t="s">
        <v>2107</v>
      </c>
      <c r="AE143" s="15" t="s">
        <v>496</v>
      </c>
      <c r="AF143" s="15" t="s">
        <v>2107</v>
      </c>
      <c r="AG143" s="15" t="s">
        <v>2107</v>
      </c>
      <c r="AH143" s="15" t="s">
        <v>2108</v>
      </c>
      <c r="AL143" s="15" t="s">
        <v>2109</v>
      </c>
      <c r="AN143" s="15">
        <v>81</v>
      </c>
      <c r="AO143" s="15" t="s">
        <v>2110</v>
      </c>
      <c r="AQ143" s="28" t="s">
        <v>1254</v>
      </c>
      <c r="AT143" s="15" t="s">
        <v>2111</v>
      </c>
      <c r="AU143" s="17" t="s">
        <v>2112</v>
      </c>
      <c r="AV143" s="17" t="s">
        <v>2112</v>
      </c>
      <c r="AW143" s="15" t="s">
        <v>2113</v>
      </c>
      <c r="AX143" s="15" t="s">
        <v>2114</v>
      </c>
      <c r="AY143" s="15">
        <f t="shared" si="4"/>
        <v>41</v>
      </c>
      <c r="AZ143" s="17" t="s">
        <v>253</v>
      </c>
      <c r="BA143" s="17" t="s">
        <v>2115</v>
      </c>
      <c r="BE143" s="17" t="s">
        <v>821</v>
      </c>
      <c r="BJ143" s="17" t="s">
        <v>2116</v>
      </c>
      <c r="BS143" s="15" t="s">
        <v>855</v>
      </c>
      <c r="DH143" s="15" t="s">
        <v>4597</v>
      </c>
      <c r="DI143" s="15" t="s">
        <v>4597</v>
      </c>
    </row>
    <row r="144" spans="1:113" s="15" customFormat="1" ht="12.75" x14ac:dyDescent="0.2">
      <c r="A144" s="15" t="s">
        <v>109</v>
      </c>
      <c r="B144" s="16" t="s">
        <v>493</v>
      </c>
      <c r="C144" s="15" t="s">
        <v>494</v>
      </c>
      <c r="D144" s="15" t="s">
        <v>1483</v>
      </c>
      <c r="E144" s="15" t="s">
        <v>113</v>
      </c>
      <c r="F144" s="15" t="s">
        <v>1483</v>
      </c>
      <c r="G144" s="15" t="s">
        <v>114</v>
      </c>
      <c r="H144" s="15" t="s">
        <v>1111</v>
      </c>
      <c r="J144" s="18" t="s">
        <v>115</v>
      </c>
      <c r="W144" s="15">
        <v>168</v>
      </c>
      <c r="X144" s="15">
        <v>143</v>
      </c>
      <c r="Y144" s="15" t="s">
        <v>495</v>
      </c>
      <c r="Z144" s="15" t="s">
        <v>496</v>
      </c>
      <c r="AA144" s="27" t="s">
        <v>495</v>
      </c>
      <c r="AB144" s="15" t="s">
        <v>2117</v>
      </c>
      <c r="AC144" s="15" t="s">
        <v>2117</v>
      </c>
      <c r="AD144" s="15" t="s">
        <v>2117</v>
      </c>
      <c r="AE144" s="15" t="s">
        <v>496</v>
      </c>
      <c r="AF144" s="15" t="s">
        <v>2117</v>
      </c>
      <c r="AG144" s="15" t="s">
        <v>2117</v>
      </c>
      <c r="AH144" s="15" t="s">
        <v>2118</v>
      </c>
      <c r="AL144" s="15" t="s">
        <v>2119</v>
      </c>
      <c r="AN144" s="15">
        <v>81</v>
      </c>
      <c r="AO144" s="15" t="s">
        <v>2120</v>
      </c>
      <c r="AQ144" s="28" t="s">
        <v>1254</v>
      </c>
      <c r="AT144" s="15" t="s">
        <v>2121</v>
      </c>
      <c r="AU144" s="17" t="s">
        <v>2122</v>
      </c>
      <c r="AV144" s="17" t="s">
        <v>2122</v>
      </c>
      <c r="AW144" s="15" t="s">
        <v>2123</v>
      </c>
      <c r="AX144" s="15" t="s">
        <v>2124</v>
      </c>
      <c r="AY144" s="15">
        <f t="shared" si="4"/>
        <v>44</v>
      </c>
      <c r="AZ144" s="17" t="s">
        <v>253</v>
      </c>
      <c r="BA144" s="17" t="s">
        <v>2115</v>
      </c>
      <c r="BE144" s="17" t="s">
        <v>821</v>
      </c>
      <c r="BJ144" s="17" t="s">
        <v>2125</v>
      </c>
      <c r="BS144" s="15" t="s">
        <v>855</v>
      </c>
      <c r="DH144" s="15" t="s">
        <v>4597</v>
      </c>
      <c r="DI144" s="15" t="s">
        <v>4597</v>
      </c>
    </row>
    <row r="145" spans="1:113" s="15" customFormat="1" ht="12.75" x14ac:dyDescent="0.2">
      <c r="A145" s="15" t="s">
        <v>109</v>
      </c>
      <c r="B145" s="16" t="s">
        <v>493</v>
      </c>
      <c r="C145" s="15" t="s">
        <v>494</v>
      </c>
      <c r="D145" s="15" t="s">
        <v>1483</v>
      </c>
      <c r="E145" s="15" t="s">
        <v>1212</v>
      </c>
      <c r="F145" s="15" t="s">
        <v>1483</v>
      </c>
      <c r="G145" s="15" t="s">
        <v>114</v>
      </c>
      <c r="H145" s="15" t="s">
        <v>1111</v>
      </c>
      <c r="J145" s="18" t="s">
        <v>115</v>
      </c>
      <c r="W145" s="15">
        <v>169</v>
      </c>
      <c r="X145" s="15">
        <v>144</v>
      </c>
      <c r="Y145" s="15" t="s">
        <v>495</v>
      </c>
      <c r="Z145" s="15" t="s">
        <v>496</v>
      </c>
      <c r="AA145" s="27" t="s">
        <v>495</v>
      </c>
      <c r="AB145" s="15" t="s">
        <v>2126</v>
      </c>
      <c r="AC145" s="15" t="s">
        <v>2126</v>
      </c>
      <c r="AD145" s="15" t="s">
        <v>2126</v>
      </c>
      <c r="AE145" s="15" t="s">
        <v>496</v>
      </c>
      <c r="AF145" s="15" t="s">
        <v>2126</v>
      </c>
      <c r="AG145" s="15" t="s">
        <v>2126</v>
      </c>
      <c r="AH145" s="15" t="s">
        <v>2127</v>
      </c>
      <c r="AL145" s="15" t="s">
        <v>2128</v>
      </c>
      <c r="AN145" s="15">
        <v>81</v>
      </c>
      <c r="AO145" s="15" t="s">
        <v>2129</v>
      </c>
      <c r="AQ145" s="28" t="s">
        <v>1254</v>
      </c>
      <c r="AT145" s="15" t="s">
        <v>2130</v>
      </c>
      <c r="AU145" s="17" t="s">
        <v>2131</v>
      </c>
      <c r="AV145" s="17" t="s">
        <v>2131</v>
      </c>
      <c r="AW145" s="15" t="s">
        <v>2132</v>
      </c>
      <c r="AX145" s="15" t="s">
        <v>2133</v>
      </c>
      <c r="AY145" s="15">
        <f t="shared" si="4"/>
        <v>51</v>
      </c>
      <c r="AZ145" s="17" t="s">
        <v>253</v>
      </c>
      <c r="BA145" s="17" t="s">
        <v>1259</v>
      </c>
      <c r="BE145" s="17" t="s">
        <v>2134</v>
      </c>
      <c r="BJ145" s="17" t="s">
        <v>2135</v>
      </c>
      <c r="BO145" s="17" t="s">
        <v>1433</v>
      </c>
      <c r="BS145" s="15" t="s">
        <v>347</v>
      </c>
      <c r="DH145" s="15" t="s">
        <v>4597</v>
      </c>
      <c r="DI145" s="15" t="s">
        <v>4597</v>
      </c>
    </row>
    <row r="146" spans="1:113" s="15" customFormat="1" ht="12.75" x14ac:dyDescent="0.2">
      <c r="A146" s="15" t="s">
        <v>109</v>
      </c>
      <c r="B146" s="16" t="s">
        <v>493</v>
      </c>
      <c r="C146" s="15" t="s">
        <v>494</v>
      </c>
      <c r="D146" s="15" t="s">
        <v>1483</v>
      </c>
      <c r="E146" s="15" t="s">
        <v>113</v>
      </c>
      <c r="F146" s="15" t="s">
        <v>1483</v>
      </c>
      <c r="G146" s="15" t="s">
        <v>114</v>
      </c>
      <c r="H146" s="15" t="s">
        <v>1111</v>
      </c>
      <c r="J146" s="18" t="s">
        <v>115</v>
      </c>
      <c r="W146" s="15">
        <v>170</v>
      </c>
      <c r="X146" s="15">
        <v>145</v>
      </c>
      <c r="Y146" s="15" t="s">
        <v>495</v>
      </c>
      <c r="Z146" s="15" t="s">
        <v>496</v>
      </c>
      <c r="AA146" s="27" t="s">
        <v>495</v>
      </c>
      <c r="AB146" s="15" t="s">
        <v>2136</v>
      </c>
      <c r="AC146" s="15" t="s">
        <v>2136</v>
      </c>
      <c r="AD146" s="15" t="s">
        <v>2136</v>
      </c>
      <c r="AE146" s="15" t="s">
        <v>496</v>
      </c>
      <c r="AF146" s="15" t="s">
        <v>2136</v>
      </c>
      <c r="AG146" s="15" t="s">
        <v>2136</v>
      </c>
      <c r="AH146" s="15" t="s">
        <v>2137</v>
      </c>
      <c r="AI146" s="15">
        <v>42295415</v>
      </c>
      <c r="AK146" s="15" t="s">
        <v>2138</v>
      </c>
      <c r="AL146" s="15" t="s">
        <v>2139</v>
      </c>
      <c r="AN146" s="15">
        <v>81</v>
      </c>
      <c r="AO146" s="15" t="s">
        <v>2140</v>
      </c>
      <c r="AQ146" s="28" t="s">
        <v>503</v>
      </c>
      <c r="AT146" s="15" t="s">
        <v>2141</v>
      </c>
      <c r="AU146" s="17" t="s">
        <v>2142</v>
      </c>
      <c r="AV146" s="17" t="s">
        <v>2142</v>
      </c>
      <c r="AW146" s="15" t="s">
        <v>2143</v>
      </c>
      <c r="AX146" s="15" t="s">
        <v>2144</v>
      </c>
      <c r="AY146" s="15">
        <f t="shared" si="4"/>
        <v>60</v>
      </c>
      <c r="AZ146" s="17" t="s">
        <v>785</v>
      </c>
      <c r="BA146" s="17" t="s">
        <v>507</v>
      </c>
      <c r="BB146" s="17" t="s">
        <v>2145</v>
      </c>
      <c r="BE146" s="17" t="s">
        <v>2146</v>
      </c>
      <c r="BJ146" s="17" t="s">
        <v>2147</v>
      </c>
      <c r="BN146" s="17" t="s">
        <v>511</v>
      </c>
      <c r="BP146" s="17" t="s">
        <v>140</v>
      </c>
      <c r="BQ146" s="17" t="s">
        <v>258</v>
      </c>
      <c r="BS146" s="15" t="s">
        <v>2148</v>
      </c>
      <c r="DH146" s="15" t="s">
        <v>4597</v>
      </c>
      <c r="DI146" s="15" t="s">
        <v>4597</v>
      </c>
    </row>
    <row r="147" spans="1:113" s="15" customFormat="1" ht="12.75" x14ac:dyDescent="0.2">
      <c r="A147" s="15" t="s">
        <v>109</v>
      </c>
      <c r="B147" s="16" t="s">
        <v>493</v>
      </c>
      <c r="C147" s="15" t="s">
        <v>494</v>
      </c>
      <c r="D147" s="15" t="s">
        <v>1483</v>
      </c>
      <c r="E147" s="15" t="s">
        <v>113</v>
      </c>
      <c r="F147" s="15" t="s">
        <v>1483</v>
      </c>
      <c r="G147" s="15" t="s">
        <v>114</v>
      </c>
      <c r="H147" s="15" t="s">
        <v>1111</v>
      </c>
      <c r="J147" s="18" t="s">
        <v>115</v>
      </c>
      <c r="W147" s="15">
        <v>171</v>
      </c>
      <c r="X147" s="15">
        <v>146</v>
      </c>
      <c r="Y147" s="15" t="s">
        <v>495</v>
      </c>
      <c r="Z147" s="15" t="s">
        <v>496</v>
      </c>
      <c r="AA147" s="27" t="s">
        <v>495</v>
      </c>
      <c r="AB147" s="15" t="s">
        <v>2149</v>
      </c>
      <c r="AC147" s="15" t="s">
        <v>2149</v>
      </c>
      <c r="AD147" s="15" t="s">
        <v>2149</v>
      </c>
      <c r="AE147" s="15" t="s">
        <v>496</v>
      </c>
      <c r="AF147" s="15" t="s">
        <v>2149</v>
      </c>
      <c r="AG147" s="15" t="s">
        <v>2149</v>
      </c>
      <c r="AH147" s="15" t="s">
        <v>2150</v>
      </c>
      <c r="AL147" s="15" t="s">
        <v>2151</v>
      </c>
      <c r="AN147" s="15">
        <v>81</v>
      </c>
      <c r="AO147" s="15" t="s">
        <v>2152</v>
      </c>
      <c r="AQ147" s="28" t="s">
        <v>503</v>
      </c>
      <c r="AT147" s="15" t="s">
        <v>2141</v>
      </c>
      <c r="AU147" s="17" t="s">
        <v>2153</v>
      </c>
      <c r="AV147" s="17" t="s">
        <v>2153</v>
      </c>
      <c r="AW147" s="15" t="s">
        <v>2154</v>
      </c>
      <c r="AX147" s="15" t="s">
        <v>2155</v>
      </c>
      <c r="AY147" s="15">
        <f t="shared" si="4"/>
        <v>60</v>
      </c>
      <c r="AZ147" s="17" t="s">
        <v>785</v>
      </c>
      <c r="BA147" s="17" t="s">
        <v>507</v>
      </c>
      <c r="BB147" s="17" t="s">
        <v>2145</v>
      </c>
      <c r="BE147" s="17" t="s">
        <v>2156</v>
      </c>
      <c r="BJ147" s="17" t="s">
        <v>2147</v>
      </c>
      <c r="BN147" s="17" t="s">
        <v>511</v>
      </c>
      <c r="BP147" s="17" t="s">
        <v>140</v>
      </c>
      <c r="BQ147" s="17" t="s">
        <v>258</v>
      </c>
      <c r="BS147" s="15" t="s">
        <v>2157</v>
      </c>
      <c r="DH147" s="15" t="s">
        <v>4597</v>
      </c>
      <c r="DI147" s="15" t="s">
        <v>4597</v>
      </c>
    </row>
    <row r="148" spans="1:113" s="15" customFormat="1" ht="12.75" x14ac:dyDescent="0.2">
      <c r="A148" s="15" t="s">
        <v>109</v>
      </c>
      <c r="B148" s="16" t="s">
        <v>493</v>
      </c>
      <c r="C148" s="15" t="s">
        <v>494</v>
      </c>
      <c r="D148" s="15" t="s">
        <v>1483</v>
      </c>
      <c r="E148" s="15" t="s">
        <v>113</v>
      </c>
      <c r="F148" s="15" t="s">
        <v>1483</v>
      </c>
      <c r="G148" s="15" t="s">
        <v>2158</v>
      </c>
      <c r="H148" s="15" t="s">
        <v>1111</v>
      </c>
      <c r="J148" s="18" t="s">
        <v>115</v>
      </c>
      <c r="W148" s="15">
        <v>172</v>
      </c>
      <c r="X148" s="15">
        <v>147</v>
      </c>
      <c r="Y148" s="15" t="s">
        <v>495</v>
      </c>
      <c r="Z148" s="15" t="s">
        <v>496</v>
      </c>
      <c r="AA148" s="27" t="s">
        <v>495</v>
      </c>
      <c r="AB148" s="15" t="s">
        <v>2159</v>
      </c>
      <c r="AC148" s="15" t="s">
        <v>2159</v>
      </c>
      <c r="AD148" s="15" t="s">
        <v>2159</v>
      </c>
      <c r="AE148" s="15" t="s">
        <v>496</v>
      </c>
      <c r="AF148" s="15" t="s">
        <v>2159</v>
      </c>
      <c r="AG148" s="15" t="s">
        <v>2159</v>
      </c>
      <c r="AH148" s="15" t="s">
        <v>2160</v>
      </c>
      <c r="AL148" s="15" t="s">
        <v>2161</v>
      </c>
      <c r="AN148" s="15">
        <v>81</v>
      </c>
      <c r="AO148" s="15" t="s">
        <v>2162</v>
      </c>
      <c r="AQ148" s="28" t="s">
        <v>1254</v>
      </c>
      <c r="AT148" s="15" t="s">
        <v>2163</v>
      </c>
      <c r="AU148" s="17" t="s">
        <v>2164</v>
      </c>
      <c r="AV148" s="17" t="s">
        <v>2164</v>
      </c>
      <c r="AW148" s="15" t="s">
        <v>2165</v>
      </c>
      <c r="AX148" s="15" t="s">
        <v>2166</v>
      </c>
      <c r="AY148" s="15">
        <f t="shared" si="4"/>
        <v>36</v>
      </c>
      <c r="AZ148" s="17" t="s">
        <v>253</v>
      </c>
      <c r="BA148" s="17" t="s">
        <v>1259</v>
      </c>
      <c r="BE148" s="17" t="s">
        <v>810</v>
      </c>
      <c r="BJ148" s="17" t="s">
        <v>2167</v>
      </c>
      <c r="BR148" s="17" t="s">
        <v>2168</v>
      </c>
      <c r="BS148" s="15" t="s">
        <v>1276</v>
      </c>
      <c r="DH148" s="15" t="s">
        <v>4597</v>
      </c>
      <c r="DI148" s="15" t="s">
        <v>4597</v>
      </c>
    </row>
    <row r="149" spans="1:113" s="15" customFormat="1" ht="12.75" x14ac:dyDescent="0.2">
      <c r="A149" s="15" t="s">
        <v>109</v>
      </c>
      <c r="B149" s="16" t="s">
        <v>493</v>
      </c>
      <c r="C149" s="15" t="s">
        <v>494</v>
      </c>
      <c r="D149" s="15" t="s">
        <v>1483</v>
      </c>
      <c r="E149" s="15" t="s">
        <v>113</v>
      </c>
      <c r="F149" s="15" t="s">
        <v>1483</v>
      </c>
      <c r="G149" s="15" t="s">
        <v>114</v>
      </c>
      <c r="H149" s="15" t="s">
        <v>1111</v>
      </c>
      <c r="J149" s="18" t="s">
        <v>115</v>
      </c>
      <c r="W149" s="15">
        <v>173</v>
      </c>
      <c r="X149" s="15">
        <v>148</v>
      </c>
      <c r="Y149" s="15" t="s">
        <v>495</v>
      </c>
      <c r="Z149" s="15" t="s">
        <v>496</v>
      </c>
      <c r="AA149" s="27" t="s">
        <v>495</v>
      </c>
      <c r="AB149" s="15" t="s">
        <v>2169</v>
      </c>
      <c r="AC149" s="15" t="s">
        <v>2169</v>
      </c>
      <c r="AD149" s="15" t="s">
        <v>2169</v>
      </c>
      <c r="AE149" s="15" t="s">
        <v>496</v>
      </c>
      <c r="AF149" s="15" t="s">
        <v>2169</v>
      </c>
      <c r="AG149" s="15" t="s">
        <v>2169</v>
      </c>
      <c r="AH149" s="15" t="s">
        <v>2170</v>
      </c>
      <c r="AL149" s="15" t="s">
        <v>2171</v>
      </c>
      <c r="AN149" s="15">
        <v>81</v>
      </c>
      <c r="AO149" s="15" t="s">
        <v>2172</v>
      </c>
      <c r="AQ149" s="28" t="s">
        <v>503</v>
      </c>
      <c r="AT149" s="15" t="s">
        <v>2173</v>
      </c>
      <c r="AU149" s="17" t="s">
        <v>2174</v>
      </c>
      <c r="AV149" s="17" t="s">
        <v>2174</v>
      </c>
      <c r="AW149" s="15" t="s">
        <v>2175</v>
      </c>
      <c r="AX149" s="15" t="s">
        <v>2176</v>
      </c>
      <c r="AY149" s="15">
        <f t="shared" si="4"/>
        <v>34</v>
      </c>
      <c r="AZ149" s="17" t="s">
        <v>785</v>
      </c>
      <c r="BA149" s="17" t="s">
        <v>507</v>
      </c>
      <c r="BB149" s="17" t="s">
        <v>2177</v>
      </c>
      <c r="BE149" s="17" t="s">
        <v>2178</v>
      </c>
      <c r="BJ149" s="17" t="s">
        <v>253</v>
      </c>
      <c r="BN149" s="17" t="s">
        <v>511</v>
      </c>
      <c r="BS149" s="15" t="s">
        <v>855</v>
      </c>
      <c r="DH149" s="15" t="s">
        <v>4597</v>
      </c>
      <c r="DI149" s="15" t="s">
        <v>4597</v>
      </c>
    </row>
    <row r="150" spans="1:113" s="15" customFormat="1" ht="12.75" x14ac:dyDescent="0.2">
      <c r="A150" s="15" t="s">
        <v>109</v>
      </c>
      <c r="B150" s="16" t="s">
        <v>493</v>
      </c>
      <c r="C150" s="15" t="s">
        <v>494</v>
      </c>
      <c r="D150" s="15" t="s">
        <v>2179</v>
      </c>
      <c r="E150" s="15" t="s">
        <v>113</v>
      </c>
      <c r="F150" s="15" t="s">
        <v>2179</v>
      </c>
      <c r="G150" s="15" t="s">
        <v>2180</v>
      </c>
      <c r="H150" s="15" t="s">
        <v>1111</v>
      </c>
      <c r="J150" s="18" t="s">
        <v>115</v>
      </c>
      <c r="W150" s="15">
        <v>174</v>
      </c>
      <c r="X150" s="15">
        <v>149</v>
      </c>
      <c r="Y150" s="15" t="s">
        <v>495</v>
      </c>
      <c r="Z150" s="15" t="s">
        <v>496</v>
      </c>
      <c r="AA150" s="27" t="s">
        <v>495</v>
      </c>
      <c r="AB150" s="15" t="s">
        <v>2181</v>
      </c>
      <c r="AC150" s="15" t="s">
        <v>2181</v>
      </c>
      <c r="AD150" s="15" t="s">
        <v>2181</v>
      </c>
      <c r="AE150" s="15" t="s">
        <v>496</v>
      </c>
      <c r="AF150" s="15" t="s">
        <v>2181</v>
      </c>
      <c r="AG150" s="15" t="s">
        <v>2181</v>
      </c>
      <c r="AH150" s="15" t="s">
        <v>2182</v>
      </c>
      <c r="AL150" s="15" t="s">
        <v>2183</v>
      </c>
      <c r="AN150" s="15">
        <v>81</v>
      </c>
      <c r="AO150" s="15" t="s">
        <v>2184</v>
      </c>
      <c r="AQ150" s="15" t="s">
        <v>2185</v>
      </c>
      <c r="AT150" s="17" t="s">
        <v>2186</v>
      </c>
      <c r="AU150" s="15" t="s">
        <v>2187</v>
      </c>
      <c r="AV150" s="15" t="s">
        <v>2187</v>
      </c>
      <c r="AW150" s="17" t="s">
        <v>2188</v>
      </c>
      <c r="AX150" s="17" t="s">
        <v>2189</v>
      </c>
      <c r="AY150" s="15">
        <f t="shared" si="4"/>
        <v>53</v>
      </c>
      <c r="AZ150" s="17" t="s">
        <v>2190</v>
      </c>
      <c r="BA150" s="17"/>
      <c r="BB150" s="17"/>
      <c r="BC150" s="17"/>
      <c r="BD150" s="17"/>
      <c r="BE150" s="17"/>
      <c r="BF150" s="17"/>
      <c r="BG150" s="17"/>
      <c r="BH150" s="17"/>
      <c r="BI150" s="17"/>
      <c r="BJ150" s="17" t="s">
        <v>2191</v>
      </c>
      <c r="BK150" s="17"/>
      <c r="BL150" s="17"/>
      <c r="BM150" s="17"/>
      <c r="BN150" s="17" t="s">
        <v>511</v>
      </c>
      <c r="BO150" s="17"/>
      <c r="BP150" s="17" t="s">
        <v>2192</v>
      </c>
      <c r="BQ150" s="17"/>
      <c r="BR150" s="17"/>
      <c r="BS150" s="15" t="s">
        <v>2193</v>
      </c>
      <c r="DH150" s="15" t="s">
        <v>4597</v>
      </c>
      <c r="DI150" s="15" t="s">
        <v>4597</v>
      </c>
    </row>
    <row r="151" spans="1:113" s="15" customFormat="1" ht="12.75" x14ac:dyDescent="0.2">
      <c r="A151" s="15" t="s">
        <v>109</v>
      </c>
      <c r="B151" s="16" t="s">
        <v>493</v>
      </c>
      <c r="C151" s="15" t="s">
        <v>494</v>
      </c>
      <c r="D151" s="15" t="s">
        <v>2179</v>
      </c>
      <c r="E151" s="15" t="s">
        <v>113</v>
      </c>
      <c r="F151" s="15" t="s">
        <v>2179</v>
      </c>
      <c r="G151" s="15" t="s">
        <v>2180</v>
      </c>
      <c r="H151" s="15" t="s">
        <v>1111</v>
      </c>
      <c r="J151" s="18" t="s">
        <v>115</v>
      </c>
      <c r="W151" s="15">
        <v>175</v>
      </c>
      <c r="X151" s="15">
        <v>150</v>
      </c>
      <c r="Y151" s="15" t="s">
        <v>495</v>
      </c>
      <c r="Z151" s="15" t="s">
        <v>496</v>
      </c>
      <c r="AA151" s="27" t="s">
        <v>495</v>
      </c>
      <c r="AB151" s="15" t="s">
        <v>2194</v>
      </c>
      <c r="AC151" s="15" t="s">
        <v>2194</v>
      </c>
      <c r="AD151" s="15" t="s">
        <v>2195</v>
      </c>
      <c r="AE151" s="15" t="s">
        <v>496</v>
      </c>
      <c r="AF151" s="15" t="s">
        <v>2195</v>
      </c>
      <c r="AG151" s="15" t="s">
        <v>2194</v>
      </c>
      <c r="AH151" s="15" t="s">
        <v>2196</v>
      </c>
      <c r="AL151" s="15" t="s">
        <v>2197</v>
      </c>
      <c r="AN151" s="15">
        <v>81</v>
      </c>
      <c r="AO151" s="15" t="s">
        <v>2198</v>
      </c>
      <c r="AQ151" s="15" t="s">
        <v>2185</v>
      </c>
      <c r="AT151" s="17" t="s">
        <v>2199</v>
      </c>
      <c r="AU151" s="15" t="s">
        <v>2200</v>
      </c>
      <c r="AV151" s="15" t="s">
        <v>2200</v>
      </c>
      <c r="AW151" s="17" t="s">
        <v>2201</v>
      </c>
      <c r="AX151" s="17" t="s">
        <v>2202</v>
      </c>
      <c r="AY151" s="15">
        <f t="shared" si="4"/>
        <v>59</v>
      </c>
      <c r="AZ151" s="17" t="s">
        <v>2190</v>
      </c>
      <c r="BA151" s="17"/>
      <c r="BB151" s="17"/>
      <c r="BC151" s="17"/>
      <c r="BD151" s="17"/>
      <c r="BE151" s="17"/>
      <c r="BF151" s="17"/>
      <c r="BG151" s="17"/>
      <c r="BH151" s="17"/>
      <c r="BI151" s="17"/>
      <c r="BJ151" s="17" t="s">
        <v>2203</v>
      </c>
      <c r="BK151" s="17"/>
      <c r="BL151" s="17"/>
      <c r="BM151" s="17"/>
      <c r="BN151" s="17" t="s">
        <v>511</v>
      </c>
      <c r="BO151" s="17"/>
      <c r="BP151" s="17" t="s">
        <v>2192</v>
      </c>
      <c r="BQ151" s="17"/>
      <c r="BR151" s="17"/>
      <c r="BS151" s="15" t="s">
        <v>2204</v>
      </c>
      <c r="DH151" s="15" t="s">
        <v>4597</v>
      </c>
      <c r="DI151" s="15" t="s">
        <v>4597</v>
      </c>
    </row>
    <row r="152" spans="1:113" s="15" customFormat="1" ht="12.75" x14ac:dyDescent="0.2">
      <c r="A152" s="15" t="s">
        <v>109</v>
      </c>
      <c r="B152" s="16" t="s">
        <v>493</v>
      </c>
      <c r="C152" s="15" t="s">
        <v>494</v>
      </c>
      <c r="D152" s="15" t="s">
        <v>2179</v>
      </c>
      <c r="E152" s="15" t="s">
        <v>1212</v>
      </c>
      <c r="F152" s="15" t="s">
        <v>2179</v>
      </c>
      <c r="G152" s="15" t="s">
        <v>2180</v>
      </c>
      <c r="H152" s="15" t="s">
        <v>1111</v>
      </c>
      <c r="J152" s="18" t="s">
        <v>115</v>
      </c>
      <c r="W152" s="15">
        <v>176</v>
      </c>
      <c r="X152" s="15">
        <v>151</v>
      </c>
      <c r="Y152" s="15" t="s">
        <v>495</v>
      </c>
      <c r="Z152" s="15" t="s">
        <v>496</v>
      </c>
      <c r="AA152" s="27" t="s">
        <v>495</v>
      </c>
      <c r="AB152" s="15" t="s">
        <v>2205</v>
      </c>
      <c r="AC152" s="15" t="s">
        <v>2205</v>
      </c>
      <c r="AD152" s="15" t="s">
        <v>2205</v>
      </c>
      <c r="AE152" s="15" t="s">
        <v>496</v>
      </c>
      <c r="AF152" s="15" t="s">
        <v>2205</v>
      </c>
      <c r="AG152" s="15" t="s">
        <v>2205</v>
      </c>
      <c r="AH152" s="15" t="s">
        <v>2206</v>
      </c>
      <c r="AL152" s="15" t="s">
        <v>2207</v>
      </c>
      <c r="AN152" s="15">
        <v>81</v>
      </c>
      <c r="AO152" s="15" t="s">
        <v>2208</v>
      </c>
      <c r="AQ152" s="15" t="s">
        <v>2185</v>
      </c>
      <c r="AT152" s="17" t="s">
        <v>2209</v>
      </c>
      <c r="AU152" s="15" t="s">
        <v>2210</v>
      </c>
      <c r="AV152" s="15" t="s">
        <v>2210</v>
      </c>
      <c r="AW152" s="17" t="s">
        <v>2211</v>
      </c>
      <c r="AX152" s="17" t="s">
        <v>2211</v>
      </c>
      <c r="AY152" s="15">
        <f t="shared" si="4"/>
        <v>53</v>
      </c>
      <c r="AZ152" s="17" t="s">
        <v>2190</v>
      </c>
      <c r="BA152" s="17"/>
      <c r="BB152" s="17"/>
      <c r="BC152" s="17"/>
      <c r="BD152" s="17"/>
      <c r="BE152" s="17"/>
      <c r="BF152" s="17"/>
      <c r="BG152" s="17"/>
      <c r="BH152" s="17"/>
      <c r="BI152" s="17"/>
      <c r="BJ152" s="17" t="s">
        <v>2212</v>
      </c>
      <c r="BK152" s="17"/>
      <c r="BL152" s="17"/>
      <c r="BM152" s="17"/>
      <c r="BN152" s="17"/>
      <c r="BO152" s="17"/>
      <c r="BP152" s="17"/>
      <c r="BQ152" s="17"/>
      <c r="BR152" s="17"/>
      <c r="BS152" s="15" t="s">
        <v>2213</v>
      </c>
      <c r="DH152" s="15" t="s">
        <v>4597</v>
      </c>
      <c r="DI152" s="15" t="s">
        <v>4597</v>
      </c>
    </row>
    <row r="153" spans="1:113" s="15" customFormat="1" ht="12.75" x14ac:dyDescent="0.2">
      <c r="A153" s="15" t="s">
        <v>109</v>
      </c>
      <c r="B153" s="16" t="s">
        <v>493</v>
      </c>
      <c r="C153" s="15" t="s">
        <v>494</v>
      </c>
      <c r="D153" s="15" t="s">
        <v>2179</v>
      </c>
      <c r="E153" s="15" t="s">
        <v>1212</v>
      </c>
      <c r="F153" s="15" t="s">
        <v>2179</v>
      </c>
      <c r="G153" s="15" t="s">
        <v>2180</v>
      </c>
      <c r="H153" s="15" t="s">
        <v>1111</v>
      </c>
      <c r="J153" s="18" t="s">
        <v>115</v>
      </c>
      <c r="W153" s="15">
        <v>177</v>
      </c>
      <c r="X153" s="15">
        <v>152</v>
      </c>
      <c r="Y153" s="15" t="s">
        <v>495</v>
      </c>
      <c r="Z153" s="15" t="s">
        <v>496</v>
      </c>
      <c r="AA153" s="27" t="s">
        <v>495</v>
      </c>
      <c r="AB153" s="15" t="s">
        <v>2214</v>
      </c>
      <c r="AC153" s="15" t="s">
        <v>2214</v>
      </c>
      <c r="AD153" s="15" t="s">
        <v>2215</v>
      </c>
      <c r="AE153" s="15" t="s">
        <v>496</v>
      </c>
      <c r="AF153" s="15" t="s">
        <v>2215</v>
      </c>
      <c r="AG153" s="15" t="s">
        <v>2214</v>
      </c>
      <c r="AH153" s="15" t="s">
        <v>2216</v>
      </c>
      <c r="AL153" s="15" t="s">
        <v>2217</v>
      </c>
      <c r="AN153" s="15">
        <v>81</v>
      </c>
      <c r="AO153" s="15" t="s">
        <v>2218</v>
      </c>
      <c r="AQ153" s="15" t="s">
        <v>2185</v>
      </c>
      <c r="AT153" s="17" t="s">
        <v>2219</v>
      </c>
      <c r="AU153" s="15" t="s">
        <v>2220</v>
      </c>
      <c r="AV153" s="15" t="s">
        <v>2220</v>
      </c>
      <c r="AW153" s="17" t="s">
        <v>2221</v>
      </c>
      <c r="AX153" s="17" t="s">
        <v>2222</v>
      </c>
      <c r="AY153" s="15">
        <f t="shared" si="4"/>
        <v>46</v>
      </c>
      <c r="AZ153" s="17" t="s">
        <v>2190</v>
      </c>
      <c r="BA153" s="17"/>
      <c r="BB153" s="17"/>
      <c r="BC153" s="17"/>
      <c r="BD153" s="17"/>
      <c r="BE153" s="17"/>
      <c r="BF153" s="17"/>
      <c r="BG153" s="17"/>
      <c r="BH153" s="17"/>
      <c r="BI153" s="17"/>
      <c r="BJ153" s="17" t="s">
        <v>2223</v>
      </c>
      <c r="BK153" s="17"/>
      <c r="BL153" s="17"/>
      <c r="BM153" s="17"/>
      <c r="BN153" s="17"/>
      <c r="BO153" s="17"/>
      <c r="BP153" s="17"/>
      <c r="BQ153" s="17"/>
      <c r="BR153" s="17"/>
      <c r="BS153" s="15" t="s">
        <v>2213</v>
      </c>
      <c r="DH153" s="15" t="s">
        <v>4597</v>
      </c>
      <c r="DI153" s="15" t="s">
        <v>4597</v>
      </c>
    </row>
    <row r="154" spans="1:113" s="15" customFormat="1" ht="12.75" x14ac:dyDescent="0.2">
      <c r="A154" s="15" t="s">
        <v>109</v>
      </c>
      <c r="B154" s="16" t="s">
        <v>493</v>
      </c>
      <c r="C154" s="15" t="s">
        <v>494</v>
      </c>
      <c r="D154" s="15" t="s">
        <v>2179</v>
      </c>
      <c r="E154" s="15" t="s">
        <v>1212</v>
      </c>
      <c r="F154" s="15" t="s">
        <v>2179</v>
      </c>
      <c r="G154" s="15" t="s">
        <v>2180</v>
      </c>
      <c r="H154" s="15" t="s">
        <v>1111</v>
      </c>
      <c r="J154" s="18" t="s">
        <v>115</v>
      </c>
      <c r="W154" s="15">
        <v>178</v>
      </c>
      <c r="X154" s="15">
        <v>153</v>
      </c>
      <c r="Y154" s="15" t="s">
        <v>495</v>
      </c>
      <c r="Z154" s="15" t="s">
        <v>496</v>
      </c>
      <c r="AA154" s="27" t="s">
        <v>495</v>
      </c>
      <c r="AB154" s="15" t="s">
        <v>2224</v>
      </c>
      <c r="AC154" s="15" t="s">
        <v>2224</v>
      </c>
      <c r="AD154" s="15" t="s">
        <v>2224</v>
      </c>
      <c r="AE154" s="15" t="s">
        <v>496</v>
      </c>
      <c r="AF154" s="15" t="s">
        <v>2224</v>
      </c>
      <c r="AG154" s="15" t="s">
        <v>2224</v>
      </c>
      <c r="AH154" s="15" t="s">
        <v>2225</v>
      </c>
      <c r="AL154" s="15" t="s">
        <v>2226</v>
      </c>
      <c r="AN154" s="15">
        <v>81</v>
      </c>
      <c r="AO154" s="15" t="s">
        <v>2227</v>
      </c>
      <c r="AQ154" s="15" t="s">
        <v>2185</v>
      </c>
      <c r="AT154" s="17" t="s">
        <v>2228</v>
      </c>
      <c r="AU154" s="15" t="s">
        <v>2229</v>
      </c>
      <c r="AV154" s="15" t="s">
        <v>2229</v>
      </c>
      <c r="AW154" s="17" t="s">
        <v>2230</v>
      </c>
      <c r="AX154" s="17" t="s">
        <v>2230</v>
      </c>
      <c r="AY154" s="15">
        <f t="shared" si="4"/>
        <v>53</v>
      </c>
      <c r="AZ154" s="17" t="s">
        <v>2190</v>
      </c>
      <c r="BA154" s="17"/>
      <c r="BB154" s="17"/>
      <c r="BC154" s="17"/>
      <c r="BD154" s="17"/>
      <c r="BE154" s="17"/>
      <c r="BF154" s="17"/>
      <c r="BG154" s="17"/>
      <c r="BH154" s="17"/>
      <c r="BI154" s="17"/>
      <c r="BJ154" s="17" t="s">
        <v>2231</v>
      </c>
      <c r="BK154" s="17"/>
      <c r="BL154" s="17"/>
      <c r="BM154" s="17"/>
      <c r="BN154" s="17"/>
      <c r="BO154" s="17"/>
      <c r="BP154" s="17"/>
      <c r="BQ154" s="17"/>
      <c r="BR154" s="17"/>
      <c r="BS154" s="15" t="s">
        <v>2213</v>
      </c>
      <c r="DH154" s="15" t="s">
        <v>4597</v>
      </c>
      <c r="DI154" s="15" t="s">
        <v>4597</v>
      </c>
    </row>
    <row r="155" spans="1:113" s="15" customFormat="1" ht="12.75" x14ac:dyDescent="0.2">
      <c r="A155" s="15" t="s">
        <v>109</v>
      </c>
      <c r="B155" s="16" t="s">
        <v>493</v>
      </c>
      <c r="C155" s="15" t="s">
        <v>494</v>
      </c>
      <c r="D155" s="15" t="s">
        <v>2179</v>
      </c>
      <c r="E155" s="15" t="s">
        <v>113</v>
      </c>
      <c r="F155" s="15" t="s">
        <v>2179</v>
      </c>
      <c r="G155" s="15" t="s">
        <v>2180</v>
      </c>
      <c r="H155" s="15" t="s">
        <v>1111</v>
      </c>
      <c r="J155" s="18" t="s">
        <v>115</v>
      </c>
      <c r="W155" s="15">
        <v>179</v>
      </c>
      <c r="X155" s="15">
        <v>154</v>
      </c>
      <c r="Y155" s="15" t="s">
        <v>495</v>
      </c>
      <c r="Z155" s="15" t="s">
        <v>496</v>
      </c>
      <c r="AA155" s="27" t="s">
        <v>495</v>
      </c>
      <c r="AB155" s="15" t="s">
        <v>2232</v>
      </c>
      <c r="AC155" s="15" t="s">
        <v>2232</v>
      </c>
      <c r="AD155" s="15" t="s">
        <v>2232</v>
      </c>
      <c r="AE155" s="15" t="s">
        <v>496</v>
      </c>
      <c r="AF155" s="15" t="s">
        <v>2232</v>
      </c>
      <c r="AG155" s="15" t="s">
        <v>2232</v>
      </c>
      <c r="AH155" s="15" t="s">
        <v>2233</v>
      </c>
      <c r="AL155" s="15" t="s">
        <v>2234</v>
      </c>
      <c r="AN155" s="15">
        <v>81</v>
      </c>
      <c r="AO155" s="15" t="s">
        <v>2235</v>
      </c>
      <c r="AQ155" s="15" t="s">
        <v>2185</v>
      </c>
      <c r="AT155" s="17" t="s">
        <v>2236</v>
      </c>
      <c r="AU155" s="15" t="s">
        <v>2237</v>
      </c>
      <c r="AV155" s="15" t="s">
        <v>2237</v>
      </c>
      <c r="AW155" s="17" t="s">
        <v>2238</v>
      </c>
      <c r="AX155" s="17" t="s">
        <v>2238</v>
      </c>
      <c r="AY155" s="15">
        <f t="shared" si="4"/>
        <v>55</v>
      </c>
      <c r="AZ155" s="17" t="s">
        <v>2190</v>
      </c>
      <c r="BA155" s="17"/>
      <c r="BB155" s="17"/>
      <c r="BC155" s="17"/>
      <c r="BD155" s="17"/>
      <c r="BE155" s="17"/>
      <c r="BF155" s="17"/>
      <c r="BG155" s="17"/>
      <c r="BH155" s="17"/>
      <c r="BI155" s="17"/>
      <c r="BJ155" s="17" t="s">
        <v>2239</v>
      </c>
      <c r="BK155" s="17"/>
      <c r="BL155" s="17"/>
      <c r="BM155" s="17"/>
      <c r="BN155" s="17" t="s">
        <v>511</v>
      </c>
      <c r="BO155" s="17"/>
      <c r="BP155" s="17"/>
      <c r="BQ155" s="17"/>
      <c r="BR155" s="17"/>
      <c r="BS155" s="15" t="s">
        <v>1211</v>
      </c>
      <c r="DH155" s="15" t="s">
        <v>4597</v>
      </c>
      <c r="DI155" s="15" t="s">
        <v>4597</v>
      </c>
    </row>
    <row r="156" spans="1:113" s="15" customFormat="1" ht="12.75" x14ac:dyDescent="0.2">
      <c r="A156" s="15" t="s">
        <v>109</v>
      </c>
      <c r="B156" s="16" t="s">
        <v>493</v>
      </c>
      <c r="C156" s="15" t="s">
        <v>494</v>
      </c>
      <c r="D156" s="15" t="s">
        <v>2179</v>
      </c>
      <c r="E156" s="15" t="s">
        <v>113</v>
      </c>
      <c r="F156" s="15" t="s">
        <v>2179</v>
      </c>
      <c r="G156" s="15" t="s">
        <v>2180</v>
      </c>
      <c r="H156" s="15" t="s">
        <v>1111</v>
      </c>
      <c r="J156" s="18" t="s">
        <v>115</v>
      </c>
      <c r="W156" s="15">
        <v>180</v>
      </c>
      <c r="X156" s="15">
        <v>155</v>
      </c>
      <c r="Y156" s="15" t="s">
        <v>495</v>
      </c>
      <c r="Z156" s="15" t="s">
        <v>496</v>
      </c>
      <c r="AA156" s="27" t="s">
        <v>495</v>
      </c>
      <c r="AB156" s="15" t="s">
        <v>2240</v>
      </c>
      <c r="AC156" s="15" t="s">
        <v>2240</v>
      </c>
      <c r="AD156" s="15" t="s">
        <v>2240</v>
      </c>
      <c r="AE156" s="15" t="s">
        <v>496</v>
      </c>
      <c r="AF156" s="15" t="s">
        <v>2240</v>
      </c>
      <c r="AG156" s="15" t="s">
        <v>2240</v>
      </c>
      <c r="AH156" s="15" t="s">
        <v>2241</v>
      </c>
      <c r="AL156" s="15" t="s">
        <v>2242</v>
      </c>
      <c r="AN156" s="15">
        <v>81</v>
      </c>
      <c r="AO156" s="15" t="s">
        <v>2243</v>
      </c>
      <c r="AQ156" s="15" t="s">
        <v>2185</v>
      </c>
      <c r="AT156" s="17" t="s">
        <v>2244</v>
      </c>
      <c r="AU156" s="15" t="s">
        <v>2245</v>
      </c>
      <c r="AV156" s="15" t="s">
        <v>2245</v>
      </c>
      <c r="AW156" s="17" t="s">
        <v>2246</v>
      </c>
      <c r="AX156" s="17" t="s">
        <v>2246</v>
      </c>
      <c r="AY156" s="15">
        <f t="shared" si="4"/>
        <v>45</v>
      </c>
      <c r="AZ156" s="17" t="s">
        <v>2190</v>
      </c>
      <c r="BA156" s="17"/>
      <c r="BB156" s="17"/>
      <c r="BC156" s="17"/>
      <c r="BD156" s="17"/>
      <c r="BE156" s="17"/>
      <c r="BF156" s="17"/>
      <c r="BG156" s="17"/>
      <c r="BH156" s="17"/>
      <c r="BI156" s="17"/>
      <c r="BJ156" s="17" t="s">
        <v>2247</v>
      </c>
      <c r="BK156" s="17"/>
      <c r="BL156" s="17"/>
      <c r="BM156" s="17"/>
      <c r="BN156" s="17" t="s">
        <v>511</v>
      </c>
      <c r="BO156" s="17"/>
      <c r="BP156" s="17"/>
      <c r="BQ156" s="17"/>
      <c r="BR156" s="17"/>
      <c r="BS156" s="15" t="s">
        <v>1211</v>
      </c>
      <c r="DH156" s="15" t="s">
        <v>4597</v>
      </c>
      <c r="DI156" s="15" t="s">
        <v>4597</v>
      </c>
    </row>
    <row r="157" spans="1:113" s="15" customFormat="1" ht="12.75" x14ac:dyDescent="0.2">
      <c r="A157" s="15" t="s">
        <v>109</v>
      </c>
      <c r="B157" s="16" t="s">
        <v>493</v>
      </c>
      <c r="C157" s="15" t="s">
        <v>494</v>
      </c>
      <c r="D157" s="15" t="s">
        <v>2179</v>
      </c>
      <c r="E157" s="15" t="s">
        <v>113</v>
      </c>
      <c r="F157" s="15" t="s">
        <v>2179</v>
      </c>
      <c r="G157" s="15" t="s">
        <v>2180</v>
      </c>
      <c r="H157" s="15" t="s">
        <v>1111</v>
      </c>
      <c r="J157" s="18" t="s">
        <v>115</v>
      </c>
      <c r="W157" s="15">
        <v>181</v>
      </c>
      <c r="X157" s="15">
        <v>156</v>
      </c>
      <c r="Y157" s="15" t="s">
        <v>495</v>
      </c>
      <c r="Z157" s="15" t="s">
        <v>496</v>
      </c>
      <c r="AA157" s="27" t="s">
        <v>495</v>
      </c>
      <c r="AB157" s="15" t="s">
        <v>2248</v>
      </c>
      <c r="AC157" s="15" t="s">
        <v>2248</v>
      </c>
      <c r="AD157" s="15" t="s">
        <v>2249</v>
      </c>
      <c r="AE157" s="15" t="s">
        <v>496</v>
      </c>
      <c r="AF157" s="15" t="s">
        <v>2249</v>
      </c>
      <c r="AG157" s="15" t="s">
        <v>2248</v>
      </c>
      <c r="AH157" s="15" t="s">
        <v>2250</v>
      </c>
      <c r="AL157" s="15" t="s">
        <v>2251</v>
      </c>
      <c r="AN157" s="15">
        <v>81</v>
      </c>
      <c r="AO157" s="15" t="s">
        <v>2252</v>
      </c>
      <c r="AQ157" s="15" t="s">
        <v>1254</v>
      </c>
      <c r="AT157" s="17" t="s">
        <v>2253</v>
      </c>
      <c r="AU157" s="15" t="s">
        <v>2254</v>
      </c>
      <c r="AV157" s="15" t="s">
        <v>2254</v>
      </c>
      <c r="AW157" s="17" t="s">
        <v>2255</v>
      </c>
      <c r="AX157" s="17" t="s">
        <v>2255</v>
      </c>
      <c r="AY157" s="15">
        <f t="shared" si="4"/>
        <v>38</v>
      </c>
      <c r="AZ157" s="17" t="s">
        <v>253</v>
      </c>
      <c r="BA157" s="17" t="s">
        <v>1259</v>
      </c>
      <c r="BB157" s="17" t="s">
        <v>2256</v>
      </c>
      <c r="BC157" s="17"/>
      <c r="BD157" s="17"/>
      <c r="BE157" s="17" t="s">
        <v>2257</v>
      </c>
      <c r="BF157" s="17"/>
      <c r="BG157" s="17"/>
      <c r="BH157" s="17"/>
      <c r="BI157" s="17"/>
      <c r="BJ157" s="17" t="s">
        <v>2258</v>
      </c>
      <c r="BK157" s="17"/>
      <c r="BL157" s="17"/>
      <c r="BM157" s="17"/>
      <c r="BN157" s="17"/>
      <c r="BO157" s="17"/>
      <c r="BP157" s="17"/>
      <c r="BQ157" s="17"/>
      <c r="BR157" s="17"/>
      <c r="BS157" s="15" t="s">
        <v>1276</v>
      </c>
      <c r="DH157" s="15" t="s">
        <v>4597</v>
      </c>
      <c r="DI157" s="15" t="s">
        <v>4597</v>
      </c>
    </row>
    <row r="158" spans="1:113" s="15" customFormat="1" ht="12.75" x14ac:dyDescent="0.2">
      <c r="A158" s="15" t="s">
        <v>109</v>
      </c>
      <c r="B158" s="16" t="s">
        <v>110</v>
      </c>
      <c r="C158" s="15" t="s">
        <v>111</v>
      </c>
      <c r="D158" s="15" t="s">
        <v>112</v>
      </c>
      <c r="E158" s="17" t="s">
        <v>113</v>
      </c>
      <c r="F158" s="15" t="s">
        <v>112</v>
      </c>
      <c r="G158" s="15" t="s">
        <v>114</v>
      </c>
      <c r="H158" s="15" t="s">
        <v>1111</v>
      </c>
      <c r="J158" s="18" t="s">
        <v>115</v>
      </c>
      <c r="W158" s="15">
        <v>1</v>
      </c>
      <c r="X158" s="15">
        <v>1</v>
      </c>
      <c r="Y158" s="15" t="s">
        <v>116</v>
      </c>
      <c r="Z158" s="15" t="s">
        <v>117</v>
      </c>
      <c r="AA158" s="27" t="s">
        <v>118</v>
      </c>
      <c r="AB158" s="15" t="s">
        <v>119</v>
      </c>
      <c r="AC158" s="15" t="s">
        <v>119</v>
      </c>
      <c r="AD158" s="15" t="s">
        <v>120</v>
      </c>
      <c r="AE158" s="15" t="s">
        <v>121</v>
      </c>
      <c r="AF158" s="15" t="s">
        <v>120</v>
      </c>
      <c r="AG158" s="15" t="s">
        <v>119</v>
      </c>
      <c r="AH158" s="15" t="s">
        <v>122</v>
      </c>
      <c r="AL158" s="15" t="s">
        <v>123</v>
      </c>
      <c r="AN158" s="15">
        <v>169</v>
      </c>
      <c r="AO158" s="15" t="s">
        <v>124</v>
      </c>
      <c r="AQ158" s="15" t="s">
        <v>125</v>
      </c>
      <c r="AT158" s="17" t="s">
        <v>126</v>
      </c>
      <c r="AU158" s="15" t="s">
        <v>127</v>
      </c>
      <c r="AV158" s="15" t="s">
        <v>127</v>
      </c>
      <c r="AW158" s="15" t="s">
        <v>128</v>
      </c>
      <c r="AX158" s="15" t="s">
        <v>129</v>
      </c>
      <c r="AY158" s="15">
        <f t="shared" si="4"/>
        <v>57</v>
      </c>
      <c r="AZ158" s="17" t="s">
        <v>130</v>
      </c>
      <c r="BA158" s="17" t="s">
        <v>131</v>
      </c>
      <c r="BB158" s="17" t="s">
        <v>132</v>
      </c>
      <c r="BC158" s="17" t="s">
        <v>133</v>
      </c>
      <c r="BD158" s="17"/>
      <c r="BE158" s="17" t="s">
        <v>134</v>
      </c>
      <c r="BF158" s="17"/>
      <c r="BG158" s="17" t="s">
        <v>135</v>
      </c>
      <c r="BH158" s="17"/>
      <c r="BI158" s="17" t="s">
        <v>136</v>
      </c>
      <c r="BJ158" s="17" t="s">
        <v>137</v>
      </c>
      <c r="BK158" s="17"/>
      <c r="BL158" s="17"/>
      <c r="BM158" s="17"/>
      <c r="BN158" s="17" t="s">
        <v>138</v>
      </c>
      <c r="BO158" s="17" t="s">
        <v>139</v>
      </c>
      <c r="BP158" s="17" t="s">
        <v>140</v>
      </c>
      <c r="BQ158" s="17"/>
      <c r="BS158" s="15" t="s">
        <v>141</v>
      </c>
      <c r="BT158" s="15" t="s">
        <v>142</v>
      </c>
      <c r="DH158" s="15" t="s">
        <v>4597</v>
      </c>
      <c r="DI158" s="15" t="s">
        <v>4597</v>
      </c>
    </row>
    <row r="159" spans="1:113" s="15" customFormat="1" ht="12.75" x14ac:dyDescent="0.2">
      <c r="A159" s="15" t="s">
        <v>109</v>
      </c>
      <c r="B159" s="16" t="s">
        <v>110</v>
      </c>
      <c r="C159" s="15" t="s">
        <v>111</v>
      </c>
      <c r="D159" s="15" t="s">
        <v>112</v>
      </c>
      <c r="E159" s="17" t="s">
        <v>113</v>
      </c>
      <c r="F159" s="15" t="s">
        <v>112</v>
      </c>
      <c r="G159" s="15" t="s">
        <v>114</v>
      </c>
      <c r="H159" s="15" t="s">
        <v>1111</v>
      </c>
      <c r="J159" s="18" t="s">
        <v>115</v>
      </c>
      <c r="W159" s="15">
        <v>2</v>
      </c>
      <c r="X159" s="15">
        <v>2</v>
      </c>
      <c r="Y159" s="15" t="s">
        <v>116</v>
      </c>
      <c r="Z159" s="15" t="s">
        <v>117</v>
      </c>
      <c r="AA159" s="27" t="s">
        <v>118</v>
      </c>
      <c r="AB159" s="15" t="s">
        <v>143</v>
      </c>
      <c r="AC159" s="15" t="s">
        <v>143</v>
      </c>
      <c r="AD159" s="15" t="s">
        <v>144</v>
      </c>
      <c r="AE159" s="15" t="s">
        <v>121</v>
      </c>
      <c r="AF159" s="15" t="s">
        <v>144</v>
      </c>
      <c r="AG159" s="15" t="s">
        <v>143</v>
      </c>
      <c r="AH159" s="15" t="s">
        <v>145</v>
      </c>
      <c r="AL159" s="15" t="s">
        <v>146</v>
      </c>
      <c r="AN159" s="15">
        <v>169</v>
      </c>
      <c r="AO159" s="15" t="s">
        <v>147</v>
      </c>
      <c r="AQ159" s="15" t="s">
        <v>125</v>
      </c>
      <c r="AT159" s="17" t="s">
        <v>148</v>
      </c>
      <c r="AU159" s="15" t="s">
        <v>149</v>
      </c>
      <c r="AV159" s="15" t="s">
        <v>149</v>
      </c>
      <c r="AW159" s="15" t="s">
        <v>150</v>
      </c>
      <c r="AX159" s="15" t="s">
        <v>151</v>
      </c>
      <c r="AY159" s="15">
        <f t="shared" si="4"/>
        <v>57</v>
      </c>
      <c r="AZ159" s="17" t="s">
        <v>130</v>
      </c>
      <c r="BA159" s="17" t="s">
        <v>131</v>
      </c>
      <c r="BB159" s="17" t="s">
        <v>132</v>
      </c>
      <c r="BC159" s="17" t="s">
        <v>152</v>
      </c>
      <c r="BD159" s="17"/>
      <c r="BE159" s="17" t="s">
        <v>153</v>
      </c>
      <c r="BF159" s="17"/>
      <c r="BG159" s="17" t="s">
        <v>135</v>
      </c>
      <c r="BH159" s="17"/>
      <c r="BI159" s="17" t="s">
        <v>136</v>
      </c>
      <c r="BJ159" s="17" t="s">
        <v>154</v>
      </c>
      <c r="BK159" s="17"/>
      <c r="BL159" s="17"/>
      <c r="BM159" s="17"/>
      <c r="BN159" s="17" t="s">
        <v>138</v>
      </c>
      <c r="BO159" s="17" t="s">
        <v>139</v>
      </c>
      <c r="BP159" s="17" t="s">
        <v>140</v>
      </c>
      <c r="BQ159" s="17"/>
      <c r="BS159" s="15" t="s">
        <v>155</v>
      </c>
      <c r="BT159" s="15" t="s">
        <v>142</v>
      </c>
      <c r="DH159" s="15" t="s">
        <v>4597</v>
      </c>
      <c r="DI159" s="15" t="s">
        <v>4597</v>
      </c>
    </row>
    <row r="160" spans="1:113" s="15" customFormat="1" ht="12.75" x14ac:dyDescent="0.2">
      <c r="A160" s="15" t="s">
        <v>109</v>
      </c>
      <c r="B160" s="16" t="s">
        <v>2287</v>
      </c>
      <c r="C160" s="15" t="s">
        <v>2288</v>
      </c>
      <c r="D160" s="15" t="s">
        <v>2179</v>
      </c>
      <c r="E160" s="15" t="s">
        <v>113</v>
      </c>
      <c r="F160" s="15" t="s">
        <v>2179</v>
      </c>
      <c r="G160" s="15" t="s">
        <v>2180</v>
      </c>
      <c r="H160" s="15" t="s">
        <v>1111</v>
      </c>
      <c r="J160" s="18" t="s">
        <v>115</v>
      </c>
      <c r="W160" s="15">
        <v>185</v>
      </c>
      <c r="X160" s="15">
        <v>1</v>
      </c>
      <c r="Y160" s="15" t="s">
        <v>2289</v>
      </c>
      <c r="Z160" s="15" t="s">
        <v>2290</v>
      </c>
      <c r="AA160" s="15" t="s">
        <v>2291</v>
      </c>
      <c r="AB160" s="15" t="s">
        <v>2292</v>
      </c>
      <c r="AC160" s="15" t="s">
        <v>2292</v>
      </c>
      <c r="AD160" s="15" t="s">
        <v>2292</v>
      </c>
      <c r="AE160" s="15" t="s">
        <v>2293</v>
      </c>
      <c r="AF160" s="15" t="s">
        <v>2292</v>
      </c>
      <c r="AG160" s="15" t="s">
        <v>2292</v>
      </c>
      <c r="AH160" s="15" t="s">
        <v>2294</v>
      </c>
      <c r="AL160" s="15" t="s">
        <v>2295</v>
      </c>
      <c r="AN160" s="15">
        <v>743</v>
      </c>
      <c r="AO160" s="15" t="s">
        <v>2296</v>
      </c>
      <c r="AQ160" s="15" t="s">
        <v>2297</v>
      </c>
      <c r="AT160" s="17" t="s">
        <v>2298</v>
      </c>
      <c r="AU160" s="15" t="s">
        <v>2299</v>
      </c>
      <c r="AV160" s="15" t="s">
        <v>2299</v>
      </c>
      <c r="AW160" s="17" t="s">
        <v>2300</v>
      </c>
      <c r="AX160" s="17" t="s">
        <v>2300</v>
      </c>
      <c r="AY160" s="15">
        <f t="shared" si="4"/>
        <v>56</v>
      </c>
      <c r="AZ160" s="17" t="s">
        <v>2301</v>
      </c>
      <c r="BA160" s="17" t="s">
        <v>2302</v>
      </c>
      <c r="BB160" s="17" t="s">
        <v>2303</v>
      </c>
      <c r="BC160" s="17"/>
      <c r="BD160" s="17"/>
      <c r="BE160" s="17" t="s">
        <v>2304</v>
      </c>
      <c r="BF160" s="17"/>
      <c r="BG160" s="17"/>
      <c r="BH160" s="17"/>
      <c r="BI160" s="17"/>
      <c r="BJ160" s="17" t="s">
        <v>2305</v>
      </c>
      <c r="BK160" s="17"/>
      <c r="BL160" s="17"/>
      <c r="BM160" s="17"/>
      <c r="BN160" s="17" t="s">
        <v>138</v>
      </c>
      <c r="BO160" s="17"/>
      <c r="BP160" s="17" t="s">
        <v>346</v>
      </c>
      <c r="BQ160" s="17" t="s">
        <v>258</v>
      </c>
      <c r="BR160" s="17" t="s">
        <v>2306</v>
      </c>
      <c r="BS160" s="15" t="s">
        <v>2307</v>
      </c>
      <c r="DH160" s="15" t="s">
        <v>4597</v>
      </c>
      <c r="DI160" s="15" t="s">
        <v>4597</v>
      </c>
    </row>
    <row r="161" spans="1:113" s="15" customFormat="1" ht="12.75" x14ac:dyDescent="0.2">
      <c r="A161" s="15" t="s">
        <v>109</v>
      </c>
      <c r="B161" s="16" t="s">
        <v>2287</v>
      </c>
      <c r="C161" s="15" t="s">
        <v>2288</v>
      </c>
      <c r="D161" s="15" t="s">
        <v>2457</v>
      </c>
      <c r="E161" s="15" t="s">
        <v>113</v>
      </c>
      <c r="F161" s="15" t="s">
        <v>2457</v>
      </c>
      <c r="G161" s="15" t="s">
        <v>114</v>
      </c>
      <c r="H161" s="15" t="s">
        <v>1111</v>
      </c>
      <c r="J161" s="18" t="s">
        <v>115</v>
      </c>
      <c r="W161" s="15">
        <v>203</v>
      </c>
      <c r="X161" s="15">
        <v>19</v>
      </c>
      <c r="Y161" s="15" t="s">
        <v>2458</v>
      </c>
      <c r="Z161" s="15" t="s">
        <v>2458</v>
      </c>
      <c r="AA161" s="15" t="s">
        <v>2459</v>
      </c>
      <c r="AB161" s="15" t="s">
        <v>2460</v>
      </c>
      <c r="AC161" s="15" t="s">
        <v>2460</v>
      </c>
      <c r="AD161" s="31" t="s">
        <v>2461</v>
      </c>
      <c r="AE161" s="20" t="s">
        <v>2311</v>
      </c>
      <c r="AF161" s="32" t="s">
        <v>2461</v>
      </c>
      <c r="AG161" s="33" t="s">
        <v>2460</v>
      </c>
      <c r="AH161" s="20" t="s">
        <v>2462</v>
      </c>
      <c r="AL161" s="15" t="s">
        <v>2463</v>
      </c>
      <c r="AN161" s="15">
        <v>3639</v>
      </c>
      <c r="AO161" s="15" t="s">
        <v>2464</v>
      </c>
      <c r="AQ161" s="20" t="s">
        <v>2465</v>
      </c>
      <c r="AT161" s="15" t="s">
        <v>2466</v>
      </c>
      <c r="AU161" s="15" t="s">
        <v>2467</v>
      </c>
      <c r="AV161" s="15" t="s">
        <v>2467</v>
      </c>
      <c r="AW161" s="15" t="s">
        <v>2468</v>
      </c>
      <c r="AX161" s="15" t="s">
        <v>2468</v>
      </c>
      <c r="AY161" s="15">
        <f t="shared" ref="AY161:AY204" si="5">LEN(SUBSTITUTE(AX161, ", ",","))</f>
        <v>34</v>
      </c>
      <c r="AZ161" s="15" t="s">
        <v>2469</v>
      </c>
      <c r="BA161" s="15" t="s">
        <v>2470</v>
      </c>
      <c r="BC161" s="15" t="s">
        <v>2471</v>
      </c>
      <c r="BE161" s="15" t="s">
        <v>2472</v>
      </c>
      <c r="BN161" s="15" t="s">
        <v>511</v>
      </c>
      <c r="BP161" s="15" t="s">
        <v>346</v>
      </c>
      <c r="BR161" s="15" t="s">
        <v>2473</v>
      </c>
      <c r="BS161" s="15" t="s">
        <v>2474</v>
      </c>
      <c r="DH161" s="15" t="s">
        <v>4597</v>
      </c>
      <c r="DI161" s="15" t="s">
        <v>4597</v>
      </c>
    </row>
    <row r="162" spans="1:113" s="15" customFormat="1" ht="12.75" x14ac:dyDescent="0.2">
      <c r="A162" s="15" t="s">
        <v>109</v>
      </c>
      <c r="B162" s="16" t="s">
        <v>2287</v>
      </c>
      <c r="C162" s="15" t="s">
        <v>2288</v>
      </c>
      <c r="D162" s="15" t="s">
        <v>2457</v>
      </c>
      <c r="E162" s="15" t="s">
        <v>1212</v>
      </c>
      <c r="F162" s="15" t="s">
        <v>2457</v>
      </c>
      <c r="G162" s="15" t="s">
        <v>114</v>
      </c>
      <c r="H162" s="15" t="s">
        <v>1111</v>
      </c>
      <c r="J162" s="18" t="s">
        <v>115</v>
      </c>
      <c r="W162" s="15">
        <v>208</v>
      </c>
      <c r="X162" s="15">
        <v>24</v>
      </c>
      <c r="Y162" s="15" t="s">
        <v>2458</v>
      </c>
      <c r="Z162" s="15" t="s">
        <v>2458</v>
      </c>
      <c r="AA162" s="15" t="s">
        <v>2459</v>
      </c>
      <c r="AB162" s="15" t="s">
        <v>2533</v>
      </c>
      <c r="AC162" s="15" t="s">
        <v>2533</v>
      </c>
      <c r="AD162" s="15" t="s">
        <v>2533</v>
      </c>
      <c r="AE162" s="20" t="s">
        <v>2311</v>
      </c>
      <c r="AF162" s="32" t="s">
        <v>2533</v>
      </c>
      <c r="AG162" s="33" t="s">
        <v>2533</v>
      </c>
      <c r="AH162" s="20" t="s">
        <v>2534</v>
      </c>
      <c r="AL162" s="15" t="s">
        <v>2535</v>
      </c>
      <c r="AN162" s="15">
        <v>3639</v>
      </c>
      <c r="AO162" s="15" t="s">
        <v>2536</v>
      </c>
      <c r="AQ162" s="20" t="s">
        <v>2537</v>
      </c>
      <c r="AT162" s="15" t="s">
        <v>2535</v>
      </c>
      <c r="AU162" s="15" t="s">
        <v>2538</v>
      </c>
      <c r="AV162" s="15" t="s">
        <v>2538</v>
      </c>
      <c r="AW162" s="15" t="s">
        <v>2539</v>
      </c>
      <c r="AX162" s="15" t="s">
        <v>2539</v>
      </c>
      <c r="AY162" s="15">
        <f t="shared" si="5"/>
        <v>41</v>
      </c>
      <c r="AZ162" s="15" t="s">
        <v>2540</v>
      </c>
      <c r="BA162" s="15" t="s">
        <v>926</v>
      </c>
      <c r="BB162" s="15" t="s">
        <v>2541</v>
      </c>
      <c r="BI162" s="15" t="s">
        <v>2542</v>
      </c>
      <c r="BJ162" s="15" t="s">
        <v>2543</v>
      </c>
      <c r="BS162" s="15" t="s">
        <v>347</v>
      </c>
      <c r="DH162" s="15" t="s">
        <v>4597</v>
      </c>
      <c r="DI162" s="15" t="s">
        <v>4597</v>
      </c>
    </row>
    <row r="163" spans="1:113" s="15" customFormat="1" ht="12.75" x14ac:dyDescent="0.2">
      <c r="A163" s="15" t="s">
        <v>109</v>
      </c>
      <c r="B163" s="16" t="s">
        <v>2287</v>
      </c>
      <c r="C163" s="15" t="s">
        <v>2288</v>
      </c>
      <c r="D163" s="15" t="s">
        <v>2457</v>
      </c>
      <c r="E163" s="15" t="s">
        <v>113</v>
      </c>
      <c r="F163" s="15" t="s">
        <v>2457</v>
      </c>
      <c r="G163" s="15" t="s">
        <v>114</v>
      </c>
      <c r="H163" s="15" t="s">
        <v>1111</v>
      </c>
      <c r="J163" s="18" t="s">
        <v>115</v>
      </c>
      <c r="W163" s="15">
        <v>209</v>
      </c>
      <c r="X163" s="15">
        <v>25</v>
      </c>
      <c r="Y163" s="15" t="s">
        <v>2458</v>
      </c>
      <c r="Z163" s="15" t="s">
        <v>2458</v>
      </c>
      <c r="AA163" s="15" t="s">
        <v>2459</v>
      </c>
      <c r="AB163" s="15" t="s">
        <v>2544</v>
      </c>
      <c r="AC163" s="15" t="s">
        <v>2544</v>
      </c>
      <c r="AD163" s="15" t="s">
        <v>2545</v>
      </c>
      <c r="AE163" s="20" t="s">
        <v>2311</v>
      </c>
      <c r="AF163" s="32" t="s">
        <v>2545</v>
      </c>
      <c r="AG163" s="33" t="s">
        <v>2544</v>
      </c>
      <c r="AH163" s="20" t="s">
        <v>2546</v>
      </c>
      <c r="AL163" s="15" t="s">
        <v>2547</v>
      </c>
      <c r="AN163" s="15">
        <v>3639</v>
      </c>
      <c r="AO163" s="15" t="s">
        <v>2548</v>
      </c>
      <c r="AQ163" s="20" t="s">
        <v>2549</v>
      </c>
      <c r="AT163" s="15" t="s">
        <v>2550</v>
      </c>
      <c r="AU163" s="15" t="s">
        <v>2551</v>
      </c>
      <c r="AV163" s="15" t="s">
        <v>2551</v>
      </c>
      <c r="AW163" s="15" t="s">
        <v>2552</v>
      </c>
      <c r="AX163" s="15" t="s">
        <v>2552</v>
      </c>
      <c r="AY163" s="15">
        <f t="shared" si="5"/>
        <v>36</v>
      </c>
      <c r="AZ163" s="15" t="s">
        <v>2553</v>
      </c>
      <c r="BA163" s="15" t="s">
        <v>926</v>
      </c>
      <c r="BB163" s="15" t="s">
        <v>2541</v>
      </c>
      <c r="BI163" s="15" t="s">
        <v>2554</v>
      </c>
      <c r="BJ163" s="15" t="s">
        <v>2320</v>
      </c>
      <c r="BS163" s="15" t="s">
        <v>2555</v>
      </c>
      <c r="DH163" s="15" t="s">
        <v>4597</v>
      </c>
      <c r="DI163" s="15" t="s">
        <v>4597</v>
      </c>
    </row>
    <row r="164" spans="1:113" s="15" customFormat="1" ht="12.75" x14ac:dyDescent="0.2">
      <c r="A164" s="15" t="s">
        <v>109</v>
      </c>
      <c r="B164" s="16" t="s">
        <v>2287</v>
      </c>
      <c r="C164" s="15" t="s">
        <v>2288</v>
      </c>
      <c r="D164" s="15" t="s">
        <v>2457</v>
      </c>
      <c r="E164" s="15" t="s">
        <v>113</v>
      </c>
      <c r="F164" s="15" t="s">
        <v>2457</v>
      </c>
      <c r="G164" s="15" t="s">
        <v>114</v>
      </c>
      <c r="H164" s="15" t="s">
        <v>1111</v>
      </c>
      <c r="J164" s="18" t="s">
        <v>115</v>
      </c>
      <c r="W164" s="15">
        <v>210</v>
      </c>
      <c r="X164" s="15">
        <v>26</v>
      </c>
      <c r="Y164" s="15" t="s">
        <v>2458</v>
      </c>
      <c r="Z164" s="15" t="s">
        <v>2458</v>
      </c>
      <c r="AA164" s="15" t="s">
        <v>2459</v>
      </c>
      <c r="AB164" s="15" t="s">
        <v>2556</v>
      </c>
      <c r="AC164" s="15" t="s">
        <v>2556</v>
      </c>
      <c r="AD164" s="15" t="s">
        <v>2557</v>
      </c>
      <c r="AE164" s="20" t="s">
        <v>2311</v>
      </c>
      <c r="AF164" s="32" t="s">
        <v>2557</v>
      </c>
      <c r="AG164" s="33" t="s">
        <v>2556</v>
      </c>
      <c r="AH164" s="20" t="s">
        <v>2558</v>
      </c>
      <c r="AL164" s="15" t="s">
        <v>2559</v>
      </c>
      <c r="AN164" s="15">
        <v>3639</v>
      </c>
      <c r="AO164" s="15" t="s">
        <v>2560</v>
      </c>
      <c r="AQ164" s="20" t="s">
        <v>2561</v>
      </c>
      <c r="AT164" s="15" t="s">
        <v>2559</v>
      </c>
      <c r="AU164" s="15" t="s">
        <v>2562</v>
      </c>
      <c r="AV164" s="15" t="s">
        <v>2562</v>
      </c>
      <c r="AW164" s="15" t="s">
        <v>2563</v>
      </c>
      <c r="AX164" s="15" t="s">
        <v>2563</v>
      </c>
      <c r="AY164" s="15">
        <f t="shared" si="5"/>
        <v>33</v>
      </c>
      <c r="AZ164" s="15" t="s">
        <v>2564</v>
      </c>
      <c r="BA164" s="15" t="s">
        <v>926</v>
      </c>
      <c r="BB164" s="15" t="s">
        <v>2565</v>
      </c>
      <c r="BJ164" s="15" t="s">
        <v>2566</v>
      </c>
      <c r="BN164" s="15" t="s">
        <v>511</v>
      </c>
      <c r="BO164" s="15" t="s">
        <v>2567</v>
      </c>
      <c r="BR164" s="15" t="s">
        <v>2568</v>
      </c>
      <c r="BS164" s="15" t="s">
        <v>2569</v>
      </c>
      <c r="DH164" s="15" t="s">
        <v>4597</v>
      </c>
      <c r="DI164" s="15" t="s">
        <v>4597</v>
      </c>
    </row>
    <row r="165" spans="1:113" s="15" customFormat="1" ht="12.75" x14ac:dyDescent="0.2">
      <c r="A165" s="15" t="s">
        <v>109</v>
      </c>
      <c r="B165" s="16" t="s">
        <v>2287</v>
      </c>
      <c r="C165" s="15" t="s">
        <v>2288</v>
      </c>
      <c r="D165" s="15" t="s">
        <v>2457</v>
      </c>
      <c r="E165" s="15" t="s">
        <v>113</v>
      </c>
      <c r="F165" s="15" t="s">
        <v>2457</v>
      </c>
      <c r="G165" s="15" t="s">
        <v>114</v>
      </c>
      <c r="H165" s="15" t="s">
        <v>1111</v>
      </c>
      <c r="J165" s="18" t="s">
        <v>115</v>
      </c>
      <c r="W165" s="15">
        <v>211</v>
      </c>
      <c r="X165" s="15">
        <v>27</v>
      </c>
      <c r="Y165" s="15" t="s">
        <v>2458</v>
      </c>
      <c r="Z165" s="15" t="s">
        <v>2458</v>
      </c>
      <c r="AA165" s="15" t="s">
        <v>2459</v>
      </c>
      <c r="AB165" s="15" t="s">
        <v>2570</v>
      </c>
      <c r="AC165" s="15" t="s">
        <v>2570</v>
      </c>
      <c r="AD165" s="15" t="s">
        <v>2571</v>
      </c>
      <c r="AE165" s="20" t="s">
        <v>2311</v>
      </c>
      <c r="AF165" s="32" t="s">
        <v>2571</v>
      </c>
      <c r="AG165" s="33" t="s">
        <v>2570</v>
      </c>
      <c r="AH165" s="20" t="s">
        <v>2572</v>
      </c>
      <c r="AL165" s="15" t="s">
        <v>2573</v>
      </c>
      <c r="AN165" s="15">
        <v>3639</v>
      </c>
      <c r="AO165" s="15" t="s">
        <v>2574</v>
      </c>
      <c r="AQ165" s="20" t="s">
        <v>2561</v>
      </c>
      <c r="AT165" s="15" t="s">
        <v>2573</v>
      </c>
      <c r="AU165" s="15" t="s">
        <v>2575</v>
      </c>
      <c r="AV165" s="15" t="s">
        <v>2575</v>
      </c>
      <c r="AW165" s="15" t="s">
        <v>2576</v>
      </c>
      <c r="AX165" s="15" t="s">
        <v>2576</v>
      </c>
      <c r="AY165" s="15">
        <f t="shared" si="5"/>
        <v>36</v>
      </c>
      <c r="AZ165" s="15" t="s">
        <v>2564</v>
      </c>
      <c r="BA165" s="15" t="s">
        <v>926</v>
      </c>
      <c r="BB165" s="15" t="s">
        <v>2577</v>
      </c>
      <c r="BJ165" s="15" t="s">
        <v>2566</v>
      </c>
      <c r="BN165" s="15" t="s">
        <v>511</v>
      </c>
      <c r="BO165" s="15" t="s">
        <v>2567</v>
      </c>
      <c r="BR165" s="15" t="s">
        <v>2568</v>
      </c>
      <c r="BS165" s="15" t="s">
        <v>2578</v>
      </c>
      <c r="DH165" s="15" t="s">
        <v>4597</v>
      </c>
      <c r="DI165" s="15" t="s">
        <v>4597</v>
      </c>
    </row>
    <row r="166" spans="1:113" s="15" customFormat="1" ht="12.75" x14ac:dyDescent="0.2">
      <c r="A166" s="15" t="s">
        <v>109</v>
      </c>
      <c r="B166" s="16" t="s">
        <v>2287</v>
      </c>
      <c r="C166" s="15" t="s">
        <v>2288</v>
      </c>
      <c r="D166" s="15" t="s">
        <v>2457</v>
      </c>
      <c r="E166" s="15" t="s">
        <v>113</v>
      </c>
      <c r="F166" s="15" t="s">
        <v>2457</v>
      </c>
      <c r="G166" s="15" t="s">
        <v>114</v>
      </c>
      <c r="H166" s="15" t="s">
        <v>1111</v>
      </c>
      <c r="J166" s="18" t="s">
        <v>115</v>
      </c>
      <c r="W166" s="15">
        <v>212</v>
      </c>
      <c r="X166" s="15">
        <v>28</v>
      </c>
      <c r="Y166" s="15" t="s">
        <v>2458</v>
      </c>
      <c r="Z166" s="15" t="s">
        <v>2458</v>
      </c>
      <c r="AA166" s="15" t="s">
        <v>2459</v>
      </c>
      <c r="AB166" s="15" t="s">
        <v>2579</v>
      </c>
      <c r="AC166" s="15" t="s">
        <v>2579</v>
      </c>
      <c r="AD166" s="15" t="s">
        <v>2580</v>
      </c>
      <c r="AE166" s="20" t="s">
        <v>2311</v>
      </c>
      <c r="AF166" s="32" t="s">
        <v>2580</v>
      </c>
      <c r="AG166" s="33" t="s">
        <v>2579</v>
      </c>
      <c r="AH166" s="20" t="s">
        <v>2581</v>
      </c>
      <c r="AL166" s="15" t="s">
        <v>2582</v>
      </c>
      <c r="AN166" s="15">
        <v>3639</v>
      </c>
      <c r="AO166" s="15" t="s">
        <v>2583</v>
      </c>
      <c r="AQ166" s="20" t="s">
        <v>2561</v>
      </c>
      <c r="AT166" s="15" t="s">
        <v>2582</v>
      </c>
      <c r="AU166" s="15" t="s">
        <v>2584</v>
      </c>
      <c r="AV166" s="15" t="s">
        <v>2584</v>
      </c>
      <c r="AW166" s="15" t="s">
        <v>2585</v>
      </c>
      <c r="AX166" s="15" t="s">
        <v>2585</v>
      </c>
      <c r="AY166" s="15">
        <f t="shared" si="5"/>
        <v>35</v>
      </c>
      <c r="AZ166" s="15" t="s">
        <v>2564</v>
      </c>
      <c r="BA166" s="15" t="s">
        <v>926</v>
      </c>
      <c r="BB166" s="15" t="s">
        <v>2586</v>
      </c>
      <c r="BJ166" s="15" t="s">
        <v>2566</v>
      </c>
      <c r="BN166" s="15" t="s">
        <v>511</v>
      </c>
      <c r="BO166" s="15" t="s">
        <v>2567</v>
      </c>
      <c r="BR166" s="15" t="s">
        <v>2568</v>
      </c>
      <c r="BS166" s="15" t="s">
        <v>2587</v>
      </c>
      <c r="DH166" s="15" t="s">
        <v>4597</v>
      </c>
      <c r="DI166" s="15" t="s">
        <v>4597</v>
      </c>
    </row>
    <row r="167" spans="1:113" s="15" customFormat="1" ht="12.75" x14ac:dyDescent="0.2">
      <c r="A167" s="15" t="s">
        <v>109</v>
      </c>
      <c r="B167" s="16" t="s">
        <v>2287</v>
      </c>
      <c r="C167" s="15" t="s">
        <v>2288</v>
      </c>
      <c r="D167" s="15" t="s">
        <v>2457</v>
      </c>
      <c r="E167" s="15" t="s">
        <v>113</v>
      </c>
      <c r="F167" s="15" t="s">
        <v>2457</v>
      </c>
      <c r="G167" s="15" t="s">
        <v>114</v>
      </c>
      <c r="H167" s="15" t="s">
        <v>1111</v>
      </c>
      <c r="J167" s="18" t="s">
        <v>115</v>
      </c>
      <c r="W167" s="15">
        <v>213</v>
      </c>
      <c r="X167" s="15">
        <v>29</v>
      </c>
      <c r="Y167" s="15" t="s">
        <v>2458</v>
      </c>
      <c r="Z167" s="15" t="s">
        <v>2458</v>
      </c>
      <c r="AA167" s="15" t="s">
        <v>2459</v>
      </c>
      <c r="AB167" s="15" t="s">
        <v>2588</v>
      </c>
      <c r="AC167" s="15" t="s">
        <v>2588</v>
      </c>
      <c r="AD167" s="15" t="s">
        <v>2589</v>
      </c>
      <c r="AE167" s="20" t="s">
        <v>2311</v>
      </c>
      <c r="AF167" s="32" t="s">
        <v>2589</v>
      </c>
      <c r="AG167" s="33" t="s">
        <v>2588</v>
      </c>
      <c r="AH167" s="20" t="s">
        <v>2590</v>
      </c>
      <c r="AL167" s="15" t="s">
        <v>2591</v>
      </c>
      <c r="AN167" s="15">
        <v>3639</v>
      </c>
      <c r="AO167" s="15" t="s">
        <v>2592</v>
      </c>
      <c r="AQ167" s="20" t="s">
        <v>2593</v>
      </c>
      <c r="AT167" s="15" t="s">
        <v>2591</v>
      </c>
      <c r="AU167" s="15" t="s">
        <v>2594</v>
      </c>
      <c r="AV167" s="15" t="s">
        <v>2594</v>
      </c>
      <c r="AW167" s="15" t="s">
        <v>2595</v>
      </c>
      <c r="AX167" s="15" t="s">
        <v>2595</v>
      </c>
      <c r="AY167" s="15">
        <f t="shared" si="5"/>
        <v>35</v>
      </c>
      <c r="AZ167" s="15" t="s">
        <v>2596</v>
      </c>
      <c r="BA167" s="15" t="s">
        <v>2597</v>
      </c>
      <c r="BC167" s="15" t="s">
        <v>1146</v>
      </c>
      <c r="BI167" s="15" t="s">
        <v>2598</v>
      </c>
      <c r="BJ167" s="15" t="s">
        <v>2566</v>
      </c>
      <c r="BN167" s="15" t="s">
        <v>511</v>
      </c>
      <c r="BO167" s="15" t="s">
        <v>2567</v>
      </c>
      <c r="BR167" s="15" t="s">
        <v>2568</v>
      </c>
      <c r="BS167" s="15" t="s">
        <v>2599</v>
      </c>
      <c r="DH167" s="15" t="s">
        <v>4597</v>
      </c>
      <c r="DI167" s="15" t="s">
        <v>4597</v>
      </c>
    </row>
    <row r="168" spans="1:113" s="15" customFormat="1" ht="12.75" x14ac:dyDescent="0.2">
      <c r="A168" s="15" t="s">
        <v>109</v>
      </c>
      <c r="B168" s="16" t="s">
        <v>2287</v>
      </c>
      <c r="C168" s="15" t="s">
        <v>2288</v>
      </c>
      <c r="D168" s="15" t="s">
        <v>2457</v>
      </c>
      <c r="E168" s="15" t="s">
        <v>113</v>
      </c>
      <c r="F168" s="15" t="s">
        <v>2457</v>
      </c>
      <c r="G168" s="15" t="s">
        <v>114</v>
      </c>
      <c r="H168" s="15" t="s">
        <v>1111</v>
      </c>
      <c r="J168" s="18" t="s">
        <v>115</v>
      </c>
      <c r="W168" s="15">
        <v>214</v>
      </c>
      <c r="X168" s="15">
        <v>30</v>
      </c>
      <c r="Y168" s="15" t="s">
        <v>2458</v>
      </c>
      <c r="Z168" s="15" t="s">
        <v>2458</v>
      </c>
      <c r="AA168" s="15" t="s">
        <v>2459</v>
      </c>
      <c r="AB168" s="15" t="s">
        <v>2600</v>
      </c>
      <c r="AC168" s="15" t="s">
        <v>2600</v>
      </c>
      <c r="AD168" s="15" t="s">
        <v>2601</v>
      </c>
      <c r="AE168" s="20" t="s">
        <v>2311</v>
      </c>
      <c r="AF168" s="32" t="s">
        <v>2601</v>
      </c>
      <c r="AG168" s="33" t="s">
        <v>2600</v>
      </c>
      <c r="AH168" s="20" t="s">
        <v>2602</v>
      </c>
      <c r="AL168" s="15" t="s">
        <v>2603</v>
      </c>
      <c r="AN168" s="15">
        <v>3639</v>
      </c>
      <c r="AO168" s="15" t="s">
        <v>2604</v>
      </c>
      <c r="AQ168" s="20" t="s">
        <v>2593</v>
      </c>
      <c r="AT168" s="15" t="s">
        <v>2603</v>
      </c>
      <c r="AU168" s="15" t="s">
        <v>2605</v>
      </c>
      <c r="AV168" s="15" t="s">
        <v>2605</v>
      </c>
      <c r="AW168" s="15" t="s">
        <v>2606</v>
      </c>
      <c r="AX168" s="15" t="s">
        <v>2606</v>
      </c>
      <c r="AY168" s="15">
        <f t="shared" si="5"/>
        <v>34</v>
      </c>
      <c r="AZ168" s="15" t="s">
        <v>2596</v>
      </c>
      <c r="BA168" s="15" t="s">
        <v>2597</v>
      </c>
      <c r="BC168" s="15" t="s">
        <v>170</v>
      </c>
      <c r="BI168" s="15" t="s">
        <v>2598</v>
      </c>
      <c r="BJ168" s="15" t="s">
        <v>2566</v>
      </c>
      <c r="BN168" s="15" t="s">
        <v>511</v>
      </c>
      <c r="BO168" s="15" t="s">
        <v>2567</v>
      </c>
      <c r="BR168" s="15" t="s">
        <v>2568</v>
      </c>
      <c r="BS168" s="15" t="s">
        <v>2607</v>
      </c>
      <c r="DH168" s="15" t="s">
        <v>4597</v>
      </c>
      <c r="DI168" s="15" t="s">
        <v>4597</v>
      </c>
    </row>
    <row r="169" spans="1:113" s="15" customFormat="1" ht="12.75" x14ac:dyDescent="0.2">
      <c r="A169" s="15" t="s">
        <v>109</v>
      </c>
      <c r="B169" s="16" t="s">
        <v>2287</v>
      </c>
      <c r="C169" s="15" t="s">
        <v>2288</v>
      </c>
      <c r="D169" s="15" t="s">
        <v>2457</v>
      </c>
      <c r="E169" s="15" t="s">
        <v>113</v>
      </c>
      <c r="F169" s="15" t="s">
        <v>2457</v>
      </c>
      <c r="G169" s="15" t="s">
        <v>114</v>
      </c>
      <c r="H169" s="15" t="s">
        <v>1111</v>
      </c>
      <c r="J169" s="18" t="s">
        <v>115</v>
      </c>
      <c r="W169" s="15">
        <v>215</v>
      </c>
      <c r="X169" s="15">
        <v>31</v>
      </c>
      <c r="Y169" s="15" t="s">
        <v>2458</v>
      </c>
      <c r="Z169" s="15" t="s">
        <v>2458</v>
      </c>
      <c r="AA169" s="15" t="s">
        <v>2459</v>
      </c>
      <c r="AB169" s="15" t="s">
        <v>2608</v>
      </c>
      <c r="AC169" s="15" t="s">
        <v>2608</v>
      </c>
      <c r="AD169" s="15" t="s">
        <v>2609</v>
      </c>
      <c r="AE169" s="20" t="s">
        <v>2311</v>
      </c>
      <c r="AF169" s="32" t="s">
        <v>2609</v>
      </c>
      <c r="AG169" s="33" t="s">
        <v>2608</v>
      </c>
      <c r="AH169" s="20" t="s">
        <v>2610</v>
      </c>
      <c r="AL169" s="15" t="s">
        <v>2611</v>
      </c>
      <c r="AN169" s="15">
        <v>3639</v>
      </c>
      <c r="AO169" s="15" t="s">
        <v>2612</v>
      </c>
      <c r="AQ169" s="20" t="s">
        <v>2613</v>
      </c>
      <c r="AT169" s="15" t="s">
        <v>2611</v>
      </c>
      <c r="AU169" s="15" t="s">
        <v>2614</v>
      </c>
      <c r="AV169" s="15" t="s">
        <v>2614</v>
      </c>
      <c r="AW169" s="15" t="s">
        <v>2615</v>
      </c>
      <c r="AX169" s="15" t="s">
        <v>2615</v>
      </c>
      <c r="AY169" s="15">
        <f t="shared" si="5"/>
        <v>32</v>
      </c>
      <c r="AZ169" s="15" t="s">
        <v>457</v>
      </c>
      <c r="BA169" s="15" t="s">
        <v>2529</v>
      </c>
      <c r="BB169" s="15" t="s">
        <v>2616</v>
      </c>
      <c r="BJ169" s="15" t="s">
        <v>2617</v>
      </c>
      <c r="BR169" s="35"/>
      <c r="BS169" s="15" t="s">
        <v>2618</v>
      </c>
      <c r="DH169" s="15" t="s">
        <v>4597</v>
      </c>
      <c r="DI169" s="15" t="s">
        <v>4597</v>
      </c>
    </row>
    <row r="170" spans="1:113" s="15" customFormat="1" ht="12.75" x14ac:dyDescent="0.2">
      <c r="A170" s="15" t="s">
        <v>109</v>
      </c>
      <c r="B170" s="16" t="s">
        <v>2287</v>
      </c>
      <c r="C170" s="15" t="s">
        <v>2288</v>
      </c>
      <c r="D170" s="15" t="s">
        <v>2457</v>
      </c>
      <c r="E170" s="15" t="s">
        <v>113</v>
      </c>
      <c r="F170" s="15" t="s">
        <v>2457</v>
      </c>
      <c r="G170" s="15" t="s">
        <v>114</v>
      </c>
      <c r="H170" s="15" t="s">
        <v>1111</v>
      </c>
      <c r="J170" s="18" t="s">
        <v>115</v>
      </c>
      <c r="W170" s="15">
        <v>216</v>
      </c>
      <c r="X170" s="15">
        <v>32</v>
      </c>
      <c r="Y170" s="15" t="s">
        <v>2458</v>
      </c>
      <c r="Z170" s="15" t="s">
        <v>2458</v>
      </c>
      <c r="AA170" s="15" t="s">
        <v>2459</v>
      </c>
      <c r="AB170" s="15" t="s">
        <v>2619</v>
      </c>
      <c r="AC170" s="15" t="s">
        <v>2619</v>
      </c>
      <c r="AD170" s="15" t="s">
        <v>2620</v>
      </c>
      <c r="AE170" s="20" t="s">
        <v>2311</v>
      </c>
      <c r="AF170" s="32" t="s">
        <v>2620</v>
      </c>
      <c r="AG170" s="33" t="s">
        <v>2619</v>
      </c>
      <c r="AH170" s="20" t="s">
        <v>2621</v>
      </c>
      <c r="AL170" s="15" t="s">
        <v>2622</v>
      </c>
      <c r="AN170" s="15">
        <v>3639</v>
      </c>
      <c r="AO170" s="15" t="s">
        <v>2623</v>
      </c>
      <c r="AQ170" s="20" t="s">
        <v>2437</v>
      </c>
      <c r="AT170" s="15" t="s">
        <v>2622</v>
      </c>
      <c r="AU170" s="15" t="s">
        <v>2624</v>
      </c>
      <c r="AV170" s="15" t="s">
        <v>2624</v>
      </c>
      <c r="AW170" s="15" t="s">
        <v>2625</v>
      </c>
      <c r="AX170" s="15" t="s">
        <v>2625</v>
      </c>
      <c r="AY170" s="15">
        <f t="shared" si="5"/>
        <v>45</v>
      </c>
      <c r="AZ170" s="15" t="s">
        <v>2441</v>
      </c>
      <c r="BA170" s="15" t="s">
        <v>926</v>
      </c>
      <c r="BB170" s="15" t="s">
        <v>2626</v>
      </c>
      <c r="BE170" s="15" t="s">
        <v>2627</v>
      </c>
      <c r="BJ170" s="15" t="s">
        <v>2628</v>
      </c>
      <c r="BN170" s="15" t="s">
        <v>511</v>
      </c>
      <c r="BP170" s="15" t="s">
        <v>346</v>
      </c>
      <c r="BS170" s="15" t="s">
        <v>2629</v>
      </c>
      <c r="DH170" s="15" t="s">
        <v>4597</v>
      </c>
      <c r="DI170" s="15" t="s">
        <v>4597</v>
      </c>
    </row>
    <row r="171" spans="1:113" s="15" customFormat="1" ht="12.75" x14ac:dyDescent="0.2">
      <c r="A171" s="15" t="s">
        <v>109</v>
      </c>
      <c r="B171" s="16" t="s">
        <v>2287</v>
      </c>
      <c r="C171" s="15" t="s">
        <v>2288</v>
      </c>
      <c r="D171" s="15" t="s">
        <v>2457</v>
      </c>
      <c r="E171" s="15" t="s">
        <v>113</v>
      </c>
      <c r="F171" s="15" t="s">
        <v>2457</v>
      </c>
      <c r="G171" s="15" t="s">
        <v>114</v>
      </c>
      <c r="H171" s="15" t="s">
        <v>1111</v>
      </c>
      <c r="J171" s="18" t="s">
        <v>115</v>
      </c>
      <c r="W171" s="15">
        <v>217</v>
      </c>
      <c r="X171" s="15">
        <v>33</v>
      </c>
      <c r="Y171" s="15" t="s">
        <v>2458</v>
      </c>
      <c r="Z171" s="15" t="s">
        <v>2458</v>
      </c>
      <c r="AA171" s="15" t="s">
        <v>2459</v>
      </c>
      <c r="AB171" s="15" t="s">
        <v>2630</v>
      </c>
      <c r="AC171" s="15" t="s">
        <v>2630</v>
      </c>
      <c r="AD171" s="15" t="s">
        <v>2631</v>
      </c>
      <c r="AE171" s="20" t="s">
        <v>2311</v>
      </c>
      <c r="AF171" s="32" t="s">
        <v>2631</v>
      </c>
      <c r="AG171" s="33" t="s">
        <v>2630</v>
      </c>
      <c r="AH171" s="20" t="s">
        <v>2632</v>
      </c>
      <c r="AL171" s="15" t="s">
        <v>2633</v>
      </c>
      <c r="AN171" s="15">
        <v>3639</v>
      </c>
      <c r="AO171" s="15" t="s">
        <v>2634</v>
      </c>
      <c r="AQ171" s="20" t="s">
        <v>2437</v>
      </c>
      <c r="AT171" s="15" t="s">
        <v>2633</v>
      </c>
      <c r="AU171" s="15" t="s">
        <v>2635</v>
      </c>
      <c r="AV171" s="15" t="s">
        <v>2635</v>
      </c>
      <c r="AW171" s="15" t="s">
        <v>2636</v>
      </c>
      <c r="AX171" s="15" t="s">
        <v>2636</v>
      </c>
      <c r="AY171" s="15">
        <f t="shared" si="5"/>
        <v>45</v>
      </c>
      <c r="AZ171" s="15" t="s">
        <v>2441</v>
      </c>
      <c r="BA171" s="15" t="s">
        <v>926</v>
      </c>
      <c r="BB171" s="15" t="s">
        <v>2626</v>
      </c>
      <c r="BE171" s="15" t="s">
        <v>2637</v>
      </c>
      <c r="BJ171" s="15" t="s">
        <v>2628</v>
      </c>
      <c r="BN171" s="15" t="s">
        <v>511</v>
      </c>
      <c r="BP171" s="15" t="s">
        <v>346</v>
      </c>
      <c r="BS171" s="15" t="s">
        <v>2638</v>
      </c>
      <c r="DH171" s="15" t="s">
        <v>4597</v>
      </c>
      <c r="DI171" s="15" t="s">
        <v>4597</v>
      </c>
    </row>
    <row r="172" spans="1:113" s="15" customFormat="1" ht="12.75" x14ac:dyDescent="0.2">
      <c r="A172" s="15" t="s">
        <v>109</v>
      </c>
      <c r="B172" s="16" t="s">
        <v>2287</v>
      </c>
      <c r="C172" s="15" t="s">
        <v>2288</v>
      </c>
      <c r="D172" s="15" t="s">
        <v>2457</v>
      </c>
      <c r="E172" s="15" t="s">
        <v>113</v>
      </c>
      <c r="F172" s="15" t="s">
        <v>2457</v>
      </c>
      <c r="G172" s="15" t="s">
        <v>114</v>
      </c>
      <c r="H172" s="15" t="s">
        <v>1111</v>
      </c>
      <c r="J172" s="18" t="s">
        <v>115</v>
      </c>
      <c r="W172" s="15">
        <v>218</v>
      </c>
      <c r="X172" s="15">
        <v>34</v>
      </c>
      <c r="Y172" s="15" t="s">
        <v>2458</v>
      </c>
      <c r="Z172" s="15" t="s">
        <v>2458</v>
      </c>
      <c r="AA172" s="15" t="s">
        <v>2459</v>
      </c>
      <c r="AB172" s="15" t="s">
        <v>2639</v>
      </c>
      <c r="AC172" s="15" t="s">
        <v>2639</v>
      </c>
      <c r="AD172" s="15" t="s">
        <v>2640</v>
      </c>
      <c r="AE172" s="20" t="s">
        <v>2311</v>
      </c>
      <c r="AF172" s="32" t="s">
        <v>2640</v>
      </c>
      <c r="AG172" s="33" t="s">
        <v>2639</v>
      </c>
      <c r="AH172" s="20" t="s">
        <v>2641</v>
      </c>
      <c r="AL172" s="15" t="s">
        <v>2642</v>
      </c>
      <c r="AN172" s="15">
        <v>3639</v>
      </c>
      <c r="AO172" s="15" t="s">
        <v>2643</v>
      </c>
      <c r="AQ172" s="20" t="s">
        <v>2437</v>
      </c>
      <c r="AT172" s="15" t="s">
        <v>2642</v>
      </c>
      <c r="AU172" s="15" t="s">
        <v>2644</v>
      </c>
      <c r="AV172" s="15" t="s">
        <v>2644</v>
      </c>
      <c r="AW172" s="15" t="s">
        <v>2645</v>
      </c>
      <c r="AX172" s="15" t="s">
        <v>2645</v>
      </c>
      <c r="AY172" s="15">
        <f t="shared" si="5"/>
        <v>45</v>
      </c>
      <c r="AZ172" s="15" t="s">
        <v>2441</v>
      </c>
      <c r="BA172" s="15" t="s">
        <v>926</v>
      </c>
      <c r="BB172" s="15" t="s">
        <v>2626</v>
      </c>
      <c r="BJ172" s="15" t="s">
        <v>2646</v>
      </c>
      <c r="BN172" s="15" t="s">
        <v>511</v>
      </c>
      <c r="BP172" s="15" t="s">
        <v>346</v>
      </c>
      <c r="BS172" s="15" t="s">
        <v>2647</v>
      </c>
      <c r="DH172" s="15" t="s">
        <v>4597</v>
      </c>
      <c r="DI172" s="15" t="s">
        <v>4597</v>
      </c>
    </row>
    <row r="173" spans="1:113" s="15" customFormat="1" ht="12.75" x14ac:dyDescent="0.2">
      <c r="A173" s="15" t="s">
        <v>109</v>
      </c>
      <c r="B173" s="16" t="s">
        <v>2287</v>
      </c>
      <c r="C173" s="15" t="s">
        <v>2288</v>
      </c>
      <c r="D173" s="15" t="s">
        <v>2457</v>
      </c>
      <c r="E173" s="15" t="s">
        <v>113</v>
      </c>
      <c r="F173" s="15" t="s">
        <v>2457</v>
      </c>
      <c r="G173" s="15" t="s">
        <v>114</v>
      </c>
      <c r="H173" s="15" t="s">
        <v>1111</v>
      </c>
      <c r="J173" s="18" t="s">
        <v>115</v>
      </c>
      <c r="W173" s="15">
        <v>219</v>
      </c>
      <c r="X173" s="15">
        <v>35</v>
      </c>
      <c r="Y173" s="15" t="s">
        <v>2458</v>
      </c>
      <c r="Z173" s="15" t="s">
        <v>2458</v>
      </c>
      <c r="AA173" s="15" t="s">
        <v>2459</v>
      </c>
      <c r="AB173" s="15" t="s">
        <v>2648</v>
      </c>
      <c r="AC173" s="15" t="s">
        <v>2648</v>
      </c>
      <c r="AD173" s="15" t="s">
        <v>2649</v>
      </c>
      <c r="AE173" s="20" t="s">
        <v>2311</v>
      </c>
      <c r="AF173" s="32" t="s">
        <v>2649</v>
      </c>
      <c r="AG173" s="33" t="s">
        <v>2648</v>
      </c>
      <c r="AH173" s="20" t="s">
        <v>2650</v>
      </c>
      <c r="AL173" s="15" t="s">
        <v>2651</v>
      </c>
      <c r="AN173" s="15">
        <v>3639</v>
      </c>
      <c r="AO173" s="15" t="s">
        <v>2652</v>
      </c>
      <c r="AQ173" s="20" t="s">
        <v>2653</v>
      </c>
      <c r="AT173" s="15" t="s">
        <v>2654</v>
      </c>
      <c r="AU173" s="15" t="s">
        <v>2655</v>
      </c>
      <c r="AV173" s="15" t="s">
        <v>2655</v>
      </c>
      <c r="AW173" s="15" t="s">
        <v>2656</v>
      </c>
      <c r="AX173" s="15" t="s">
        <v>2656</v>
      </c>
      <c r="AY173" s="15">
        <f t="shared" si="5"/>
        <v>46</v>
      </c>
      <c r="AZ173" s="15" t="s">
        <v>2657</v>
      </c>
      <c r="BA173" s="15" t="s">
        <v>926</v>
      </c>
      <c r="BB173" s="15" t="s">
        <v>2658</v>
      </c>
      <c r="BC173" s="15">
        <v>0</v>
      </c>
      <c r="BE173" s="15" t="s">
        <v>1350</v>
      </c>
      <c r="BF173" s="15" t="s">
        <v>2659</v>
      </c>
      <c r="BJ173" s="15" t="s">
        <v>2660</v>
      </c>
      <c r="BR173" s="15" t="s">
        <v>2661</v>
      </c>
      <c r="BS173" s="15" t="s">
        <v>2555</v>
      </c>
      <c r="DH173" s="15" t="s">
        <v>4597</v>
      </c>
      <c r="DI173" s="15" t="s">
        <v>4597</v>
      </c>
    </row>
    <row r="174" spans="1:113" s="15" customFormat="1" ht="51" x14ac:dyDescent="0.2">
      <c r="A174" s="15" t="s">
        <v>109</v>
      </c>
      <c r="B174" s="16" t="s">
        <v>2287</v>
      </c>
      <c r="C174" s="15" t="s">
        <v>2288</v>
      </c>
      <c r="D174" s="15" t="s">
        <v>2457</v>
      </c>
      <c r="E174" s="15" t="s">
        <v>113</v>
      </c>
      <c r="F174" s="15" t="s">
        <v>2457</v>
      </c>
      <c r="G174" s="15" t="s">
        <v>114</v>
      </c>
      <c r="H174" s="15" t="s">
        <v>1111</v>
      </c>
      <c r="J174" s="18" t="s">
        <v>115</v>
      </c>
      <c r="W174" s="15">
        <v>220</v>
      </c>
      <c r="X174" s="15">
        <v>36</v>
      </c>
      <c r="Y174" s="15" t="s">
        <v>2458</v>
      </c>
      <c r="Z174" s="15" t="s">
        <v>2458</v>
      </c>
      <c r="AA174" s="15" t="s">
        <v>2459</v>
      </c>
      <c r="AB174" s="15" t="s">
        <v>2662</v>
      </c>
      <c r="AC174" s="15" t="s">
        <v>2662</v>
      </c>
      <c r="AD174" s="15" t="s">
        <v>2663</v>
      </c>
      <c r="AE174" s="20" t="s">
        <v>2311</v>
      </c>
      <c r="AF174" s="32" t="s">
        <v>2663</v>
      </c>
      <c r="AG174" s="33" t="s">
        <v>2662</v>
      </c>
      <c r="AH174" s="20" t="s">
        <v>2664</v>
      </c>
      <c r="AL174" s="15" t="s">
        <v>2665</v>
      </c>
      <c r="AN174" s="15">
        <v>3639</v>
      </c>
      <c r="AO174" s="15" t="s">
        <v>2666</v>
      </c>
      <c r="AQ174" s="20" t="s">
        <v>2653</v>
      </c>
      <c r="AT174" s="36" t="s">
        <v>2654</v>
      </c>
      <c r="AU174" s="15" t="s">
        <v>2667</v>
      </c>
      <c r="AV174" s="15" t="s">
        <v>2667</v>
      </c>
      <c r="AW174" s="15" t="s">
        <v>2668</v>
      </c>
      <c r="AX174" s="15" t="s">
        <v>2668</v>
      </c>
      <c r="AY174" s="15">
        <f t="shared" si="5"/>
        <v>48</v>
      </c>
      <c r="AZ174" s="15" t="s">
        <v>2657</v>
      </c>
      <c r="BA174" s="15" t="s">
        <v>926</v>
      </c>
      <c r="BB174" s="15" t="s">
        <v>2658</v>
      </c>
      <c r="BC174" s="15">
        <v>1</v>
      </c>
      <c r="BE174" s="15" t="s">
        <v>1350</v>
      </c>
      <c r="BF174" s="15" t="s">
        <v>2669</v>
      </c>
      <c r="BJ174" s="15" t="s">
        <v>2660</v>
      </c>
      <c r="BR174" s="15" t="s">
        <v>2670</v>
      </c>
      <c r="BS174" s="15" t="s">
        <v>2555</v>
      </c>
      <c r="DH174" s="15" t="s">
        <v>4597</v>
      </c>
      <c r="DI174" s="15" t="s">
        <v>4597</v>
      </c>
    </row>
    <row r="175" spans="1:113" s="15" customFormat="1" ht="12.75" x14ac:dyDescent="0.2">
      <c r="A175" s="15" t="s">
        <v>109</v>
      </c>
      <c r="B175" s="16" t="s">
        <v>2287</v>
      </c>
      <c r="C175" s="15" t="s">
        <v>2288</v>
      </c>
      <c r="D175" s="15" t="s">
        <v>2457</v>
      </c>
      <c r="E175" s="15" t="s">
        <v>113</v>
      </c>
      <c r="F175" s="15" t="s">
        <v>2457</v>
      </c>
      <c r="G175" s="15" t="s">
        <v>114</v>
      </c>
      <c r="H175" s="15" t="s">
        <v>1111</v>
      </c>
      <c r="J175" s="18" t="s">
        <v>115</v>
      </c>
      <c r="W175" s="15">
        <v>221</v>
      </c>
      <c r="X175" s="15">
        <v>37</v>
      </c>
      <c r="Y175" s="15" t="s">
        <v>2458</v>
      </c>
      <c r="Z175" s="15" t="s">
        <v>2458</v>
      </c>
      <c r="AA175" s="15" t="s">
        <v>2459</v>
      </c>
      <c r="AB175" s="15" t="s">
        <v>2671</v>
      </c>
      <c r="AC175" s="15" t="s">
        <v>2671</v>
      </c>
      <c r="AD175" s="15" t="s">
        <v>2672</v>
      </c>
      <c r="AE175" s="20" t="s">
        <v>2311</v>
      </c>
      <c r="AF175" s="32" t="s">
        <v>2672</v>
      </c>
      <c r="AG175" s="33" t="s">
        <v>2671</v>
      </c>
      <c r="AH175" s="20" t="s">
        <v>2673</v>
      </c>
      <c r="AL175" s="15" t="s">
        <v>2674</v>
      </c>
      <c r="AN175" s="15">
        <v>3639</v>
      </c>
      <c r="AO175" s="15" t="s">
        <v>2675</v>
      </c>
      <c r="AQ175" s="20" t="s">
        <v>2653</v>
      </c>
      <c r="AT175" s="15" t="s">
        <v>2674</v>
      </c>
      <c r="AU175" s="15" t="s">
        <v>2676</v>
      </c>
      <c r="AV175" s="15" t="s">
        <v>2676</v>
      </c>
      <c r="AW175" s="15" t="s">
        <v>2677</v>
      </c>
      <c r="AX175" s="15" t="s">
        <v>2677</v>
      </c>
      <c r="AY175" s="15">
        <f t="shared" si="5"/>
        <v>52</v>
      </c>
      <c r="AZ175" s="15" t="s">
        <v>2657</v>
      </c>
      <c r="BA175" s="15" t="s">
        <v>926</v>
      </c>
      <c r="BB175" s="15" t="s">
        <v>2658</v>
      </c>
      <c r="BC175" s="15">
        <v>3</v>
      </c>
      <c r="BE175" s="15" t="s">
        <v>2678</v>
      </c>
      <c r="BF175" s="15" t="s">
        <v>2679</v>
      </c>
      <c r="BJ175" s="15" t="s">
        <v>2660</v>
      </c>
      <c r="BR175" s="15" t="s">
        <v>2670</v>
      </c>
      <c r="BS175" s="15" t="s">
        <v>2680</v>
      </c>
      <c r="DH175" s="15" t="s">
        <v>4597</v>
      </c>
      <c r="DI175" s="15" t="s">
        <v>4597</v>
      </c>
    </row>
    <row r="176" spans="1:113" s="15" customFormat="1" ht="12.75" x14ac:dyDescent="0.2">
      <c r="A176" s="15" t="s">
        <v>109</v>
      </c>
      <c r="B176" s="16" t="s">
        <v>2287</v>
      </c>
      <c r="C176" s="15" t="s">
        <v>2288</v>
      </c>
      <c r="D176" s="15" t="s">
        <v>2457</v>
      </c>
      <c r="E176" s="15" t="s">
        <v>113</v>
      </c>
      <c r="F176" s="15" t="s">
        <v>2457</v>
      </c>
      <c r="G176" s="15" t="s">
        <v>114</v>
      </c>
      <c r="H176" s="15" t="s">
        <v>1111</v>
      </c>
      <c r="J176" s="18" t="s">
        <v>115</v>
      </c>
      <c r="W176" s="15">
        <v>222</v>
      </c>
      <c r="X176" s="15">
        <v>38</v>
      </c>
      <c r="Y176" s="15" t="s">
        <v>2458</v>
      </c>
      <c r="Z176" s="15" t="s">
        <v>2458</v>
      </c>
      <c r="AA176" s="15" t="s">
        <v>2459</v>
      </c>
      <c r="AB176" s="15" t="s">
        <v>2681</v>
      </c>
      <c r="AC176" s="15" t="s">
        <v>2681</v>
      </c>
      <c r="AD176" s="15" t="s">
        <v>2682</v>
      </c>
      <c r="AE176" s="20" t="s">
        <v>2311</v>
      </c>
      <c r="AF176" s="32" t="s">
        <v>2682</v>
      </c>
      <c r="AG176" s="33" t="s">
        <v>2681</v>
      </c>
      <c r="AH176" s="20" t="s">
        <v>2683</v>
      </c>
      <c r="AL176" s="15" t="s">
        <v>2684</v>
      </c>
      <c r="AN176" s="15">
        <v>3639</v>
      </c>
      <c r="AO176" s="15" t="s">
        <v>2685</v>
      </c>
      <c r="AQ176" s="20" t="s">
        <v>2653</v>
      </c>
      <c r="AT176" s="15" t="s">
        <v>2684</v>
      </c>
      <c r="AU176" s="15" t="s">
        <v>2686</v>
      </c>
      <c r="AV176" s="15" t="s">
        <v>2686</v>
      </c>
      <c r="AW176" s="15" t="s">
        <v>2687</v>
      </c>
      <c r="AX176" s="15" t="s">
        <v>2687</v>
      </c>
      <c r="AY176" s="15">
        <f t="shared" si="5"/>
        <v>51</v>
      </c>
      <c r="AZ176" s="15" t="s">
        <v>2657</v>
      </c>
      <c r="BA176" s="15" t="s">
        <v>926</v>
      </c>
      <c r="BB176" s="15" t="s">
        <v>2658</v>
      </c>
      <c r="BC176" s="15">
        <v>5</v>
      </c>
      <c r="BE176" s="15" t="s">
        <v>2688</v>
      </c>
      <c r="BF176" s="15" t="s">
        <v>2689</v>
      </c>
      <c r="BJ176" s="15" t="s">
        <v>2660</v>
      </c>
      <c r="BS176" s="15" t="s">
        <v>2690</v>
      </c>
      <c r="DH176" s="15" t="s">
        <v>4597</v>
      </c>
      <c r="DI176" s="15" t="s">
        <v>4597</v>
      </c>
    </row>
    <row r="177" spans="1:113" s="15" customFormat="1" ht="12.75" x14ac:dyDescent="0.2">
      <c r="A177" s="15" t="s">
        <v>109</v>
      </c>
      <c r="B177" s="16" t="s">
        <v>2287</v>
      </c>
      <c r="C177" s="15" t="s">
        <v>2288</v>
      </c>
      <c r="D177" s="15" t="s">
        <v>2457</v>
      </c>
      <c r="E177" s="15" t="s">
        <v>113</v>
      </c>
      <c r="F177" s="15" t="s">
        <v>2457</v>
      </c>
      <c r="G177" s="15" t="s">
        <v>114</v>
      </c>
      <c r="H177" s="15" t="s">
        <v>1111</v>
      </c>
      <c r="J177" s="18" t="s">
        <v>115</v>
      </c>
      <c r="W177" s="15">
        <v>223</v>
      </c>
      <c r="X177" s="15">
        <v>39</v>
      </c>
      <c r="Y177" s="15" t="s">
        <v>2458</v>
      </c>
      <c r="Z177" s="15" t="s">
        <v>2458</v>
      </c>
      <c r="AA177" s="15" t="s">
        <v>2459</v>
      </c>
      <c r="AB177" s="15" t="s">
        <v>2691</v>
      </c>
      <c r="AC177" s="15" t="s">
        <v>2691</v>
      </c>
      <c r="AD177" s="15" t="s">
        <v>2692</v>
      </c>
      <c r="AE177" s="20" t="s">
        <v>2311</v>
      </c>
      <c r="AF177" s="32" t="s">
        <v>2692</v>
      </c>
      <c r="AG177" s="33" t="s">
        <v>2691</v>
      </c>
      <c r="AH177" s="20" t="s">
        <v>2693</v>
      </c>
      <c r="AL177" s="15" t="s">
        <v>2694</v>
      </c>
      <c r="AN177" s="15">
        <v>3639</v>
      </c>
      <c r="AO177" s="15" t="s">
        <v>2695</v>
      </c>
      <c r="AQ177" s="20" t="s">
        <v>2653</v>
      </c>
      <c r="AT177" s="15" t="s">
        <v>2696</v>
      </c>
      <c r="AU177" s="15" t="s">
        <v>2697</v>
      </c>
      <c r="AV177" s="15" t="s">
        <v>2697</v>
      </c>
      <c r="AW177" s="15" t="s">
        <v>2698</v>
      </c>
      <c r="AX177" s="15" t="s">
        <v>2698</v>
      </c>
      <c r="AY177" s="15">
        <f t="shared" si="5"/>
        <v>53</v>
      </c>
      <c r="AZ177" s="15" t="s">
        <v>2657</v>
      </c>
      <c r="BA177" s="15" t="s">
        <v>926</v>
      </c>
      <c r="BB177" s="15" t="s">
        <v>2658</v>
      </c>
      <c r="BC177" s="15">
        <v>2</v>
      </c>
      <c r="BE177" s="15" t="s">
        <v>1350</v>
      </c>
      <c r="BF177" s="15" t="s">
        <v>2699</v>
      </c>
      <c r="BJ177" s="15" t="s">
        <v>2700</v>
      </c>
      <c r="BR177" s="15" t="s">
        <v>2661</v>
      </c>
      <c r="BS177" s="15" t="s">
        <v>2701</v>
      </c>
      <c r="DH177" s="15" t="s">
        <v>4597</v>
      </c>
      <c r="DI177" s="15" t="s">
        <v>4597</v>
      </c>
    </row>
    <row r="178" spans="1:113" s="15" customFormat="1" ht="12.75" x14ac:dyDescent="0.2">
      <c r="A178" s="15" t="s">
        <v>109</v>
      </c>
      <c r="B178" s="16" t="s">
        <v>2287</v>
      </c>
      <c r="C178" s="15" t="s">
        <v>2288</v>
      </c>
      <c r="D178" s="15" t="s">
        <v>2457</v>
      </c>
      <c r="E178" s="15" t="s">
        <v>113</v>
      </c>
      <c r="F178" s="15" t="s">
        <v>2457</v>
      </c>
      <c r="G178" s="15" t="s">
        <v>114</v>
      </c>
      <c r="H178" s="15" t="s">
        <v>1111</v>
      </c>
      <c r="J178" s="18" t="s">
        <v>115</v>
      </c>
      <c r="W178" s="15">
        <v>224</v>
      </c>
      <c r="X178" s="15">
        <v>40</v>
      </c>
      <c r="Y178" s="15" t="s">
        <v>2458</v>
      </c>
      <c r="Z178" s="15" t="s">
        <v>2458</v>
      </c>
      <c r="AA178" s="15" t="s">
        <v>2459</v>
      </c>
      <c r="AB178" s="15" t="s">
        <v>2702</v>
      </c>
      <c r="AC178" s="15" t="s">
        <v>2702</v>
      </c>
      <c r="AD178" s="15" t="s">
        <v>2703</v>
      </c>
      <c r="AE178" s="20" t="s">
        <v>2311</v>
      </c>
      <c r="AF178" s="32" t="s">
        <v>2703</v>
      </c>
      <c r="AG178" s="33" t="s">
        <v>2702</v>
      </c>
      <c r="AH178" s="20" t="s">
        <v>2704</v>
      </c>
      <c r="AL178" s="15" t="s">
        <v>2705</v>
      </c>
      <c r="AN178" s="15">
        <v>3639</v>
      </c>
      <c r="AO178" s="15" t="s">
        <v>2706</v>
      </c>
      <c r="AQ178" s="20" t="s">
        <v>2653</v>
      </c>
      <c r="AT178" s="15" t="s">
        <v>2707</v>
      </c>
      <c r="AU178" s="15" t="s">
        <v>2708</v>
      </c>
      <c r="AV178" s="15" t="s">
        <v>2708</v>
      </c>
      <c r="AW178" s="15" t="s">
        <v>2709</v>
      </c>
      <c r="AX178" s="15" t="s">
        <v>2709</v>
      </c>
      <c r="AY178" s="15">
        <f t="shared" si="5"/>
        <v>54</v>
      </c>
      <c r="AZ178" s="15" t="s">
        <v>2657</v>
      </c>
      <c r="BA178" s="15" t="s">
        <v>926</v>
      </c>
      <c r="BB178" s="15" t="s">
        <v>2658</v>
      </c>
      <c r="BC178" s="15">
        <v>3</v>
      </c>
      <c r="BE178" s="15" t="s">
        <v>1350</v>
      </c>
      <c r="BF178" s="15" t="s">
        <v>2710</v>
      </c>
      <c r="BJ178" s="15" t="s">
        <v>2700</v>
      </c>
      <c r="BR178" s="15" t="s">
        <v>2661</v>
      </c>
      <c r="BS178" s="15" t="s">
        <v>2711</v>
      </c>
      <c r="DH178" s="15" t="s">
        <v>4597</v>
      </c>
      <c r="DI178" s="15" t="s">
        <v>4597</v>
      </c>
    </row>
    <row r="179" spans="1:113" s="15" customFormat="1" ht="12.75" x14ac:dyDescent="0.2">
      <c r="A179" s="15" t="s">
        <v>109</v>
      </c>
      <c r="B179" s="16" t="s">
        <v>2287</v>
      </c>
      <c r="C179" s="15" t="s">
        <v>2288</v>
      </c>
      <c r="D179" s="15" t="s">
        <v>2457</v>
      </c>
      <c r="E179" s="15" t="s">
        <v>113</v>
      </c>
      <c r="F179" s="15" t="s">
        <v>2457</v>
      </c>
      <c r="G179" s="15" t="s">
        <v>114</v>
      </c>
      <c r="H179" s="15" t="s">
        <v>1111</v>
      </c>
      <c r="J179" s="18" t="s">
        <v>115</v>
      </c>
      <c r="W179" s="15">
        <v>225</v>
      </c>
      <c r="X179" s="15">
        <v>41</v>
      </c>
      <c r="Y179" s="15" t="s">
        <v>2458</v>
      </c>
      <c r="Z179" s="15" t="s">
        <v>2458</v>
      </c>
      <c r="AA179" s="15" t="s">
        <v>2459</v>
      </c>
      <c r="AB179" s="15" t="s">
        <v>2712</v>
      </c>
      <c r="AC179" s="15" t="s">
        <v>2712</v>
      </c>
      <c r="AD179" s="15" t="s">
        <v>2713</v>
      </c>
      <c r="AE179" s="20" t="s">
        <v>2311</v>
      </c>
      <c r="AF179" s="32" t="s">
        <v>2713</v>
      </c>
      <c r="AG179" s="33" t="s">
        <v>2712</v>
      </c>
      <c r="AH179" s="20" t="s">
        <v>2714</v>
      </c>
      <c r="AL179" s="15" t="s">
        <v>2715</v>
      </c>
      <c r="AN179" s="15">
        <v>3639</v>
      </c>
      <c r="AO179" s="15" t="s">
        <v>2716</v>
      </c>
      <c r="AQ179" s="20" t="s">
        <v>2653</v>
      </c>
      <c r="AT179" s="15" t="s">
        <v>2717</v>
      </c>
      <c r="AU179" s="15" t="s">
        <v>2718</v>
      </c>
      <c r="AV179" s="15" t="s">
        <v>2718</v>
      </c>
      <c r="AW179" s="15" t="s">
        <v>2719</v>
      </c>
      <c r="AX179" s="15" t="s">
        <v>2719</v>
      </c>
      <c r="AY179" s="15">
        <f t="shared" si="5"/>
        <v>55</v>
      </c>
      <c r="AZ179" s="15" t="s">
        <v>2657</v>
      </c>
      <c r="BA179" s="15" t="s">
        <v>926</v>
      </c>
      <c r="BB179" s="15" t="s">
        <v>2658</v>
      </c>
      <c r="BC179" s="15">
        <v>5</v>
      </c>
      <c r="BE179" s="15" t="s">
        <v>1350</v>
      </c>
      <c r="BF179" s="15" t="s">
        <v>2720</v>
      </c>
      <c r="BJ179" s="15" t="s">
        <v>2700</v>
      </c>
      <c r="BR179" s="15" t="s">
        <v>2661</v>
      </c>
      <c r="BS179" s="15" t="s">
        <v>2721</v>
      </c>
      <c r="DH179" s="15" t="s">
        <v>4597</v>
      </c>
      <c r="DI179" s="15" t="s">
        <v>4597</v>
      </c>
    </row>
    <row r="180" spans="1:113" s="15" customFormat="1" ht="12.75" x14ac:dyDescent="0.2">
      <c r="A180" s="15" t="s">
        <v>109</v>
      </c>
      <c r="B180" s="16" t="s">
        <v>2287</v>
      </c>
      <c r="C180" s="15" t="s">
        <v>2288</v>
      </c>
      <c r="D180" s="15" t="s">
        <v>2457</v>
      </c>
      <c r="E180" s="15" t="s">
        <v>113</v>
      </c>
      <c r="F180" s="15" t="s">
        <v>2457</v>
      </c>
      <c r="G180" s="15" t="s">
        <v>114</v>
      </c>
      <c r="H180" s="15" t="s">
        <v>1111</v>
      </c>
      <c r="J180" s="18" t="s">
        <v>115</v>
      </c>
      <c r="W180" s="15">
        <v>226</v>
      </c>
      <c r="X180" s="15">
        <v>42</v>
      </c>
      <c r="Y180" s="15" t="s">
        <v>2458</v>
      </c>
      <c r="Z180" s="15" t="s">
        <v>2458</v>
      </c>
      <c r="AA180" s="15" t="s">
        <v>2459</v>
      </c>
      <c r="AB180" s="15" t="s">
        <v>2722</v>
      </c>
      <c r="AC180" s="15" t="s">
        <v>2722</v>
      </c>
      <c r="AD180" s="15" t="s">
        <v>2723</v>
      </c>
      <c r="AE180" s="20" t="s">
        <v>2311</v>
      </c>
      <c r="AF180" s="32" t="s">
        <v>2723</v>
      </c>
      <c r="AG180" s="33" t="s">
        <v>2722</v>
      </c>
      <c r="AH180" s="20" t="s">
        <v>2724</v>
      </c>
      <c r="AL180" s="15" t="s">
        <v>2725</v>
      </c>
      <c r="AN180" s="15">
        <v>3639</v>
      </c>
      <c r="AO180" s="15" t="s">
        <v>2726</v>
      </c>
      <c r="AQ180" s="20" t="s">
        <v>2653</v>
      </c>
      <c r="AT180" s="15" t="s">
        <v>2727</v>
      </c>
      <c r="AU180" s="15" t="s">
        <v>2728</v>
      </c>
      <c r="AV180" s="15" t="s">
        <v>2728</v>
      </c>
      <c r="AW180" s="15" t="s">
        <v>2729</v>
      </c>
      <c r="AX180" s="15" t="s">
        <v>2729</v>
      </c>
      <c r="AY180" s="15">
        <f t="shared" si="5"/>
        <v>53</v>
      </c>
      <c r="AZ180" s="15" t="s">
        <v>2657</v>
      </c>
      <c r="BA180" s="15" t="s">
        <v>926</v>
      </c>
      <c r="BB180" s="15" t="s">
        <v>2658</v>
      </c>
      <c r="BC180" s="15">
        <v>0</v>
      </c>
      <c r="BE180" s="15" t="s">
        <v>1350</v>
      </c>
      <c r="BF180" s="15" t="s">
        <v>2730</v>
      </c>
      <c r="BJ180" s="15" t="s">
        <v>2731</v>
      </c>
      <c r="BR180" s="15" t="s">
        <v>2661</v>
      </c>
      <c r="BS180" s="15" t="s">
        <v>2555</v>
      </c>
      <c r="DH180" s="15" t="s">
        <v>4597</v>
      </c>
      <c r="DI180" s="15" t="s">
        <v>4597</v>
      </c>
    </row>
    <row r="181" spans="1:113" s="15" customFormat="1" ht="12.75" x14ac:dyDescent="0.2">
      <c r="A181" s="15" t="s">
        <v>109</v>
      </c>
      <c r="B181" s="16" t="s">
        <v>2287</v>
      </c>
      <c r="C181" s="15" t="s">
        <v>2288</v>
      </c>
      <c r="D181" s="15" t="s">
        <v>2457</v>
      </c>
      <c r="E181" s="15" t="s">
        <v>113</v>
      </c>
      <c r="F181" s="15" t="s">
        <v>2457</v>
      </c>
      <c r="G181" s="15" t="s">
        <v>114</v>
      </c>
      <c r="H181" s="15" t="s">
        <v>1111</v>
      </c>
      <c r="J181" s="18" t="s">
        <v>115</v>
      </c>
      <c r="W181" s="15">
        <v>227</v>
      </c>
      <c r="X181" s="15">
        <v>43</v>
      </c>
      <c r="Y181" s="15" t="s">
        <v>2458</v>
      </c>
      <c r="Z181" s="15" t="s">
        <v>2458</v>
      </c>
      <c r="AA181" s="15" t="s">
        <v>2459</v>
      </c>
      <c r="AB181" s="15" t="s">
        <v>2732</v>
      </c>
      <c r="AC181" s="15" t="s">
        <v>2732</v>
      </c>
      <c r="AD181" s="15" t="s">
        <v>2733</v>
      </c>
      <c r="AE181" s="20" t="s">
        <v>2311</v>
      </c>
      <c r="AF181" s="32" t="s">
        <v>2733</v>
      </c>
      <c r="AG181" s="33" t="s">
        <v>2732</v>
      </c>
      <c r="AH181" s="20" t="s">
        <v>2734</v>
      </c>
      <c r="AL181" s="15" t="s">
        <v>2735</v>
      </c>
      <c r="AN181" s="15">
        <v>3639</v>
      </c>
      <c r="AO181" s="15" t="s">
        <v>2736</v>
      </c>
      <c r="AQ181" s="20" t="s">
        <v>2653</v>
      </c>
      <c r="AT181" s="15" t="s">
        <v>2737</v>
      </c>
      <c r="AU181" s="15" t="s">
        <v>2738</v>
      </c>
      <c r="AV181" s="15" t="s">
        <v>2738</v>
      </c>
      <c r="AW181" s="15" t="s">
        <v>2739</v>
      </c>
      <c r="AX181" s="15" t="s">
        <v>2739</v>
      </c>
      <c r="AY181" s="15">
        <f t="shared" si="5"/>
        <v>53</v>
      </c>
      <c r="AZ181" s="15" t="s">
        <v>2657</v>
      </c>
      <c r="BA181" s="15" t="s">
        <v>926</v>
      </c>
      <c r="BB181" s="15" t="s">
        <v>2658</v>
      </c>
      <c r="BC181" s="15">
        <v>1</v>
      </c>
      <c r="BE181" s="15" t="s">
        <v>1350</v>
      </c>
      <c r="BF181" s="15" t="s">
        <v>2740</v>
      </c>
      <c r="BJ181" s="15" t="s">
        <v>2731</v>
      </c>
      <c r="BR181" s="15" t="s">
        <v>2741</v>
      </c>
      <c r="BS181" s="15" t="s">
        <v>2742</v>
      </c>
      <c r="DH181" s="15" t="s">
        <v>4597</v>
      </c>
      <c r="DI181" s="15" t="s">
        <v>4597</v>
      </c>
    </row>
    <row r="182" spans="1:113" s="15" customFormat="1" ht="12.75" x14ac:dyDescent="0.2">
      <c r="A182" s="15" t="s">
        <v>109</v>
      </c>
      <c r="B182" s="16" t="s">
        <v>2287</v>
      </c>
      <c r="C182" s="15" t="s">
        <v>2288</v>
      </c>
      <c r="D182" s="15" t="s">
        <v>2457</v>
      </c>
      <c r="E182" s="15" t="s">
        <v>113</v>
      </c>
      <c r="F182" s="15" t="s">
        <v>2457</v>
      </c>
      <c r="G182" s="15" t="s">
        <v>114</v>
      </c>
      <c r="H182" s="15" t="s">
        <v>1111</v>
      </c>
      <c r="J182" s="18" t="s">
        <v>115</v>
      </c>
      <c r="W182" s="15">
        <v>228</v>
      </c>
      <c r="X182" s="15">
        <v>44</v>
      </c>
      <c r="Y182" s="15" t="s">
        <v>2458</v>
      </c>
      <c r="Z182" s="15" t="s">
        <v>2458</v>
      </c>
      <c r="AA182" s="15" t="s">
        <v>2459</v>
      </c>
      <c r="AB182" s="15" t="s">
        <v>2743</v>
      </c>
      <c r="AC182" s="15" t="s">
        <v>2743</v>
      </c>
      <c r="AD182" s="15" t="s">
        <v>2744</v>
      </c>
      <c r="AE182" s="20" t="s">
        <v>2311</v>
      </c>
      <c r="AF182" s="32" t="s">
        <v>2744</v>
      </c>
      <c r="AG182" s="33" t="s">
        <v>2743</v>
      </c>
      <c r="AH182" s="20" t="s">
        <v>2745</v>
      </c>
      <c r="AL182" s="15" t="s">
        <v>2746</v>
      </c>
      <c r="AN182" s="15">
        <v>3639</v>
      </c>
      <c r="AO182" s="15" t="s">
        <v>2747</v>
      </c>
      <c r="AQ182" s="20" t="s">
        <v>2653</v>
      </c>
      <c r="AT182" s="15" t="s">
        <v>2748</v>
      </c>
      <c r="AU182" s="15" t="s">
        <v>2749</v>
      </c>
      <c r="AV182" s="15" t="s">
        <v>2749</v>
      </c>
      <c r="AW182" s="15" t="s">
        <v>2750</v>
      </c>
      <c r="AX182" s="15" t="s">
        <v>2751</v>
      </c>
      <c r="AY182" s="15">
        <f t="shared" si="5"/>
        <v>56</v>
      </c>
      <c r="AZ182" s="15" t="s">
        <v>2657</v>
      </c>
      <c r="BA182" s="15" t="s">
        <v>926</v>
      </c>
      <c r="BB182" s="15" t="s">
        <v>2658</v>
      </c>
      <c r="BC182" s="15">
        <v>4</v>
      </c>
      <c r="BE182" s="15" t="s">
        <v>1350</v>
      </c>
      <c r="BF182" s="15" t="s">
        <v>2752</v>
      </c>
      <c r="BJ182" s="15" t="s">
        <v>2753</v>
      </c>
      <c r="BR182" s="15" t="s">
        <v>2661</v>
      </c>
      <c r="BS182" s="15" t="s">
        <v>2701</v>
      </c>
      <c r="DH182" s="15" t="s">
        <v>4597</v>
      </c>
      <c r="DI182" s="15" t="s">
        <v>4597</v>
      </c>
    </row>
    <row r="183" spans="1:113" s="15" customFormat="1" ht="12.75" x14ac:dyDescent="0.2">
      <c r="A183" s="15" t="s">
        <v>109</v>
      </c>
      <c r="B183" s="16" t="s">
        <v>2287</v>
      </c>
      <c r="C183" s="15" t="s">
        <v>2288</v>
      </c>
      <c r="D183" s="15" t="s">
        <v>2457</v>
      </c>
      <c r="E183" s="15" t="s">
        <v>113</v>
      </c>
      <c r="F183" s="15" t="s">
        <v>2457</v>
      </c>
      <c r="G183" s="15" t="s">
        <v>114</v>
      </c>
      <c r="H183" s="15" t="s">
        <v>1111</v>
      </c>
      <c r="J183" s="18" t="s">
        <v>115</v>
      </c>
      <c r="W183" s="15">
        <v>229</v>
      </c>
      <c r="X183" s="15">
        <v>45</v>
      </c>
      <c r="Y183" s="15" t="s">
        <v>2458</v>
      </c>
      <c r="Z183" s="15" t="s">
        <v>2458</v>
      </c>
      <c r="AA183" s="15" t="s">
        <v>2459</v>
      </c>
      <c r="AB183" s="15" t="s">
        <v>2754</v>
      </c>
      <c r="AC183" s="15" t="s">
        <v>2754</v>
      </c>
      <c r="AD183" s="15" t="s">
        <v>2755</v>
      </c>
      <c r="AE183" s="20" t="s">
        <v>2311</v>
      </c>
      <c r="AF183" s="32" t="s">
        <v>2755</v>
      </c>
      <c r="AG183" s="33" t="s">
        <v>2754</v>
      </c>
      <c r="AH183" s="20" t="s">
        <v>2756</v>
      </c>
      <c r="AL183" s="15" t="s">
        <v>2757</v>
      </c>
      <c r="AN183" s="15">
        <v>3639</v>
      </c>
      <c r="AO183" s="15" t="s">
        <v>2758</v>
      </c>
      <c r="AQ183" s="20" t="s">
        <v>2437</v>
      </c>
      <c r="AT183" s="15" t="s">
        <v>2757</v>
      </c>
      <c r="AU183" s="15" t="s">
        <v>2759</v>
      </c>
      <c r="AV183" s="15" t="s">
        <v>2759</v>
      </c>
      <c r="AW183" s="15" t="s">
        <v>2760</v>
      </c>
      <c r="AX183" s="15" t="s">
        <v>2760</v>
      </c>
      <c r="AY183" s="15">
        <f t="shared" si="5"/>
        <v>45</v>
      </c>
      <c r="AZ183" s="15" t="s">
        <v>2441</v>
      </c>
      <c r="BA183" s="15" t="s">
        <v>926</v>
      </c>
      <c r="BB183" s="15" t="s">
        <v>2761</v>
      </c>
      <c r="BE183" s="15" t="s">
        <v>2453</v>
      </c>
      <c r="BJ183" s="15" t="s">
        <v>2762</v>
      </c>
      <c r="BN183" s="15" t="s">
        <v>511</v>
      </c>
      <c r="BP183" s="15" t="s">
        <v>346</v>
      </c>
      <c r="BS183" s="15" t="s">
        <v>2763</v>
      </c>
      <c r="DH183" s="15" t="s">
        <v>4597</v>
      </c>
      <c r="DI183" s="15" t="s">
        <v>4597</v>
      </c>
    </row>
    <row r="184" spans="1:113" s="15" customFormat="1" ht="12.75" x14ac:dyDescent="0.2">
      <c r="A184" s="15" t="s">
        <v>109</v>
      </c>
      <c r="B184" s="16" t="s">
        <v>2287</v>
      </c>
      <c r="C184" s="15" t="s">
        <v>2288</v>
      </c>
      <c r="D184" s="15" t="s">
        <v>2457</v>
      </c>
      <c r="E184" s="15" t="s">
        <v>113</v>
      </c>
      <c r="F184" s="15" t="s">
        <v>2457</v>
      </c>
      <c r="G184" s="15" t="s">
        <v>114</v>
      </c>
      <c r="H184" s="15" t="s">
        <v>1111</v>
      </c>
      <c r="J184" s="18" t="s">
        <v>115</v>
      </c>
      <c r="W184" s="15">
        <v>230</v>
      </c>
      <c r="X184" s="15">
        <v>46</v>
      </c>
      <c r="Y184" s="15" t="s">
        <v>2458</v>
      </c>
      <c r="Z184" s="15" t="s">
        <v>2458</v>
      </c>
      <c r="AA184" s="15" t="s">
        <v>2459</v>
      </c>
      <c r="AB184" s="15" t="s">
        <v>2764</v>
      </c>
      <c r="AC184" s="15" t="s">
        <v>2764</v>
      </c>
      <c r="AD184" s="15" t="s">
        <v>2765</v>
      </c>
      <c r="AE184" s="20" t="s">
        <v>2311</v>
      </c>
      <c r="AF184" s="32" t="s">
        <v>2765</v>
      </c>
      <c r="AG184" s="33" t="s">
        <v>2764</v>
      </c>
      <c r="AH184" s="20" t="s">
        <v>2766</v>
      </c>
      <c r="AL184" s="15" t="s">
        <v>2767</v>
      </c>
      <c r="AN184" s="15">
        <v>3639</v>
      </c>
      <c r="AO184" s="15" t="s">
        <v>2768</v>
      </c>
      <c r="AQ184" s="20" t="s">
        <v>2437</v>
      </c>
      <c r="AT184" s="15" t="s">
        <v>2767</v>
      </c>
      <c r="AU184" s="15" t="s">
        <v>2769</v>
      </c>
      <c r="AV184" s="15" t="s">
        <v>2769</v>
      </c>
      <c r="AW184" s="15" t="s">
        <v>2770</v>
      </c>
      <c r="AX184" s="15" t="s">
        <v>2770</v>
      </c>
      <c r="AY184" s="15">
        <f t="shared" si="5"/>
        <v>47</v>
      </c>
      <c r="AZ184" s="15" t="s">
        <v>2441</v>
      </c>
      <c r="BA184" s="15" t="s">
        <v>926</v>
      </c>
      <c r="BB184" s="15" t="s">
        <v>2761</v>
      </c>
      <c r="BE184" s="15" t="s">
        <v>2442</v>
      </c>
      <c r="BJ184" s="15" t="s">
        <v>2762</v>
      </c>
      <c r="BN184" s="15" t="s">
        <v>511</v>
      </c>
      <c r="BP184" s="15" t="s">
        <v>346</v>
      </c>
      <c r="BS184" s="15" t="s">
        <v>2771</v>
      </c>
      <c r="DH184" s="15" t="s">
        <v>4597</v>
      </c>
      <c r="DI184" s="15" t="s">
        <v>4597</v>
      </c>
    </row>
    <row r="185" spans="1:113" s="15" customFormat="1" ht="12.75" x14ac:dyDescent="0.2">
      <c r="A185" s="15" t="s">
        <v>109</v>
      </c>
      <c r="B185" s="16" t="s">
        <v>2287</v>
      </c>
      <c r="C185" s="15" t="s">
        <v>2288</v>
      </c>
      <c r="D185" s="15" t="s">
        <v>2457</v>
      </c>
      <c r="E185" s="15" t="s">
        <v>1337</v>
      </c>
      <c r="F185" s="15" t="s">
        <v>2457</v>
      </c>
      <c r="G185" s="15" t="s">
        <v>114</v>
      </c>
      <c r="H185" s="15" t="s">
        <v>1111</v>
      </c>
      <c r="J185" s="18" t="s">
        <v>115</v>
      </c>
      <c r="W185" s="15">
        <v>231</v>
      </c>
      <c r="X185" s="15">
        <v>47</v>
      </c>
      <c r="Y185" s="15" t="s">
        <v>2458</v>
      </c>
      <c r="Z185" s="15" t="s">
        <v>2458</v>
      </c>
      <c r="AA185" s="15" t="s">
        <v>2459</v>
      </c>
      <c r="AB185" s="15" t="s">
        <v>2772</v>
      </c>
      <c r="AC185" s="15" t="s">
        <v>2772</v>
      </c>
      <c r="AD185" s="15" t="s">
        <v>2773</v>
      </c>
      <c r="AE185" s="20" t="s">
        <v>2311</v>
      </c>
      <c r="AF185" s="32" t="s">
        <v>2773</v>
      </c>
      <c r="AG185" s="33" t="s">
        <v>2772</v>
      </c>
      <c r="AH185" s="20" t="s">
        <v>2774</v>
      </c>
      <c r="AL185" s="15" t="s">
        <v>2775</v>
      </c>
      <c r="AN185" s="15">
        <v>3639</v>
      </c>
      <c r="AO185" s="15" t="s">
        <v>2776</v>
      </c>
      <c r="AQ185" s="20" t="s">
        <v>2437</v>
      </c>
      <c r="AT185" s="15" t="s">
        <v>2777</v>
      </c>
      <c r="AU185" s="15" t="s">
        <v>2778</v>
      </c>
      <c r="AV185" s="15" t="s">
        <v>2778</v>
      </c>
      <c r="AW185" s="15" t="s">
        <v>2779</v>
      </c>
      <c r="AX185" s="15" t="s">
        <v>2779</v>
      </c>
      <c r="AY185" s="15">
        <f t="shared" si="5"/>
        <v>47</v>
      </c>
      <c r="AZ185" s="15" t="s">
        <v>2441</v>
      </c>
      <c r="BA185" s="15" t="s">
        <v>926</v>
      </c>
      <c r="BB185" s="15" t="s">
        <v>2761</v>
      </c>
      <c r="BE185" s="15" t="s">
        <v>2780</v>
      </c>
      <c r="BJ185" s="15" t="s">
        <v>2762</v>
      </c>
      <c r="BN185" s="15" t="s">
        <v>511</v>
      </c>
      <c r="BP185" s="15" t="s">
        <v>346</v>
      </c>
      <c r="BS185" s="15" t="s">
        <v>2781</v>
      </c>
      <c r="DH185" s="15" t="s">
        <v>4597</v>
      </c>
      <c r="DI185" s="15" t="s">
        <v>4597</v>
      </c>
    </row>
    <row r="186" spans="1:113" s="15" customFormat="1" ht="12.75" x14ac:dyDescent="0.2">
      <c r="A186" s="15" t="s">
        <v>109</v>
      </c>
      <c r="B186" s="16" t="s">
        <v>2287</v>
      </c>
      <c r="C186" s="15" t="s">
        <v>2288</v>
      </c>
      <c r="D186" s="15" t="s">
        <v>2457</v>
      </c>
      <c r="E186" s="15" t="s">
        <v>1337</v>
      </c>
      <c r="F186" s="15" t="s">
        <v>2457</v>
      </c>
      <c r="G186" s="15" t="s">
        <v>114</v>
      </c>
      <c r="H186" s="15" t="s">
        <v>1111</v>
      </c>
      <c r="J186" s="18" t="s">
        <v>115</v>
      </c>
      <c r="W186" s="15">
        <v>232</v>
      </c>
      <c r="X186" s="15">
        <v>48</v>
      </c>
      <c r="Y186" s="15" t="s">
        <v>2458</v>
      </c>
      <c r="Z186" s="15" t="s">
        <v>2458</v>
      </c>
      <c r="AA186" s="15" t="s">
        <v>2459</v>
      </c>
      <c r="AB186" s="15" t="s">
        <v>2782</v>
      </c>
      <c r="AC186" s="15" t="s">
        <v>2782</v>
      </c>
      <c r="AD186" s="15" t="s">
        <v>2783</v>
      </c>
      <c r="AE186" s="20" t="s">
        <v>2311</v>
      </c>
      <c r="AF186" s="32" t="s">
        <v>2783</v>
      </c>
      <c r="AG186" s="33" t="s">
        <v>2782</v>
      </c>
      <c r="AH186" s="20" t="s">
        <v>2784</v>
      </c>
      <c r="AL186" s="15" t="s">
        <v>2785</v>
      </c>
      <c r="AN186" s="15">
        <v>3639</v>
      </c>
      <c r="AO186" s="15" t="s">
        <v>2786</v>
      </c>
      <c r="AQ186" s="20" t="s">
        <v>2437</v>
      </c>
      <c r="AT186" s="15" t="s">
        <v>2785</v>
      </c>
      <c r="AU186" s="15" t="s">
        <v>2787</v>
      </c>
      <c r="AV186" s="15" t="s">
        <v>2787</v>
      </c>
      <c r="AW186" s="15" t="s">
        <v>2788</v>
      </c>
      <c r="AX186" s="15" t="s">
        <v>2788</v>
      </c>
      <c r="AY186" s="15">
        <f t="shared" si="5"/>
        <v>46</v>
      </c>
      <c r="AZ186" s="15" t="s">
        <v>2441</v>
      </c>
      <c r="BA186" s="15" t="s">
        <v>926</v>
      </c>
      <c r="BB186" s="15" t="s">
        <v>2761</v>
      </c>
      <c r="BE186" s="15" t="s">
        <v>2789</v>
      </c>
      <c r="BJ186" s="15" t="s">
        <v>2762</v>
      </c>
      <c r="BN186" s="15" t="s">
        <v>511</v>
      </c>
      <c r="BP186" s="15" t="s">
        <v>346</v>
      </c>
      <c r="BS186" s="15" t="s">
        <v>2790</v>
      </c>
      <c r="DH186" s="15" t="s">
        <v>4597</v>
      </c>
      <c r="DI186" s="15" t="s">
        <v>4597</v>
      </c>
    </row>
    <row r="187" spans="1:113" s="15" customFormat="1" ht="12.75" x14ac:dyDescent="0.2">
      <c r="A187" s="15" t="s">
        <v>109</v>
      </c>
      <c r="B187" s="16" t="s">
        <v>2287</v>
      </c>
      <c r="C187" s="15" t="s">
        <v>2288</v>
      </c>
      <c r="D187" s="15" t="s">
        <v>2457</v>
      </c>
      <c r="E187" s="15" t="s">
        <v>113</v>
      </c>
      <c r="F187" s="15" t="s">
        <v>2457</v>
      </c>
      <c r="G187" s="15" t="s">
        <v>114</v>
      </c>
      <c r="H187" s="15" t="s">
        <v>1111</v>
      </c>
      <c r="J187" s="18" t="s">
        <v>115</v>
      </c>
      <c r="W187" s="15">
        <v>233</v>
      </c>
      <c r="X187" s="15">
        <v>49</v>
      </c>
      <c r="Y187" s="15" t="s">
        <v>2458</v>
      </c>
      <c r="Z187" s="15" t="s">
        <v>2458</v>
      </c>
      <c r="AA187" s="15" t="s">
        <v>2459</v>
      </c>
      <c r="AB187" s="15" t="s">
        <v>2791</v>
      </c>
      <c r="AC187" s="15" t="s">
        <v>2791</v>
      </c>
      <c r="AD187" s="15" t="s">
        <v>2792</v>
      </c>
      <c r="AE187" s="20" t="s">
        <v>2311</v>
      </c>
      <c r="AF187" s="32" t="s">
        <v>2792</v>
      </c>
      <c r="AG187" s="33" t="s">
        <v>2791</v>
      </c>
      <c r="AH187" s="20" t="s">
        <v>2793</v>
      </c>
      <c r="AL187" s="15" t="s">
        <v>2794</v>
      </c>
      <c r="AN187" s="15">
        <v>3639</v>
      </c>
      <c r="AO187" s="15" t="s">
        <v>2795</v>
      </c>
      <c r="AQ187" s="20" t="s">
        <v>2796</v>
      </c>
      <c r="AT187" s="15" t="s">
        <v>2794</v>
      </c>
      <c r="AU187" s="15" t="s">
        <v>2797</v>
      </c>
      <c r="AV187" s="15" t="s">
        <v>2797</v>
      </c>
      <c r="AW187" s="15" t="s">
        <v>2798</v>
      </c>
      <c r="AX187" s="15" t="s">
        <v>2798</v>
      </c>
      <c r="AY187" s="15">
        <f t="shared" si="5"/>
        <v>43</v>
      </c>
      <c r="AZ187" s="15" t="s">
        <v>2799</v>
      </c>
      <c r="BA187" s="15" t="s">
        <v>926</v>
      </c>
      <c r="BB187" s="15" t="s">
        <v>2800</v>
      </c>
      <c r="BC187" s="37" t="s">
        <v>2801</v>
      </c>
      <c r="BF187" s="37"/>
      <c r="BJ187" s="15" t="s">
        <v>2802</v>
      </c>
      <c r="BN187" s="15" t="s">
        <v>511</v>
      </c>
      <c r="BP187" s="15" t="s">
        <v>346</v>
      </c>
      <c r="BS187" s="15" t="s">
        <v>2803</v>
      </c>
      <c r="DH187" s="15" t="s">
        <v>4597</v>
      </c>
      <c r="DI187" s="15" t="s">
        <v>4597</v>
      </c>
    </row>
    <row r="188" spans="1:113" s="15" customFormat="1" ht="12.75" x14ac:dyDescent="0.2">
      <c r="A188" s="15" t="s">
        <v>109</v>
      </c>
      <c r="B188" s="16" t="s">
        <v>2287</v>
      </c>
      <c r="C188" s="15" t="s">
        <v>2288</v>
      </c>
      <c r="D188" s="15" t="s">
        <v>2457</v>
      </c>
      <c r="E188" s="15" t="s">
        <v>113</v>
      </c>
      <c r="F188" s="15" t="s">
        <v>2457</v>
      </c>
      <c r="G188" s="15" t="s">
        <v>114</v>
      </c>
      <c r="H188" s="15" t="s">
        <v>1111</v>
      </c>
      <c r="J188" s="18" t="s">
        <v>115</v>
      </c>
      <c r="W188" s="15">
        <v>234</v>
      </c>
      <c r="X188" s="15">
        <v>50</v>
      </c>
      <c r="Y188" s="15" t="s">
        <v>2458</v>
      </c>
      <c r="Z188" s="15" t="s">
        <v>2458</v>
      </c>
      <c r="AA188" s="15" t="s">
        <v>2459</v>
      </c>
      <c r="AB188" s="15" t="s">
        <v>2804</v>
      </c>
      <c r="AC188" s="15" t="s">
        <v>2804</v>
      </c>
      <c r="AD188" s="15" t="s">
        <v>2805</v>
      </c>
      <c r="AE188" s="20" t="s">
        <v>2311</v>
      </c>
      <c r="AF188" s="32" t="s">
        <v>2805</v>
      </c>
      <c r="AG188" s="33" t="s">
        <v>2804</v>
      </c>
      <c r="AH188" s="20" t="s">
        <v>2806</v>
      </c>
      <c r="AL188" s="15" t="s">
        <v>2807</v>
      </c>
      <c r="AN188" s="15">
        <v>3639</v>
      </c>
      <c r="AO188" s="15" t="s">
        <v>2808</v>
      </c>
      <c r="AQ188" s="20" t="s">
        <v>2796</v>
      </c>
      <c r="AT188" s="15" t="s">
        <v>2809</v>
      </c>
      <c r="AU188" s="15" t="s">
        <v>2810</v>
      </c>
      <c r="AV188" s="15" t="s">
        <v>2810</v>
      </c>
      <c r="AW188" s="15" t="s">
        <v>2811</v>
      </c>
      <c r="AX188" s="15" t="s">
        <v>2811</v>
      </c>
      <c r="AY188" s="15">
        <f t="shared" si="5"/>
        <v>50</v>
      </c>
      <c r="AZ188" s="15" t="s">
        <v>2799</v>
      </c>
      <c r="BA188" s="15" t="s">
        <v>926</v>
      </c>
      <c r="BB188" s="15" t="s">
        <v>2800</v>
      </c>
      <c r="BC188" s="15" t="s">
        <v>2812</v>
      </c>
      <c r="BE188" s="15" t="s">
        <v>2813</v>
      </c>
      <c r="BJ188" s="15" t="s">
        <v>2802</v>
      </c>
      <c r="BN188" s="15" t="s">
        <v>511</v>
      </c>
      <c r="BP188" s="15" t="s">
        <v>346</v>
      </c>
      <c r="BS188" s="15" t="s">
        <v>2814</v>
      </c>
      <c r="DH188" s="15" t="s">
        <v>4597</v>
      </c>
      <c r="DI188" s="15" t="s">
        <v>4597</v>
      </c>
    </row>
    <row r="189" spans="1:113" s="15" customFormat="1" ht="12.75" x14ac:dyDescent="0.2">
      <c r="A189" s="15" t="s">
        <v>109</v>
      </c>
      <c r="B189" s="16" t="s">
        <v>2287</v>
      </c>
      <c r="C189" s="15" t="s">
        <v>2288</v>
      </c>
      <c r="D189" s="15" t="s">
        <v>2457</v>
      </c>
      <c r="E189" s="15" t="s">
        <v>113</v>
      </c>
      <c r="F189" s="15" t="s">
        <v>2457</v>
      </c>
      <c r="G189" s="15" t="s">
        <v>114</v>
      </c>
      <c r="H189" s="15" t="s">
        <v>1111</v>
      </c>
      <c r="J189" s="18" t="s">
        <v>115</v>
      </c>
      <c r="W189" s="15">
        <v>235</v>
      </c>
      <c r="X189" s="15">
        <v>51</v>
      </c>
      <c r="Y189" s="15" t="s">
        <v>2458</v>
      </c>
      <c r="Z189" s="15" t="s">
        <v>2458</v>
      </c>
      <c r="AA189" s="15" t="s">
        <v>2459</v>
      </c>
      <c r="AB189" s="15" t="s">
        <v>2815</v>
      </c>
      <c r="AC189" s="15" t="s">
        <v>2815</v>
      </c>
      <c r="AD189" s="15" t="s">
        <v>2816</v>
      </c>
      <c r="AE189" s="20" t="s">
        <v>2311</v>
      </c>
      <c r="AF189" s="32" t="s">
        <v>2816</v>
      </c>
      <c r="AG189" s="33" t="s">
        <v>2815</v>
      </c>
      <c r="AH189" s="20" t="s">
        <v>2817</v>
      </c>
      <c r="AL189" s="15" t="s">
        <v>2818</v>
      </c>
      <c r="AN189" s="15">
        <v>3639</v>
      </c>
      <c r="AO189" s="15" t="s">
        <v>2819</v>
      </c>
      <c r="AQ189" s="20" t="s">
        <v>2820</v>
      </c>
      <c r="AT189" s="15" t="s">
        <v>2818</v>
      </c>
      <c r="AU189" s="15" t="s">
        <v>2821</v>
      </c>
      <c r="AV189" s="15" t="s">
        <v>2821</v>
      </c>
      <c r="AW189" s="15" t="s">
        <v>2822</v>
      </c>
      <c r="AX189" s="15" t="s">
        <v>2822</v>
      </c>
      <c r="AY189" s="15">
        <f t="shared" si="5"/>
        <v>60</v>
      </c>
      <c r="AZ189" s="15" t="s">
        <v>2823</v>
      </c>
      <c r="BA189" s="15" t="s">
        <v>926</v>
      </c>
      <c r="BB189" s="15" t="s">
        <v>2800</v>
      </c>
      <c r="BC189" s="15" t="s">
        <v>2033</v>
      </c>
      <c r="BE189" s="15" t="s">
        <v>2824</v>
      </c>
      <c r="BF189" s="15" t="s">
        <v>2825</v>
      </c>
      <c r="BJ189" s="15" t="s">
        <v>2826</v>
      </c>
      <c r="BN189" s="15" t="s">
        <v>511</v>
      </c>
      <c r="BP189" s="15" t="s">
        <v>346</v>
      </c>
      <c r="BS189" s="15" t="s">
        <v>2827</v>
      </c>
      <c r="DH189" s="15" t="s">
        <v>4597</v>
      </c>
      <c r="DI189" s="15" t="s">
        <v>4597</v>
      </c>
    </row>
    <row r="190" spans="1:113" s="15" customFormat="1" ht="12.75" x14ac:dyDescent="0.2">
      <c r="A190" s="15" t="s">
        <v>109</v>
      </c>
      <c r="B190" s="16" t="s">
        <v>2287</v>
      </c>
      <c r="C190" s="15" t="s">
        <v>2288</v>
      </c>
      <c r="D190" s="15" t="s">
        <v>2457</v>
      </c>
      <c r="E190" s="15" t="s">
        <v>113</v>
      </c>
      <c r="F190" s="15" t="s">
        <v>2457</v>
      </c>
      <c r="G190" s="15" t="s">
        <v>114</v>
      </c>
      <c r="H190" s="15" t="s">
        <v>1111</v>
      </c>
      <c r="J190" s="18" t="s">
        <v>115</v>
      </c>
      <c r="W190" s="15">
        <v>236</v>
      </c>
      <c r="X190" s="15">
        <v>52</v>
      </c>
      <c r="Y190" s="15" t="s">
        <v>2458</v>
      </c>
      <c r="Z190" s="15" t="s">
        <v>2458</v>
      </c>
      <c r="AA190" s="15" t="s">
        <v>2459</v>
      </c>
      <c r="AB190" s="15" t="s">
        <v>2828</v>
      </c>
      <c r="AC190" s="15" t="s">
        <v>2828</v>
      </c>
      <c r="AD190" s="15" t="s">
        <v>2829</v>
      </c>
      <c r="AE190" s="20" t="s">
        <v>2311</v>
      </c>
      <c r="AF190" s="32" t="s">
        <v>2829</v>
      </c>
      <c r="AG190" s="33" t="s">
        <v>2828</v>
      </c>
      <c r="AH190" s="20" t="s">
        <v>2830</v>
      </c>
      <c r="AL190" s="15" t="s">
        <v>2831</v>
      </c>
      <c r="AN190" s="15">
        <v>3639</v>
      </c>
      <c r="AO190" s="15" t="s">
        <v>2832</v>
      </c>
      <c r="AQ190" s="20" t="s">
        <v>2820</v>
      </c>
      <c r="AT190" s="15" t="s">
        <v>2833</v>
      </c>
      <c r="AU190" s="15" t="s">
        <v>2834</v>
      </c>
      <c r="AV190" s="15" t="s">
        <v>2834</v>
      </c>
      <c r="AW190" s="15" t="s">
        <v>2835</v>
      </c>
      <c r="AX190" s="15" t="s">
        <v>2836</v>
      </c>
      <c r="AY190" s="15">
        <f t="shared" si="5"/>
        <v>60</v>
      </c>
      <c r="AZ190" s="15" t="s">
        <v>2823</v>
      </c>
      <c r="BA190" s="15" t="s">
        <v>926</v>
      </c>
      <c r="BB190" s="15" t="s">
        <v>2800</v>
      </c>
      <c r="BC190" s="15" t="s">
        <v>2837</v>
      </c>
      <c r="BE190" s="15" t="s">
        <v>2824</v>
      </c>
      <c r="BF190" s="15" t="s">
        <v>2825</v>
      </c>
      <c r="BJ190" s="15" t="s">
        <v>2838</v>
      </c>
      <c r="BN190" s="15" t="s">
        <v>511</v>
      </c>
      <c r="BP190" s="15" t="s">
        <v>346</v>
      </c>
      <c r="BR190" s="15" t="s">
        <v>2839</v>
      </c>
      <c r="BS190" s="15" t="s">
        <v>2840</v>
      </c>
      <c r="DH190" s="15" t="s">
        <v>4597</v>
      </c>
      <c r="DI190" s="15" t="s">
        <v>4597</v>
      </c>
    </row>
    <row r="191" spans="1:113" s="15" customFormat="1" ht="12.75" x14ac:dyDescent="0.2">
      <c r="A191" s="15" t="s">
        <v>109</v>
      </c>
      <c r="B191" s="16" t="s">
        <v>2287</v>
      </c>
      <c r="C191" s="15" t="s">
        <v>2288</v>
      </c>
      <c r="D191" s="15" t="s">
        <v>2457</v>
      </c>
      <c r="E191" s="15" t="s">
        <v>113</v>
      </c>
      <c r="F191" s="15" t="s">
        <v>2457</v>
      </c>
      <c r="G191" s="15" t="s">
        <v>114</v>
      </c>
      <c r="H191" s="15" t="s">
        <v>1111</v>
      </c>
      <c r="J191" s="18" t="s">
        <v>115</v>
      </c>
      <c r="W191" s="15">
        <v>237</v>
      </c>
      <c r="X191" s="15">
        <v>53</v>
      </c>
      <c r="Y191" s="15" t="s">
        <v>2458</v>
      </c>
      <c r="Z191" s="15" t="s">
        <v>2458</v>
      </c>
      <c r="AA191" s="15" t="s">
        <v>2459</v>
      </c>
      <c r="AB191" s="15" t="s">
        <v>2841</v>
      </c>
      <c r="AC191" s="15" t="s">
        <v>2841</v>
      </c>
      <c r="AD191" s="15" t="s">
        <v>2842</v>
      </c>
      <c r="AE191" s="20" t="s">
        <v>2311</v>
      </c>
      <c r="AF191" s="32" t="s">
        <v>2842</v>
      </c>
      <c r="AG191" s="33" t="s">
        <v>2841</v>
      </c>
      <c r="AH191" s="20" t="s">
        <v>2843</v>
      </c>
      <c r="AL191" s="15" t="s">
        <v>2844</v>
      </c>
      <c r="AN191" s="15">
        <v>3639</v>
      </c>
      <c r="AO191" s="15" t="s">
        <v>2845</v>
      </c>
      <c r="AQ191" s="20" t="s">
        <v>2820</v>
      </c>
      <c r="AT191" s="15" t="s">
        <v>2846</v>
      </c>
      <c r="AU191" s="15" t="s">
        <v>2847</v>
      </c>
      <c r="AV191" s="15" t="s">
        <v>2847</v>
      </c>
      <c r="AW191" s="15" t="s">
        <v>2848</v>
      </c>
      <c r="AX191" s="15" t="s">
        <v>2849</v>
      </c>
      <c r="AY191" s="15">
        <f t="shared" si="5"/>
        <v>60</v>
      </c>
      <c r="AZ191" s="15" t="s">
        <v>2823</v>
      </c>
      <c r="BA191" s="15" t="s">
        <v>926</v>
      </c>
      <c r="BB191" s="15" t="s">
        <v>2800</v>
      </c>
      <c r="BC191" s="15" t="s">
        <v>2850</v>
      </c>
      <c r="BE191" s="15" t="s">
        <v>2824</v>
      </c>
      <c r="BF191" s="15" t="s">
        <v>2825</v>
      </c>
      <c r="BJ191" s="15" t="s">
        <v>2838</v>
      </c>
      <c r="BN191" s="15" t="s">
        <v>511</v>
      </c>
      <c r="BP191" s="15" t="s">
        <v>346</v>
      </c>
      <c r="BR191" s="15" t="s">
        <v>2839</v>
      </c>
      <c r="BS191" s="15" t="s">
        <v>2851</v>
      </c>
      <c r="DH191" s="15" t="s">
        <v>4597</v>
      </c>
      <c r="DI191" s="15" t="s">
        <v>4597</v>
      </c>
    </row>
    <row r="192" spans="1:113" s="15" customFormat="1" ht="12.75" x14ac:dyDescent="0.2">
      <c r="A192" s="15" t="s">
        <v>109</v>
      </c>
      <c r="B192" s="16" t="s">
        <v>2287</v>
      </c>
      <c r="C192" s="15" t="s">
        <v>2288</v>
      </c>
      <c r="D192" s="15" t="s">
        <v>2457</v>
      </c>
      <c r="E192" s="15" t="s">
        <v>113</v>
      </c>
      <c r="F192" s="15" t="s">
        <v>2457</v>
      </c>
      <c r="G192" s="15" t="s">
        <v>114</v>
      </c>
      <c r="H192" s="15" t="s">
        <v>1111</v>
      </c>
      <c r="J192" s="18" t="s">
        <v>115</v>
      </c>
      <c r="W192" s="15">
        <v>238</v>
      </c>
      <c r="X192" s="15">
        <v>54</v>
      </c>
      <c r="Y192" s="15" t="s">
        <v>2458</v>
      </c>
      <c r="Z192" s="15" t="s">
        <v>2458</v>
      </c>
      <c r="AA192" s="15" t="s">
        <v>2459</v>
      </c>
      <c r="AB192" s="15" t="s">
        <v>2852</v>
      </c>
      <c r="AC192" s="15" t="s">
        <v>2852</v>
      </c>
      <c r="AD192" s="15" t="s">
        <v>2853</v>
      </c>
      <c r="AE192" s="20" t="s">
        <v>2311</v>
      </c>
      <c r="AF192" s="32" t="s">
        <v>2853</v>
      </c>
      <c r="AG192" s="33" t="s">
        <v>2852</v>
      </c>
      <c r="AH192" s="20" t="s">
        <v>2854</v>
      </c>
      <c r="AL192" s="15" t="s">
        <v>2855</v>
      </c>
      <c r="AN192" s="15">
        <v>3639</v>
      </c>
      <c r="AO192" s="15" t="s">
        <v>2856</v>
      </c>
      <c r="AQ192" s="20" t="s">
        <v>2820</v>
      </c>
      <c r="AT192" s="15" t="s">
        <v>2857</v>
      </c>
      <c r="AU192" s="15" t="s">
        <v>2858</v>
      </c>
      <c r="AV192" s="15" t="s">
        <v>2858</v>
      </c>
      <c r="AW192" s="15" t="s">
        <v>2859</v>
      </c>
      <c r="AX192" s="15" t="s">
        <v>2860</v>
      </c>
      <c r="AY192" s="15">
        <f t="shared" si="5"/>
        <v>60</v>
      </c>
      <c r="AZ192" s="15" t="s">
        <v>2823</v>
      </c>
      <c r="BA192" s="15" t="s">
        <v>926</v>
      </c>
      <c r="BB192" s="15" t="s">
        <v>2800</v>
      </c>
      <c r="BC192" s="15" t="s">
        <v>2861</v>
      </c>
      <c r="BE192" s="15" t="s">
        <v>2824</v>
      </c>
      <c r="BF192" s="15" t="s">
        <v>2825</v>
      </c>
      <c r="BJ192" s="15" t="s">
        <v>2838</v>
      </c>
      <c r="BN192" s="15" t="s">
        <v>511</v>
      </c>
      <c r="BP192" s="15" t="s">
        <v>346</v>
      </c>
      <c r="BR192" s="15" t="s">
        <v>2839</v>
      </c>
      <c r="BS192" s="15" t="s">
        <v>2862</v>
      </c>
      <c r="DH192" s="15" t="s">
        <v>4597</v>
      </c>
      <c r="DI192" s="15" t="s">
        <v>4597</v>
      </c>
    </row>
    <row r="193" spans="1:113" s="15" customFormat="1" ht="12.75" x14ac:dyDescent="0.2">
      <c r="A193" s="15" t="s">
        <v>109</v>
      </c>
      <c r="B193" s="16" t="s">
        <v>2287</v>
      </c>
      <c r="C193" s="15" t="s">
        <v>2288</v>
      </c>
      <c r="D193" s="15" t="s">
        <v>2457</v>
      </c>
      <c r="E193" s="15" t="s">
        <v>113</v>
      </c>
      <c r="F193" s="15" t="s">
        <v>2457</v>
      </c>
      <c r="G193" s="15" t="s">
        <v>114</v>
      </c>
      <c r="H193" s="15" t="s">
        <v>1111</v>
      </c>
      <c r="J193" s="18" t="s">
        <v>115</v>
      </c>
      <c r="W193" s="15">
        <v>239</v>
      </c>
      <c r="X193" s="15">
        <v>55</v>
      </c>
      <c r="Y193" s="15" t="s">
        <v>2458</v>
      </c>
      <c r="Z193" s="15" t="s">
        <v>2458</v>
      </c>
      <c r="AA193" s="15" t="s">
        <v>2459</v>
      </c>
      <c r="AB193" s="15" t="s">
        <v>2863</v>
      </c>
      <c r="AC193" s="15" t="s">
        <v>2863</v>
      </c>
      <c r="AD193" s="15" t="s">
        <v>2864</v>
      </c>
      <c r="AE193" s="20" t="s">
        <v>2311</v>
      </c>
      <c r="AF193" s="32" t="s">
        <v>2864</v>
      </c>
      <c r="AG193" s="33" t="s">
        <v>2863</v>
      </c>
      <c r="AH193" s="20" t="s">
        <v>2865</v>
      </c>
      <c r="AL193" s="15" t="s">
        <v>2866</v>
      </c>
      <c r="AN193" s="15">
        <v>3639</v>
      </c>
      <c r="AO193" s="15" t="s">
        <v>2867</v>
      </c>
      <c r="AQ193" s="20" t="s">
        <v>2820</v>
      </c>
      <c r="AT193" s="15" t="s">
        <v>2868</v>
      </c>
      <c r="AU193" s="15" t="s">
        <v>2869</v>
      </c>
      <c r="AV193" s="15" t="s">
        <v>2869</v>
      </c>
      <c r="AW193" s="15" t="s">
        <v>2870</v>
      </c>
      <c r="AX193" s="15" t="s">
        <v>2871</v>
      </c>
      <c r="AY193" s="15">
        <f t="shared" si="5"/>
        <v>60</v>
      </c>
      <c r="AZ193" s="15" t="s">
        <v>2823</v>
      </c>
      <c r="BA193" s="15" t="s">
        <v>926</v>
      </c>
      <c r="BB193" s="15" t="s">
        <v>2800</v>
      </c>
      <c r="BC193" s="15" t="s">
        <v>2872</v>
      </c>
      <c r="BE193" s="15" t="s">
        <v>2824</v>
      </c>
      <c r="BF193" s="15" t="s">
        <v>2825</v>
      </c>
      <c r="BJ193" s="15" t="s">
        <v>2838</v>
      </c>
      <c r="BN193" s="15" t="s">
        <v>511</v>
      </c>
      <c r="BP193" s="15" t="s">
        <v>346</v>
      </c>
      <c r="BR193" s="15" t="s">
        <v>2839</v>
      </c>
      <c r="BS193" s="15" t="s">
        <v>2873</v>
      </c>
      <c r="DH193" s="15" t="s">
        <v>4597</v>
      </c>
      <c r="DI193" s="15" t="s">
        <v>4597</v>
      </c>
    </row>
    <row r="194" spans="1:113" s="15" customFormat="1" ht="12.75" x14ac:dyDescent="0.2">
      <c r="A194" s="15" t="s">
        <v>109</v>
      </c>
      <c r="B194" s="16" t="s">
        <v>2287</v>
      </c>
      <c r="C194" s="15" t="s">
        <v>2288</v>
      </c>
      <c r="D194" s="15" t="s">
        <v>2457</v>
      </c>
      <c r="E194" s="15" t="s">
        <v>113</v>
      </c>
      <c r="F194" s="15" t="s">
        <v>2457</v>
      </c>
      <c r="G194" s="15" t="s">
        <v>114</v>
      </c>
      <c r="H194" s="15" t="s">
        <v>4536</v>
      </c>
      <c r="J194" s="18" t="s">
        <v>115</v>
      </c>
      <c r="W194" s="15">
        <v>240</v>
      </c>
      <c r="X194" s="15">
        <v>56</v>
      </c>
      <c r="Y194" s="15" t="s">
        <v>2458</v>
      </c>
      <c r="Z194" s="15" t="s">
        <v>2458</v>
      </c>
      <c r="AA194" s="15" t="s">
        <v>2459</v>
      </c>
      <c r="AB194" s="15" t="s">
        <v>2874</v>
      </c>
      <c r="AC194" s="15" t="s">
        <v>2874</v>
      </c>
      <c r="AD194" s="15" t="s">
        <v>2875</v>
      </c>
      <c r="AE194" s="20" t="s">
        <v>2311</v>
      </c>
      <c r="AF194" s="32" t="s">
        <v>2875</v>
      </c>
      <c r="AG194" s="33" t="s">
        <v>2874</v>
      </c>
      <c r="AH194" s="20" t="s">
        <v>2876</v>
      </c>
      <c r="AL194" s="15" t="s">
        <v>2877</v>
      </c>
      <c r="AN194" s="15">
        <v>3639</v>
      </c>
      <c r="AO194" s="15" t="s">
        <v>2878</v>
      </c>
      <c r="AQ194" s="20" t="s">
        <v>2653</v>
      </c>
      <c r="AT194" s="15" t="s">
        <v>2877</v>
      </c>
      <c r="AU194" s="15" t="s">
        <v>2879</v>
      </c>
      <c r="AV194" s="15" t="s">
        <v>2879</v>
      </c>
      <c r="AW194" s="15" t="s">
        <v>2880</v>
      </c>
      <c r="AX194" s="15" t="s">
        <v>2881</v>
      </c>
      <c r="AY194" s="15">
        <f t="shared" si="5"/>
        <v>60</v>
      </c>
      <c r="AZ194" s="15" t="s">
        <v>2657</v>
      </c>
      <c r="BA194" s="15" t="s">
        <v>926</v>
      </c>
      <c r="BB194" s="15" t="s">
        <v>2800</v>
      </c>
      <c r="BC194" s="15">
        <v>1</v>
      </c>
      <c r="BE194" s="15" t="s">
        <v>2780</v>
      </c>
      <c r="BI194" s="15" t="s">
        <v>2882</v>
      </c>
      <c r="BJ194" s="15" t="s">
        <v>2883</v>
      </c>
      <c r="BN194" s="15" t="s">
        <v>511</v>
      </c>
      <c r="BP194" s="15" t="s">
        <v>346</v>
      </c>
      <c r="BS194" s="15" t="s">
        <v>2884</v>
      </c>
      <c r="DH194" s="15" t="s">
        <v>4597</v>
      </c>
      <c r="DI194" s="15" t="s">
        <v>4597</v>
      </c>
    </row>
    <row r="195" spans="1:113" s="15" customFormat="1" ht="12.75" x14ac:dyDescent="0.2">
      <c r="A195" s="15" t="s">
        <v>109</v>
      </c>
      <c r="B195" s="16" t="s">
        <v>2287</v>
      </c>
      <c r="C195" s="15" t="s">
        <v>2288</v>
      </c>
      <c r="D195" s="15" t="s">
        <v>2457</v>
      </c>
      <c r="E195" s="15" t="s">
        <v>113</v>
      </c>
      <c r="F195" s="15" t="s">
        <v>2457</v>
      </c>
      <c r="G195" s="15" t="s">
        <v>114</v>
      </c>
      <c r="H195" s="15" t="s">
        <v>4536</v>
      </c>
      <c r="J195" s="18" t="s">
        <v>115</v>
      </c>
      <c r="W195" s="15">
        <v>241</v>
      </c>
      <c r="X195" s="15">
        <v>57</v>
      </c>
      <c r="Y195" s="15" t="s">
        <v>2458</v>
      </c>
      <c r="Z195" s="15" t="s">
        <v>2458</v>
      </c>
      <c r="AA195" s="15" t="s">
        <v>2459</v>
      </c>
      <c r="AB195" s="15" t="s">
        <v>2885</v>
      </c>
      <c r="AC195" s="15" t="s">
        <v>2885</v>
      </c>
      <c r="AD195" s="15" t="s">
        <v>2886</v>
      </c>
      <c r="AE195" s="20" t="s">
        <v>2311</v>
      </c>
      <c r="AF195" s="32" t="s">
        <v>2886</v>
      </c>
      <c r="AG195" s="33" t="s">
        <v>2885</v>
      </c>
      <c r="AH195" s="20" t="s">
        <v>2887</v>
      </c>
      <c r="AL195" s="15" t="s">
        <v>2888</v>
      </c>
      <c r="AN195" s="15">
        <v>3639</v>
      </c>
      <c r="AO195" s="15" t="s">
        <v>2889</v>
      </c>
      <c r="AQ195" s="20" t="s">
        <v>2653</v>
      </c>
      <c r="AT195" s="15" t="s">
        <v>2890</v>
      </c>
      <c r="AU195" s="15" t="s">
        <v>2891</v>
      </c>
      <c r="AV195" s="15" t="s">
        <v>2891</v>
      </c>
      <c r="AW195" s="15" t="s">
        <v>2892</v>
      </c>
      <c r="AX195" s="15" t="s">
        <v>2893</v>
      </c>
      <c r="AY195" s="15">
        <f t="shared" si="5"/>
        <v>60</v>
      </c>
      <c r="AZ195" s="15" t="s">
        <v>2657</v>
      </c>
      <c r="BA195" s="15" t="s">
        <v>926</v>
      </c>
      <c r="BB195" s="15" t="s">
        <v>2800</v>
      </c>
      <c r="BC195" s="15">
        <v>2</v>
      </c>
      <c r="BE195" s="15" t="s">
        <v>2780</v>
      </c>
      <c r="BI195" s="15" t="s">
        <v>2882</v>
      </c>
      <c r="BJ195" s="15" t="s">
        <v>2883</v>
      </c>
      <c r="BN195" s="15" t="s">
        <v>511</v>
      </c>
      <c r="BP195" s="15" t="s">
        <v>346</v>
      </c>
      <c r="BR195" s="15" t="s">
        <v>2894</v>
      </c>
      <c r="BS195" s="15" t="s">
        <v>2895</v>
      </c>
      <c r="DH195" s="15" t="s">
        <v>4597</v>
      </c>
      <c r="DI195" s="15" t="s">
        <v>4597</v>
      </c>
    </row>
    <row r="196" spans="1:113" s="15" customFormat="1" ht="12.75" x14ac:dyDescent="0.2">
      <c r="A196" s="15" t="s">
        <v>109</v>
      </c>
      <c r="B196" s="16" t="s">
        <v>2287</v>
      </c>
      <c r="C196" s="15" t="s">
        <v>2288</v>
      </c>
      <c r="D196" s="15" t="s">
        <v>2457</v>
      </c>
      <c r="E196" s="15" t="s">
        <v>113</v>
      </c>
      <c r="F196" s="15" t="s">
        <v>2457</v>
      </c>
      <c r="G196" s="15" t="s">
        <v>114</v>
      </c>
      <c r="H196" s="15" t="s">
        <v>4536</v>
      </c>
      <c r="J196" s="18" t="s">
        <v>115</v>
      </c>
      <c r="W196" s="15">
        <v>242</v>
      </c>
      <c r="X196" s="15">
        <v>58</v>
      </c>
      <c r="Y196" s="15" t="s">
        <v>2458</v>
      </c>
      <c r="Z196" s="15" t="s">
        <v>2458</v>
      </c>
      <c r="AA196" s="15" t="s">
        <v>2459</v>
      </c>
      <c r="AB196" s="15" t="s">
        <v>2896</v>
      </c>
      <c r="AC196" s="15" t="s">
        <v>2896</v>
      </c>
      <c r="AD196" s="15" t="s">
        <v>2897</v>
      </c>
      <c r="AE196" s="20" t="s">
        <v>2311</v>
      </c>
      <c r="AF196" s="32" t="s">
        <v>2897</v>
      </c>
      <c r="AG196" s="33" t="s">
        <v>2896</v>
      </c>
      <c r="AH196" s="20" t="s">
        <v>2898</v>
      </c>
      <c r="AL196" s="15" t="s">
        <v>2899</v>
      </c>
      <c r="AN196" s="15">
        <v>3639</v>
      </c>
      <c r="AO196" s="15" t="s">
        <v>2900</v>
      </c>
      <c r="AQ196" s="20" t="s">
        <v>2901</v>
      </c>
      <c r="AT196" s="15" t="s">
        <v>2899</v>
      </c>
      <c r="AU196" s="15" t="s">
        <v>2902</v>
      </c>
      <c r="AV196" s="15" t="s">
        <v>2902</v>
      </c>
      <c r="AW196" s="15" t="s">
        <v>2903</v>
      </c>
      <c r="AX196" s="15" t="s">
        <v>2903</v>
      </c>
      <c r="AY196" s="15">
        <f t="shared" si="5"/>
        <v>56</v>
      </c>
      <c r="AZ196" s="15" t="s">
        <v>2904</v>
      </c>
      <c r="BA196" s="15" t="s">
        <v>2427</v>
      </c>
      <c r="BB196" s="15" t="s">
        <v>2800</v>
      </c>
      <c r="BE196" s="15" t="s">
        <v>2905</v>
      </c>
      <c r="BI196" s="15" t="s">
        <v>2906</v>
      </c>
      <c r="BJ196" s="15" t="s">
        <v>2907</v>
      </c>
      <c r="BN196" s="15" t="s">
        <v>511</v>
      </c>
      <c r="BP196" s="15" t="s">
        <v>346</v>
      </c>
      <c r="BS196" s="15" t="s">
        <v>2908</v>
      </c>
      <c r="DH196" s="15" t="s">
        <v>4597</v>
      </c>
      <c r="DI196" s="15" t="s">
        <v>4597</v>
      </c>
    </row>
    <row r="197" spans="1:113" s="15" customFormat="1" ht="12.75" x14ac:dyDescent="0.2">
      <c r="A197" s="15" t="s">
        <v>109</v>
      </c>
      <c r="B197" s="16" t="s">
        <v>2287</v>
      </c>
      <c r="C197" s="15" t="s">
        <v>2288</v>
      </c>
      <c r="D197" s="15" t="s">
        <v>2457</v>
      </c>
      <c r="E197" s="15" t="s">
        <v>113</v>
      </c>
      <c r="F197" s="15" t="s">
        <v>2457</v>
      </c>
      <c r="G197" s="15" t="s">
        <v>114</v>
      </c>
      <c r="H197" s="15" t="s">
        <v>4536</v>
      </c>
      <c r="J197" s="18" t="s">
        <v>115</v>
      </c>
      <c r="W197" s="15">
        <v>243</v>
      </c>
      <c r="X197" s="15">
        <v>59</v>
      </c>
      <c r="Y197" s="15" t="s">
        <v>2458</v>
      </c>
      <c r="Z197" s="15" t="s">
        <v>2458</v>
      </c>
      <c r="AA197" s="15" t="s">
        <v>2459</v>
      </c>
      <c r="AB197" s="15" t="s">
        <v>2909</v>
      </c>
      <c r="AC197" s="15" t="s">
        <v>2909</v>
      </c>
      <c r="AD197" s="15" t="s">
        <v>2910</v>
      </c>
      <c r="AE197" s="20" t="s">
        <v>2311</v>
      </c>
      <c r="AF197" s="32" t="s">
        <v>2910</v>
      </c>
      <c r="AG197" s="33" t="s">
        <v>2909</v>
      </c>
      <c r="AH197" s="20" t="s">
        <v>2911</v>
      </c>
      <c r="AL197" s="15" t="s">
        <v>2912</v>
      </c>
      <c r="AN197" s="15">
        <v>3639</v>
      </c>
      <c r="AO197" s="15" t="s">
        <v>2913</v>
      </c>
      <c r="AQ197" s="20" t="s">
        <v>2901</v>
      </c>
      <c r="AT197" s="15" t="s">
        <v>2912</v>
      </c>
      <c r="AU197" s="15" t="s">
        <v>2914</v>
      </c>
      <c r="AV197" s="15" t="s">
        <v>2914</v>
      </c>
      <c r="AW197" s="15" t="s">
        <v>2915</v>
      </c>
      <c r="AX197" s="15" t="s">
        <v>2915</v>
      </c>
      <c r="AY197" s="15">
        <f t="shared" si="5"/>
        <v>56</v>
      </c>
      <c r="AZ197" s="15" t="s">
        <v>2904</v>
      </c>
      <c r="BA197" s="15" t="s">
        <v>2427</v>
      </c>
      <c r="BB197" s="15" t="s">
        <v>2800</v>
      </c>
      <c r="BE197" s="15" t="s">
        <v>2905</v>
      </c>
      <c r="BI197" s="15" t="s">
        <v>2916</v>
      </c>
      <c r="BJ197" s="15" t="s">
        <v>2907</v>
      </c>
      <c r="BN197" s="15" t="s">
        <v>511</v>
      </c>
      <c r="BP197" s="15" t="s">
        <v>346</v>
      </c>
      <c r="BS197" s="15" t="s">
        <v>2917</v>
      </c>
      <c r="DH197" s="15" t="s">
        <v>4597</v>
      </c>
      <c r="DI197" s="15" t="s">
        <v>4597</v>
      </c>
    </row>
    <row r="198" spans="1:113" s="15" customFormat="1" ht="12.75" x14ac:dyDescent="0.2">
      <c r="A198" s="15" t="s">
        <v>109</v>
      </c>
      <c r="B198" s="16" t="s">
        <v>2287</v>
      </c>
      <c r="C198" s="15" t="s">
        <v>2288</v>
      </c>
      <c r="D198" s="15" t="s">
        <v>2457</v>
      </c>
      <c r="E198" s="15" t="s">
        <v>113</v>
      </c>
      <c r="F198" s="15" t="s">
        <v>2457</v>
      </c>
      <c r="G198" s="15" t="s">
        <v>114</v>
      </c>
      <c r="H198" s="15" t="s">
        <v>4536</v>
      </c>
      <c r="J198" s="18" t="s">
        <v>115</v>
      </c>
      <c r="W198" s="15">
        <v>244</v>
      </c>
      <c r="X198" s="15">
        <v>60</v>
      </c>
      <c r="Y198" s="15" t="s">
        <v>2458</v>
      </c>
      <c r="Z198" s="15" t="s">
        <v>2458</v>
      </c>
      <c r="AA198" s="15" t="s">
        <v>2459</v>
      </c>
      <c r="AB198" s="15" t="s">
        <v>2918</v>
      </c>
      <c r="AC198" s="15" t="s">
        <v>2918</v>
      </c>
      <c r="AD198" s="15" t="s">
        <v>2919</v>
      </c>
      <c r="AE198" s="20" t="s">
        <v>2311</v>
      </c>
      <c r="AF198" s="32" t="s">
        <v>2919</v>
      </c>
      <c r="AG198" s="33" t="s">
        <v>2918</v>
      </c>
      <c r="AH198" s="20" t="s">
        <v>2920</v>
      </c>
      <c r="AL198" s="15" t="s">
        <v>2921</v>
      </c>
      <c r="AN198" s="15">
        <v>3639</v>
      </c>
      <c r="AO198" s="15" t="s">
        <v>2922</v>
      </c>
      <c r="AQ198" s="20" t="s">
        <v>2901</v>
      </c>
      <c r="AT198" s="15" t="s">
        <v>2921</v>
      </c>
      <c r="AU198" s="15" t="s">
        <v>2923</v>
      </c>
      <c r="AV198" s="15" t="s">
        <v>2923</v>
      </c>
      <c r="AW198" s="15" t="s">
        <v>2924</v>
      </c>
      <c r="AX198" s="15" t="s">
        <v>2924</v>
      </c>
      <c r="AY198" s="15">
        <f t="shared" si="5"/>
        <v>57</v>
      </c>
      <c r="AZ198" s="15" t="s">
        <v>2904</v>
      </c>
      <c r="BA198" s="15" t="s">
        <v>2427</v>
      </c>
      <c r="BB198" s="15" t="s">
        <v>2800</v>
      </c>
      <c r="BE198" s="15" t="s">
        <v>2925</v>
      </c>
      <c r="BI198" s="15" t="s">
        <v>2906</v>
      </c>
      <c r="BJ198" s="15" t="s">
        <v>2907</v>
      </c>
      <c r="BN198" s="15" t="s">
        <v>511</v>
      </c>
      <c r="BP198" s="15" t="s">
        <v>346</v>
      </c>
      <c r="BS198" s="15" t="s">
        <v>2926</v>
      </c>
      <c r="DH198" s="15" t="s">
        <v>4597</v>
      </c>
      <c r="DI198" s="15" t="s">
        <v>4597</v>
      </c>
    </row>
    <row r="199" spans="1:113" s="15" customFormat="1" ht="12.75" x14ac:dyDescent="0.2">
      <c r="A199" s="15" t="s">
        <v>109</v>
      </c>
      <c r="B199" s="16" t="s">
        <v>2287</v>
      </c>
      <c r="C199" s="15" t="s">
        <v>2288</v>
      </c>
      <c r="D199" s="15" t="s">
        <v>2457</v>
      </c>
      <c r="E199" s="15" t="s">
        <v>113</v>
      </c>
      <c r="F199" s="15" t="s">
        <v>2457</v>
      </c>
      <c r="G199" s="15" t="s">
        <v>114</v>
      </c>
      <c r="H199" s="15" t="s">
        <v>4536</v>
      </c>
      <c r="J199" s="18" t="s">
        <v>115</v>
      </c>
      <c r="W199" s="15">
        <v>245</v>
      </c>
      <c r="X199" s="15">
        <v>61</v>
      </c>
      <c r="Y199" s="15" t="s">
        <v>2458</v>
      </c>
      <c r="Z199" s="15" t="s">
        <v>2458</v>
      </c>
      <c r="AA199" s="15" t="s">
        <v>2459</v>
      </c>
      <c r="AB199" s="15" t="s">
        <v>2927</v>
      </c>
      <c r="AC199" s="15" t="s">
        <v>2927</v>
      </c>
      <c r="AD199" s="15" t="s">
        <v>2928</v>
      </c>
      <c r="AE199" s="20" t="s">
        <v>2311</v>
      </c>
      <c r="AF199" s="32" t="s">
        <v>2928</v>
      </c>
      <c r="AG199" s="33" t="s">
        <v>2927</v>
      </c>
      <c r="AH199" s="20" t="s">
        <v>2929</v>
      </c>
      <c r="AL199" s="15" t="s">
        <v>2930</v>
      </c>
      <c r="AN199" s="15">
        <v>3639</v>
      </c>
      <c r="AO199" s="15" t="s">
        <v>2931</v>
      </c>
      <c r="AQ199" s="20" t="s">
        <v>2901</v>
      </c>
      <c r="AT199" s="15" t="s">
        <v>2930</v>
      </c>
      <c r="AU199" s="15" t="s">
        <v>2932</v>
      </c>
      <c r="AV199" s="15" t="s">
        <v>2932</v>
      </c>
      <c r="AW199" s="15" t="s">
        <v>2933</v>
      </c>
      <c r="AX199" s="15" t="s">
        <v>2934</v>
      </c>
      <c r="AY199" s="15">
        <f t="shared" si="5"/>
        <v>57</v>
      </c>
      <c r="AZ199" s="15" t="s">
        <v>2904</v>
      </c>
      <c r="BA199" s="15" t="s">
        <v>2427</v>
      </c>
      <c r="BB199" s="15" t="s">
        <v>2800</v>
      </c>
      <c r="BE199" s="15" t="s">
        <v>2935</v>
      </c>
      <c r="BI199" s="15" t="s">
        <v>2916</v>
      </c>
      <c r="BJ199" s="15" t="s">
        <v>2907</v>
      </c>
      <c r="BN199" s="15" t="s">
        <v>511</v>
      </c>
      <c r="BP199" s="15" t="s">
        <v>346</v>
      </c>
      <c r="BS199" s="15" t="s">
        <v>2936</v>
      </c>
      <c r="DH199" s="15" t="s">
        <v>4597</v>
      </c>
      <c r="DI199" s="15" t="s">
        <v>4597</v>
      </c>
    </row>
    <row r="200" spans="1:113" s="15" customFormat="1" ht="12.75" x14ac:dyDescent="0.2">
      <c r="A200" s="15" t="s">
        <v>109</v>
      </c>
      <c r="B200" s="16" t="s">
        <v>2287</v>
      </c>
      <c r="C200" s="15" t="s">
        <v>2288</v>
      </c>
      <c r="D200" s="15" t="s">
        <v>2457</v>
      </c>
      <c r="E200" s="15" t="s">
        <v>113</v>
      </c>
      <c r="F200" s="15" t="s">
        <v>2457</v>
      </c>
      <c r="G200" s="15" t="s">
        <v>114</v>
      </c>
      <c r="H200" s="15" t="s">
        <v>4536</v>
      </c>
      <c r="J200" s="18" t="s">
        <v>115</v>
      </c>
      <c r="W200" s="15">
        <v>246</v>
      </c>
      <c r="X200" s="15">
        <v>62</v>
      </c>
      <c r="Y200" s="15" t="s">
        <v>2458</v>
      </c>
      <c r="Z200" s="15" t="s">
        <v>2458</v>
      </c>
      <c r="AA200" s="15" t="s">
        <v>2459</v>
      </c>
      <c r="AB200" s="15" t="s">
        <v>2937</v>
      </c>
      <c r="AC200" s="15" t="s">
        <v>2937</v>
      </c>
      <c r="AD200" s="15" t="s">
        <v>2938</v>
      </c>
      <c r="AE200" s="20" t="s">
        <v>2311</v>
      </c>
      <c r="AF200" s="32" t="s">
        <v>2938</v>
      </c>
      <c r="AG200" s="33" t="s">
        <v>2937</v>
      </c>
      <c r="AH200" s="20" t="s">
        <v>2939</v>
      </c>
      <c r="AL200" s="15" t="s">
        <v>2940</v>
      </c>
      <c r="AN200" s="15">
        <v>3639</v>
      </c>
      <c r="AO200" s="15" t="s">
        <v>2941</v>
      </c>
      <c r="AQ200" s="20" t="s">
        <v>2901</v>
      </c>
      <c r="AT200" s="15" t="s">
        <v>2940</v>
      </c>
      <c r="AU200" s="15" t="s">
        <v>2942</v>
      </c>
      <c r="AV200" s="15" t="s">
        <v>2942</v>
      </c>
      <c r="AW200" s="15" t="s">
        <v>2943</v>
      </c>
      <c r="AX200" s="15" t="s">
        <v>2944</v>
      </c>
      <c r="AY200" s="15">
        <f t="shared" si="5"/>
        <v>60</v>
      </c>
      <c r="AZ200" s="15" t="s">
        <v>2904</v>
      </c>
      <c r="BA200" s="15" t="s">
        <v>2427</v>
      </c>
      <c r="BB200" s="15" t="s">
        <v>2800</v>
      </c>
      <c r="BC200" s="15" t="s">
        <v>374</v>
      </c>
      <c r="BE200" s="15" t="s">
        <v>2945</v>
      </c>
      <c r="BI200" s="15" t="s">
        <v>2946</v>
      </c>
      <c r="BJ200" s="15" t="s">
        <v>2907</v>
      </c>
      <c r="BN200" s="15" t="s">
        <v>511</v>
      </c>
      <c r="BP200" s="15" t="s">
        <v>346</v>
      </c>
      <c r="BS200" s="15" t="s">
        <v>2947</v>
      </c>
      <c r="DH200" s="15" t="s">
        <v>4597</v>
      </c>
      <c r="DI200" s="15" t="s">
        <v>4597</v>
      </c>
    </row>
    <row r="201" spans="1:113" s="15" customFormat="1" ht="12.75" x14ac:dyDescent="0.2">
      <c r="A201" s="15" t="s">
        <v>109</v>
      </c>
      <c r="B201" s="16" t="s">
        <v>2287</v>
      </c>
      <c r="C201" s="15" t="s">
        <v>2288</v>
      </c>
      <c r="D201" s="15" t="s">
        <v>2457</v>
      </c>
      <c r="E201" s="15" t="s">
        <v>113</v>
      </c>
      <c r="F201" s="15" t="s">
        <v>2457</v>
      </c>
      <c r="G201" s="15" t="s">
        <v>114</v>
      </c>
      <c r="H201" s="15" t="s">
        <v>4536</v>
      </c>
      <c r="J201" s="18" t="s">
        <v>115</v>
      </c>
      <c r="W201" s="15">
        <v>247</v>
      </c>
      <c r="X201" s="15">
        <v>63</v>
      </c>
      <c r="Y201" s="15" t="s">
        <v>2458</v>
      </c>
      <c r="Z201" s="15" t="s">
        <v>2458</v>
      </c>
      <c r="AA201" s="15" t="s">
        <v>2459</v>
      </c>
      <c r="AB201" s="15" t="s">
        <v>2948</v>
      </c>
      <c r="AC201" s="15" t="s">
        <v>2948</v>
      </c>
      <c r="AD201" s="15" t="s">
        <v>2949</v>
      </c>
      <c r="AE201" s="20" t="s">
        <v>2311</v>
      </c>
      <c r="AF201" s="32" t="s">
        <v>2949</v>
      </c>
      <c r="AG201" s="33" t="s">
        <v>2948</v>
      </c>
      <c r="AH201" s="20" t="s">
        <v>2950</v>
      </c>
      <c r="AL201" s="15" t="s">
        <v>2951</v>
      </c>
      <c r="AN201" s="15">
        <v>3639</v>
      </c>
      <c r="AO201" s="15" t="s">
        <v>2952</v>
      </c>
      <c r="AQ201" s="20" t="s">
        <v>2901</v>
      </c>
      <c r="AT201" s="15" t="s">
        <v>2953</v>
      </c>
      <c r="AU201" s="15" t="s">
        <v>2954</v>
      </c>
      <c r="AV201" s="15" t="s">
        <v>2954</v>
      </c>
      <c r="AW201" s="15" t="s">
        <v>2955</v>
      </c>
      <c r="AX201" s="15" t="s">
        <v>2956</v>
      </c>
      <c r="AY201" s="15">
        <f t="shared" si="5"/>
        <v>60</v>
      </c>
      <c r="AZ201" s="15" t="s">
        <v>2904</v>
      </c>
      <c r="BA201" s="15" t="s">
        <v>2427</v>
      </c>
      <c r="BB201" s="15" t="s">
        <v>2800</v>
      </c>
      <c r="BC201" s="15" t="s">
        <v>374</v>
      </c>
      <c r="BE201" s="15" t="s">
        <v>2957</v>
      </c>
      <c r="BI201" s="15" t="s">
        <v>2946</v>
      </c>
      <c r="BJ201" s="15" t="s">
        <v>2958</v>
      </c>
      <c r="BN201" s="15" t="s">
        <v>511</v>
      </c>
      <c r="BP201" s="15" t="s">
        <v>346</v>
      </c>
      <c r="BR201" s="15" t="s">
        <v>2959</v>
      </c>
      <c r="BS201" s="15" t="s">
        <v>2960</v>
      </c>
      <c r="DH201" s="15" t="s">
        <v>4597</v>
      </c>
      <c r="DI201" s="15" t="s">
        <v>4597</v>
      </c>
    </row>
    <row r="202" spans="1:113" s="15" customFormat="1" ht="12.75" x14ac:dyDescent="0.2">
      <c r="A202" s="15" t="s">
        <v>109</v>
      </c>
      <c r="B202" s="16" t="s">
        <v>2287</v>
      </c>
      <c r="C202" s="15" t="s">
        <v>2288</v>
      </c>
      <c r="D202" s="15" t="s">
        <v>2457</v>
      </c>
      <c r="E202" s="15" t="s">
        <v>113</v>
      </c>
      <c r="F202" s="15" t="s">
        <v>2457</v>
      </c>
      <c r="G202" s="15" t="s">
        <v>114</v>
      </c>
      <c r="H202" s="15" t="s">
        <v>4536</v>
      </c>
      <c r="J202" s="18" t="s">
        <v>115</v>
      </c>
      <c r="W202" s="15">
        <v>248</v>
      </c>
      <c r="X202" s="15">
        <v>64</v>
      </c>
      <c r="Y202" s="15" t="s">
        <v>2458</v>
      </c>
      <c r="Z202" s="15" t="s">
        <v>2458</v>
      </c>
      <c r="AA202" s="15" t="s">
        <v>2459</v>
      </c>
      <c r="AB202" s="15" t="s">
        <v>2961</v>
      </c>
      <c r="AC202" s="15" t="s">
        <v>2961</v>
      </c>
      <c r="AD202" s="15" t="s">
        <v>2962</v>
      </c>
      <c r="AE202" s="20" t="s">
        <v>2311</v>
      </c>
      <c r="AF202" s="32" t="s">
        <v>2962</v>
      </c>
      <c r="AG202" s="33" t="s">
        <v>2961</v>
      </c>
      <c r="AH202" s="20" t="s">
        <v>2963</v>
      </c>
      <c r="AL202" s="15" t="s">
        <v>2964</v>
      </c>
      <c r="AN202" s="15">
        <v>3639</v>
      </c>
      <c r="AO202" s="15" t="s">
        <v>2965</v>
      </c>
      <c r="AQ202" s="20" t="s">
        <v>2901</v>
      </c>
      <c r="AT202" s="15" t="s">
        <v>2966</v>
      </c>
      <c r="AU202" s="15" t="s">
        <v>2967</v>
      </c>
      <c r="AV202" s="15" t="s">
        <v>2967</v>
      </c>
      <c r="AW202" s="15" t="s">
        <v>2968</v>
      </c>
      <c r="AX202" s="15" t="s">
        <v>2969</v>
      </c>
      <c r="AY202" s="15">
        <f t="shared" si="5"/>
        <v>57</v>
      </c>
      <c r="AZ202" s="15" t="s">
        <v>2904</v>
      </c>
      <c r="BA202" s="15" t="s">
        <v>2427</v>
      </c>
      <c r="BB202" s="15" t="s">
        <v>2800</v>
      </c>
      <c r="BC202" s="15" t="s">
        <v>374</v>
      </c>
      <c r="BE202" s="15" t="s">
        <v>2970</v>
      </c>
      <c r="BI202" s="15" t="s">
        <v>2946</v>
      </c>
      <c r="BJ202" s="15" t="s">
        <v>2958</v>
      </c>
      <c r="BN202" s="15" t="s">
        <v>511</v>
      </c>
      <c r="BP202" s="15" t="s">
        <v>346</v>
      </c>
      <c r="BR202" s="15" t="s">
        <v>2971</v>
      </c>
      <c r="BS202" s="15" t="s">
        <v>2972</v>
      </c>
      <c r="DH202" s="15" t="s">
        <v>4597</v>
      </c>
      <c r="DI202" s="15" t="s">
        <v>4597</v>
      </c>
    </row>
    <row r="203" spans="1:113" s="15" customFormat="1" ht="12.75" x14ac:dyDescent="0.2">
      <c r="A203" s="15" t="s">
        <v>109</v>
      </c>
      <c r="B203" s="16" t="s">
        <v>2287</v>
      </c>
      <c r="C203" s="15" t="s">
        <v>2288</v>
      </c>
      <c r="D203" s="15" t="s">
        <v>2457</v>
      </c>
      <c r="E203" s="15" t="s">
        <v>113</v>
      </c>
      <c r="F203" s="15" t="s">
        <v>2457</v>
      </c>
      <c r="G203" s="15" t="s">
        <v>114</v>
      </c>
      <c r="H203" s="15" t="s">
        <v>4536</v>
      </c>
      <c r="J203" s="18" t="s">
        <v>115</v>
      </c>
      <c r="W203" s="15">
        <v>249</v>
      </c>
      <c r="X203" s="15">
        <v>65</v>
      </c>
      <c r="Y203" s="15" t="s">
        <v>2458</v>
      </c>
      <c r="Z203" s="15" t="s">
        <v>2458</v>
      </c>
      <c r="AA203" s="15" t="s">
        <v>2459</v>
      </c>
      <c r="AB203" s="15" t="s">
        <v>2973</v>
      </c>
      <c r="AC203" s="15" t="s">
        <v>2973</v>
      </c>
      <c r="AD203" s="15" t="s">
        <v>2974</v>
      </c>
      <c r="AE203" s="20" t="s">
        <v>2311</v>
      </c>
      <c r="AF203" s="32" t="s">
        <v>2974</v>
      </c>
      <c r="AG203" s="33" t="s">
        <v>2973</v>
      </c>
      <c r="AH203" s="20" t="s">
        <v>2975</v>
      </c>
      <c r="AL203" s="15" t="s">
        <v>2976</v>
      </c>
      <c r="AN203" s="15">
        <v>3639</v>
      </c>
      <c r="AO203" s="15" t="s">
        <v>2977</v>
      </c>
      <c r="AQ203" s="20" t="s">
        <v>2901</v>
      </c>
      <c r="AT203" s="15" t="s">
        <v>2978</v>
      </c>
      <c r="AU203" s="15" t="s">
        <v>2979</v>
      </c>
      <c r="AV203" s="15" t="s">
        <v>2979</v>
      </c>
      <c r="AW203" s="15" t="s">
        <v>2980</v>
      </c>
      <c r="AX203" s="15" t="s">
        <v>2981</v>
      </c>
      <c r="AY203" s="15">
        <f t="shared" si="5"/>
        <v>57</v>
      </c>
      <c r="AZ203" s="15" t="s">
        <v>2904</v>
      </c>
      <c r="BA203" s="15" t="s">
        <v>2427</v>
      </c>
      <c r="BB203" s="15" t="s">
        <v>2800</v>
      </c>
      <c r="BC203" s="15" t="s">
        <v>374</v>
      </c>
      <c r="BE203" s="15" t="s">
        <v>2982</v>
      </c>
      <c r="BI203" s="15" t="s">
        <v>2946</v>
      </c>
      <c r="BJ203" s="15" t="s">
        <v>2958</v>
      </c>
      <c r="BN203" s="15" t="s">
        <v>511</v>
      </c>
      <c r="BP203" s="15" t="s">
        <v>346</v>
      </c>
      <c r="BR203" s="15" t="s">
        <v>2983</v>
      </c>
      <c r="BS203" s="15" t="s">
        <v>2984</v>
      </c>
      <c r="DH203" s="15" t="s">
        <v>4597</v>
      </c>
      <c r="DI203" s="15" t="s">
        <v>4597</v>
      </c>
    </row>
    <row r="204" spans="1:113" s="15" customFormat="1" ht="12.75" x14ac:dyDescent="0.2">
      <c r="A204" s="15" t="s">
        <v>109</v>
      </c>
      <c r="B204" s="16" t="s">
        <v>2287</v>
      </c>
      <c r="C204" s="15" t="s">
        <v>2288</v>
      </c>
      <c r="D204" s="15" t="s">
        <v>2457</v>
      </c>
      <c r="E204" s="15" t="s">
        <v>113</v>
      </c>
      <c r="F204" s="15" t="s">
        <v>2457</v>
      </c>
      <c r="G204" s="15" t="s">
        <v>114</v>
      </c>
      <c r="H204" s="15" t="s">
        <v>4536</v>
      </c>
      <c r="J204" s="18" t="s">
        <v>115</v>
      </c>
      <c r="W204" s="15">
        <v>250</v>
      </c>
      <c r="X204" s="15">
        <v>66</v>
      </c>
      <c r="Y204" s="15" t="s">
        <v>2458</v>
      </c>
      <c r="Z204" s="15" t="s">
        <v>2458</v>
      </c>
      <c r="AA204" s="15" t="s">
        <v>2459</v>
      </c>
      <c r="AB204" s="15" t="s">
        <v>2985</v>
      </c>
      <c r="AC204" s="15" t="s">
        <v>2985</v>
      </c>
      <c r="AD204" s="15" t="s">
        <v>2986</v>
      </c>
      <c r="AE204" s="20" t="s">
        <v>2311</v>
      </c>
      <c r="AF204" s="32" t="s">
        <v>2986</v>
      </c>
      <c r="AG204" s="33" t="s">
        <v>2985</v>
      </c>
      <c r="AH204" s="20" t="s">
        <v>2987</v>
      </c>
      <c r="AL204" s="15" t="s">
        <v>2988</v>
      </c>
      <c r="AN204" s="15">
        <v>3639</v>
      </c>
      <c r="AO204" s="15" t="s">
        <v>2989</v>
      </c>
      <c r="AQ204" s="20" t="s">
        <v>2901</v>
      </c>
      <c r="AT204" s="15" t="s">
        <v>2990</v>
      </c>
      <c r="AU204" s="15" t="s">
        <v>2991</v>
      </c>
      <c r="AV204" s="15" t="s">
        <v>2991</v>
      </c>
      <c r="AW204" s="15" t="s">
        <v>2992</v>
      </c>
      <c r="AX204" s="15" t="s">
        <v>2993</v>
      </c>
      <c r="AY204" s="15">
        <f t="shared" si="5"/>
        <v>54</v>
      </c>
      <c r="AZ204" s="15" t="s">
        <v>2904</v>
      </c>
      <c r="BA204" s="15" t="s">
        <v>2427</v>
      </c>
      <c r="BB204" s="15" t="s">
        <v>2800</v>
      </c>
      <c r="BC204" s="15" t="s">
        <v>374</v>
      </c>
      <c r="BE204" s="15" t="s">
        <v>2994</v>
      </c>
      <c r="BI204" s="15" t="s">
        <v>2946</v>
      </c>
      <c r="BJ204" s="15" t="s">
        <v>2958</v>
      </c>
      <c r="BN204" s="15" t="s">
        <v>511</v>
      </c>
      <c r="BP204" s="15" t="s">
        <v>346</v>
      </c>
      <c r="BR204" s="15" t="s">
        <v>2995</v>
      </c>
      <c r="BS204" s="15" t="s">
        <v>2996</v>
      </c>
      <c r="DH204" s="15" t="s">
        <v>4597</v>
      </c>
      <c r="DI204" s="15" t="s">
        <v>4597</v>
      </c>
    </row>
    <row r="205" spans="1:113" s="15" customFormat="1" ht="12.75" x14ac:dyDescent="0.2">
      <c r="A205" s="15" t="s">
        <v>109</v>
      </c>
      <c r="B205" s="16" t="s">
        <v>2287</v>
      </c>
      <c r="C205" s="15" t="s">
        <v>2288</v>
      </c>
      <c r="D205" s="15" t="s">
        <v>2997</v>
      </c>
      <c r="E205" s="15" t="s">
        <v>113</v>
      </c>
      <c r="F205" s="15" t="s">
        <v>2997</v>
      </c>
      <c r="G205" s="15" t="s">
        <v>114</v>
      </c>
      <c r="H205" s="15" t="s">
        <v>4536</v>
      </c>
      <c r="J205" s="18" t="s">
        <v>115</v>
      </c>
      <c r="W205" s="15">
        <v>251</v>
      </c>
      <c r="X205" s="15">
        <v>67</v>
      </c>
      <c r="Y205" s="15" t="s">
        <v>2458</v>
      </c>
      <c r="Z205" s="15" t="s">
        <v>2458</v>
      </c>
      <c r="AA205" s="34" t="s">
        <v>2476</v>
      </c>
      <c r="AB205" s="15" t="s">
        <v>2998</v>
      </c>
      <c r="AC205" s="15" t="s">
        <v>2998</v>
      </c>
      <c r="AD205" s="15" t="s">
        <v>2999</v>
      </c>
      <c r="AE205" s="41" t="s">
        <v>2311</v>
      </c>
      <c r="AF205" s="15" t="s">
        <v>2999</v>
      </c>
      <c r="AG205" s="15">
        <v>463230</v>
      </c>
      <c r="AH205" s="41" t="s">
        <v>3000</v>
      </c>
      <c r="AL205" s="15" t="s">
        <v>3001</v>
      </c>
      <c r="AN205" s="15">
        <v>3639</v>
      </c>
      <c r="AO205" s="15" t="s">
        <v>3002</v>
      </c>
      <c r="AQ205" s="28" t="s">
        <v>2653</v>
      </c>
      <c r="AT205" s="15" t="s">
        <v>3003</v>
      </c>
      <c r="AU205" s="15" t="s">
        <v>3004</v>
      </c>
      <c r="AV205" s="15" t="s">
        <v>3004</v>
      </c>
      <c r="AW205" s="15" t="s">
        <v>3005</v>
      </c>
      <c r="AX205" s="15" t="s">
        <v>3006</v>
      </c>
      <c r="AY205" s="39">
        <f t="shared" ref="AY205:AY236" si="6">LEN(SUBSTITUTE(AX205,", "," "))</f>
        <v>60</v>
      </c>
      <c r="AZ205" s="15" t="s">
        <v>2657</v>
      </c>
      <c r="BA205" s="15" t="s">
        <v>926</v>
      </c>
      <c r="BB205" s="15" t="s">
        <v>2800</v>
      </c>
      <c r="BC205" s="15" t="s">
        <v>2837</v>
      </c>
      <c r="BE205" s="15" t="s">
        <v>3007</v>
      </c>
      <c r="BJ205" s="15" t="s">
        <v>3008</v>
      </c>
      <c r="BN205" s="15" t="s">
        <v>511</v>
      </c>
      <c r="BP205" s="15" t="s">
        <v>346</v>
      </c>
      <c r="BS205" s="15" t="s">
        <v>3009</v>
      </c>
      <c r="DH205" s="15" t="s">
        <v>4597</v>
      </c>
      <c r="DI205" s="15" t="s">
        <v>4597</v>
      </c>
    </row>
    <row r="206" spans="1:113" s="15" customFormat="1" ht="12.75" x14ac:dyDescent="0.2">
      <c r="A206" s="15" t="s">
        <v>109</v>
      </c>
      <c r="B206" s="16" t="s">
        <v>2287</v>
      </c>
      <c r="C206" s="15" t="s">
        <v>2288</v>
      </c>
      <c r="D206" s="15" t="s">
        <v>2997</v>
      </c>
      <c r="E206" s="15" t="s">
        <v>113</v>
      </c>
      <c r="F206" s="15" t="s">
        <v>2997</v>
      </c>
      <c r="G206" s="15" t="s">
        <v>114</v>
      </c>
      <c r="H206" s="15" t="s">
        <v>4536</v>
      </c>
      <c r="J206" s="18" t="s">
        <v>115</v>
      </c>
      <c r="W206" s="15">
        <v>252</v>
      </c>
      <c r="X206" s="15">
        <v>68</v>
      </c>
      <c r="Y206" s="15" t="s">
        <v>2458</v>
      </c>
      <c r="Z206" s="15" t="s">
        <v>2458</v>
      </c>
      <c r="AA206" s="34" t="s">
        <v>2476</v>
      </c>
      <c r="AB206" s="15" t="s">
        <v>3010</v>
      </c>
      <c r="AC206" s="15" t="s">
        <v>3010</v>
      </c>
      <c r="AD206" s="15" t="s">
        <v>3011</v>
      </c>
      <c r="AE206" s="41" t="s">
        <v>2311</v>
      </c>
      <c r="AF206" s="15" t="s">
        <v>3011</v>
      </c>
      <c r="AG206" s="15">
        <v>463232</v>
      </c>
      <c r="AH206" s="41" t="s">
        <v>3012</v>
      </c>
      <c r="AL206" s="15" t="s">
        <v>3013</v>
      </c>
      <c r="AN206" s="15">
        <v>3639</v>
      </c>
      <c r="AO206" s="15" t="s">
        <v>3014</v>
      </c>
      <c r="AQ206" s="28" t="s">
        <v>2653</v>
      </c>
      <c r="AT206" s="15" t="s">
        <v>3015</v>
      </c>
      <c r="AU206" s="15" t="s">
        <v>3016</v>
      </c>
      <c r="AV206" s="15" t="s">
        <v>3016</v>
      </c>
      <c r="AW206" s="15" t="s">
        <v>3017</v>
      </c>
      <c r="AX206" s="15" t="s">
        <v>3018</v>
      </c>
      <c r="AY206" s="39">
        <f t="shared" si="6"/>
        <v>59</v>
      </c>
      <c r="AZ206" s="15" t="s">
        <v>2657</v>
      </c>
      <c r="BA206" s="15" t="s">
        <v>926</v>
      </c>
      <c r="BB206" s="15" t="s">
        <v>2800</v>
      </c>
      <c r="BC206" s="15" t="s">
        <v>3019</v>
      </c>
      <c r="BE206" s="15" t="s">
        <v>3007</v>
      </c>
      <c r="BJ206" s="15" t="s">
        <v>3020</v>
      </c>
      <c r="BN206" s="15" t="s">
        <v>511</v>
      </c>
      <c r="BP206" s="15" t="s">
        <v>346</v>
      </c>
      <c r="BS206" s="15" t="s">
        <v>3021</v>
      </c>
      <c r="DH206" s="15" t="s">
        <v>4597</v>
      </c>
      <c r="DI206" s="15" t="s">
        <v>4597</v>
      </c>
    </row>
    <row r="207" spans="1:113" s="15" customFormat="1" ht="12.75" x14ac:dyDescent="0.2">
      <c r="A207" s="15" t="s">
        <v>109</v>
      </c>
      <c r="B207" s="16" t="s">
        <v>2287</v>
      </c>
      <c r="C207" s="15" t="s">
        <v>2288</v>
      </c>
      <c r="D207" s="15" t="s">
        <v>2997</v>
      </c>
      <c r="E207" s="15" t="s">
        <v>113</v>
      </c>
      <c r="F207" s="15" t="s">
        <v>2997</v>
      </c>
      <c r="G207" s="15" t="s">
        <v>114</v>
      </c>
      <c r="H207" s="15" t="s">
        <v>4536</v>
      </c>
      <c r="J207" s="18" t="s">
        <v>115</v>
      </c>
      <c r="W207" s="15">
        <v>253</v>
      </c>
      <c r="X207" s="15">
        <v>69</v>
      </c>
      <c r="Y207" s="15" t="s">
        <v>2458</v>
      </c>
      <c r="Z207" s="15" t="s">
        <v>2458</v>
      </c>
      <c r="AA207" s="34" t="s">
        <v>2476</v>
      </c>
      <c r="AB207" s="15" t="s">
        <v>3022</v>
      </c>
      <c r="AC207" s="15" t="s">
        <v>3022</v>
      </c>
      <c r="AD207" s="15" t="s">
        <v>3023</v>
      </c>
      <c r="AE207" s="41" t="s">
        <v>2311</v>
      </c>
      <c r="AF207" s="15" t="s">
        <v>3023</v>
      </c>
      <c r="AG207" s="15">
        <v>463233</v>
      </c>
      <c r="AH207" s="41" t="s">
        <v>3024</v>
      </c>
      <c r="AL207" s="15" t="s">
        <v>3025</v>
      </c>
      <c r="AN207" s="15">
        <v>3639</v>
      </c>
      <c r="AO207" s="15" t="s">
        <v>3026</v>
      </c>
      <c r="AQ207" s="28" t="s">
        <v>2653</v>
      </c>
      <c r="AT207" s="15" t="s">
        <v>3027</v>
      </c>
      <c r="AU207" s="15" t="s">
        <v>3028</v>
      </c>
      <c r="AV207" s="15" t="s">
        <v>3028</v>
      </c>
      <c r="AW207" s="15" t="s">
        <v>3029</v>
      </c>
      <c r="AX207" s="15" t="s">
        <v>3030</v>
      </c>
      <c r="AY207" s="39">
        <f t="shared" si="6"/>
        <v>60</v>
      </c>
      <c r="AZ207" s="15" t="s">
        <v>2657</v>
      </c>
      <c r="BA207" s="15" t="s">
        <v>926</v>
      </c>
      <c r="BB207" s="15" t="s">
        <v>2800</v>
      </c>
      <c r="BC207" s="15" t="s">
        <v>3031</v>
      </c>
      <c r="BE207" s="15" t="s">
        <v>3007</v>
      </c>
      <c r="BJ207" s="15" t="s">
        <v>3020</v>
      </c>
      <c r="BN207" s="15" t="s">
        <v>511</v>
      </c>
      <c r="BP207" s="15" t="s">
        <v>346</v>
      </c>
      <c r="BS207" s="15" t="s">
        <v>3032</v>
      </c>
      <c r="DH207" s="15" t="s">
        <v>4597</v>
      </c>
      <c r="DI207" s="15" t="s">
        <v>4597</v>
      </c>
    </row>
    <row r="208" spans="1:113" s="15" customFormat="1" ht="12.75" x14ac:dyDescent="0.2">
      <c r="A208" s="15" t="s">
        <v>109</v>
      </c>
      <c r="B208" s="16" t="s">
        <v>2287</v>
      </c>
      <c r="C208" s="15" t="s">
        <v>2288</v>
      </c>
      <c r="D208" s="15" t="s">
        <v>2997</v>
      </c>
      <c r="E208" s="15" t="s">
        <v>113</v>
      </c>
      <c r="F208" s="15" t="s">
        <v>2997</v>
      </c>
      <c r="G208" s="15" t="s">
        <v>114</v>
      </c>
      <c r="H208" s="15" t="s">
        <v>4536</v>
      </c>
      <c r="J208" s="18" t="s">
        <v>115</v>
      </c>
      <c r="W208" s="15">
        <v>254</v>
      </c>
      <c r="X208" s="15">
        <v>70</v>
      </c>
      <c r="Y208" s="15" t="s">
        <v>2458</v>
      </c>
      <c r="Z208" s="15" t="s">
        <v>2458</v>
      </c>
      <c r="AA208" s="34" t="s">
        <v>2476</v>
      </c>
      <c r="AB208" s="15" t="s">
        <v>3033</v>
      </c>
      <c r="AC208" s="15" t="s">
        <v>3033</v>
      </c>
      <c r="AD208" s="15" t="s">
        <v>3034</v>
      </c>
      <c r="AE208" s="41" t="s">
        <v>2311</v>
      </c>
      <c r="AF208" s="15" t="s">
        <v>3034</v>
      </c>
      <c r="AG208" s="15">
        <v>463234</v>
      </c>
      <c r="AH208" s="41" t="s">
        <v>3035</v>
      </c>
      <c r="AL208" s="15" t="s">
        <v>3036</v>
      </c>
      <c r="AN208" s="15">
        <v>3639</v>
      </c>
      <c r="AO208" s="15" t="s">
        <v>3037</v>
      </c>
      <c r="AQ208" s="28" t="s">
        <v>2653</v>
      </c>
      <c r="AT208" s="15" t="s">
        <v>3038</v>
      </c>
      <c r="AU208" s="15" t="s">
        <v>3039</v>
      </c>
      <c r="AV208" s="15" t="s">
        <v>3039</v>
      </c>
      <c r="AW208" s="15" t="s">
        <v>3040</v>
      </c>
      <c r="AX208" s="15" t="s">
        <v>3041</v>
      </c>
      <c r="AY208" s="39">
        <f t="shared" si="6"/>
        <v>59</v>
      </c>
      <c r="AZ208" s="15" t="s">
        <v>2657</v>
      </c>
      <c r="BA208" s="15" t="s">
        <v>926</v>
      </c>
      <c r="BB208" s="15" t="s">
        <v>2800</v>
      </c>
      <c r="BC208" s="15" t="s">
        <v>3042</v>
      </c>
      <c r="BE208" s="15" t="s">
        <v>3007</v>
      </c>
      <c r="BJ208" s="15" t="s">
        <v>3043</v>
      </c>
      <c r="BN208" s="15" t="s">
        <v>511</v>
      </c>
      <c r="BP208" s="15" t="s">
        <v>346</v>
      </c>
      <c r="BS208" s="15" t="s">
        <v>3044</v>
      </c>
      <c r="DH208" s="15" t="s">
        <v>4597</v>
      </c>
      <c r="DI208" s="15" t="s">
        <v>4597</v>
      </c>
    </row>
    <row r="209" spans="1:113" s="15" customFormat="1" ht="12.75" x14ac:dyDescent="0.2">
      <c r="A209" s="15" t="s">
        <v>109</v>
      </c>
      <c r="B209" s="16" t="s">
        <v>2287</v>
      </c>
      <c r="C209" s="15" t="s">
        <v>2288</v>
      </c>
      <c r="D209" s="15" t="s">
        <v>2997</v>
      </c>
      <c r="E209" s="15" t="s">
        <v>113</v>
      </c>
      <c r="F209" s="15" t="s">
        <v>2997</v>
      </c>
      <c r="G209" s="15" t="s">
        <v>114</v>
      </c>
      <c r="H209" s="15" t="s">
        <v>4536</v>
      </c>
      <c r="J209" s="18" t="s">
        <v>115</v>
      </c>
      <c r="W209" s="15">
        <v>255</v>
      </c>
      <c r="X209" s="15">
        <v>71</v>
      </c>
      <c r="Y209" s="15" t="s">
        <v>2458</v>
      </c>
      <c r="Z209" s="15" t="s">
        <v>2458</v>
      </c>
      <c r="AA209" s="34" t="s">
        <v>2476</v>
      </c>
      <c r="AB209" s="15" t="s">
        <v>3045</v>
      </c>
      <c r="AC209" s="15" t="s">
        <v>3045</v>
      </c>
      <c r="AD209" s="15" t="s">
        <v>3046</v>
      </c>
      <c r="AE209" s="41" t="s">
        <v>2311</v>
      </c>
      <c r="AF209" s="15" t="s">
        <v>3046</v>
      </c>
      <c r="AG209" s="15">
        <v>463235</v>
      </c>
      <c r="AH209" s="41" t="s">
        <v>3047</v>
      </c>
      <c r="AL209" s="15" t="s">
        <v>3048</v>
      </c>
      <c r="AN209" s="15">
        <v>3639</v>
      </c>
      <c r="AO209" s="15" t="s">
        <v>3049</v>
      </c>
      <c r="AQ209" s="28" t="s">
        <v>2653</v>
      </c>
      <c r="AT209" s="15" t="s">
        <v>3050</v>
      </c>
      <c r="AU209" s="15" t="s">
        <v>3051</v>
      </c>
      <c r="AV209" s="15" t="s">
        <v>3051</v>
      </c>
      <c r="AW209" s="15" t="s">
        <v>3052</v>
      </c>
      <c r="AX209" s="15" t="s">
        <v>3053</v>
      </c>
      <c r="AY209" s="39">
        <f t="shared" si="6"/>
        <v>59</v>
      </c>
      <c r="AZ209" s="15" t="s">
        <v>2657</v>
      </c>
      <c r="BA209" s="15" t="s">
        <v>926</v>
      </c>
      <c r="BB209" s="15" t="s">
        <v>2800</v>
      </c>
      <c r="BC209" s="15" t="s">
        <v>3019</v>
      </c>
      <c r="BE209" s="15" t="s">
        <v>3007</v>
      </c>
      <c r="BJ209" s="15" t="s">
        <v>3043</v>
      </c>
      <c r="BN209" s="15" t="s">
        <v>511</v>
      </c>
      <c r="BP209" s="15" t="s">
        <v>346</v>
      </c>
      <c r="BS209" s="15" t="s">
        <v>3054</v>
      </c>
      <c r="DH209" s="15" t="s">
        <v>4597</v>
      </c>
      <c r="DI209" s="15" t="s">
        <v>4597</v>
      </c>
    </row>
    <row r="210" spans="1:113" s="15" customFormat="1" ht="12.75" x14ac:dyDescent="0.2">
      <c r="A210" s="15" t="s">
        <v>109</v>
      </c>
      <c r="B210" s="16" t="s">
        <v>2287</v>
      </c>
      <c r="C210" s="15" t="s">
        <v>2288</v>
      </c>
      <c r="D210" s="15" t="s">
        <v>2997</v>
      </c>
      <c r="E210" s="15" t="s">
        <v>113</v>
      </c>
      <c r="F210" s="15" t="s">
        <v>2997</v>
      </c>
      <c r="G210" s="15" t="s">
        <v>114</v>
      </c>
      <c r="H210" s="15" t="s">
        <v>4536</v>
      </c>
      <c r="J210" s="18" t="s">
        <v>115</v>
      </c>
      <c r="W210" s="15">
        <v>256</v>
      </c>
      <c r="X210" s="15">
        <v>72</v>
      </c>
      <c r="Y210" s="15" t="s">
        <v>2458</v>
      </c>
      <c r="Z210" s="15" t="s">
        <v>2458</v>
      </c>
      <c r="AA210" s="34" t="s">
        <v>2476</v>
      </c>
      <c r="AB210" s="15" t="s">
        <v>3055</v>
      </c>
      <c r="AC210" s="15" t="s">
        <v>3055</v>
      </c>
      <c r="AD210" s="15" t="s">
        <v>3056</v>
      </c>
      <c r="AE210" s="41" t="s">
        <v>2311</v>
      </c>
      <c r="AF210" s="15" t="s">
        <v>3056</v>
      </c>
      <c r="AG210" s="15">
        <v>463236</v>
      </c>
      <c r="AH210" s="41" t="s">
        <v>3057</v>
      </c>
      <c r="AL210" s="15" t="s">
        <v>3058</v>
      </c>
      <c r="AN210" s="15">
        <v>3639</v>
      </c>
      <c r="AO210" s="15" t="s">
        <v>3059</v>
      </c>
      <c r="AQ210" s="28" t="s">
        <v>2653</v>
      </c>
      <c r="AT210" s="15" t="s">
        <v>3060</v>
      </c>
      <c r="AU210" s="15" t="s">
        <v>3061</v>
      </c>
      <c r="AV210" s="15" t="s">
        <v>3061</v>
      </c>
      <c r="AW210" s="15" t="s">
        <v>3062</v>
      </c>
      <c r="AX210" s="15" t="s">
        <v>3063</v>
      </c>
      <c r="AY210" s="39">
        <f t="shared" si="6"/>
        <v>60</v>
      </c>
      <c r="AZ210" s="15" t="s">
        <v>2657</v>
      </c>
      <c r="BA210" s="15" t="s">
        <v>926</v>
      </c>
      <c r="BB210" s="15" t="s">
        <v>2800</v>
      </c>
      <c r="BC210" s="15" t="s">
        <v>3064</v>
      </c>
      <c r="BE210" s="15" t="s">
        <v>3007</v>
      </c>
      <c r="BJ210" s="15" t="s">
        <v>3008</v>
      </c>
      <c r="BN210" s="15" t="s">
        <v>511</v>
      </c>
      <c r="BP210" s="15" t="s">
        <v>346</v>
      </c>
      <c r="BS210" s="15" t="s">
        <v>3065</v>
      </c>
      <c r="DH210" s="15" t="s">
        <v>4597</v>
      </c>
      <c r="DI210" s="15" t="s">
        <v>4597</v>
      </c>
    </row>
    <row r="211" spans="1:113" s="15" customFormat="1" ht="12.75" x14ac:dyDescent="0.2">
      <c r="A211" s="15" t="s">
        <v>109</v>
      </c>
      <c r="B211" s="16" t="s">
        <v>2287</v>
      </c>
      <c r="C211" s="15" t="s">
        <v>2288</v>
      </c>
      <c r="D211" s="15" t="s">
        <v>2997</v>
      </c>
      <c r="E211" s="15" t="s">
        <v>113</v>
      </c>
      <c r="F211" s="15" t="s">
        <v>2997</v>
      </c>
      <c r="G211" s="15" t="s">
        <v>114</v>
      </c>
      <c r="H211" s="15" t="s">
        <v>4536</v>
      </c>
      <c r="J211" s="18" t="s">
        <v>115</v>
      </c>
      <c r="W211" s="15">
        <v>257</v>
      </c>
      <c r="X211" s="15">
        <v>73</v>
      </c>
      <c r="Y211" s="15" t="s">
        <v>2458</v>
      </c>
      <c r="Z211" s="15" t="s">
        <v>2458</v>
      </c>
      <c r="AA211" s="34" t="s">
        <v>2476</v>
      </c>
      <c r="AB211" s="15" t="s">
        <v>3066</v>
      </c>
      <c r="AC211" s="15" t="s">
        <v>3066</v>
      </c>
      <c r="AD211" s="15" t="s">
        <v>3067</v>
      </c>
      <c r="AE211" s="41" t="s">
        <v>2311</v>
      </c>
      <c r="AF211" s="15" t="s">
        <v>3067</v>
      </c>
      <c r="AG211" s="15">
        <v>463237</v>
      </c>
      <c r="AH211" s="41" t="s">
        <v>3068</v>
      </c>
      <c r="AL211" s="15" t="s">
        <v>3069</v>
      </c>
      <c r="AN211" s="15">
        <v>3639</v>
      </c>
      <c r="AO211" s="15" t="s">
        <v>3070</v>
      </c>
      <c r="AQ211" s="28" t="s">
        <v>2653</v>
      </c>
      <c r="AT211" s="15" t="s">
        <v>3071</v>
      </c>
      <c r="AU211" s="15" t="s">
        <v>3072</v>
      </c>
      <c r="AV211" s="15" t="s">
        <v>3072</v>
      </c>
      <c r="AW211" s="15" t="s">
        <v>3073</v>
      </c>
      <c r="AX211" s="15" t="s">
        <v>3074</v>
      </c>
      <c r="AY211" s="39">
        <f t="shared" si="6"/>
        <v>60</v>
      </c>
      <c r="AZ211" s="15" t="s">
        <v>2657</v>
      </c>
      <c r="BA211" s="15" t="s">
        <v>926</v>
      </c>
      <c r="BB211" s="15" t="s">
        <v>2800</v>
      </c>
      <c r="BC211" s="15" t="s">
        <v>3075</v>
      </c>
      <c r="BE211" s="15" t="s">
        <v>3007</v>
      </c>
      <c r="BJ211" s="15" t="s">
        <v>3008</v>
      </c>
      <c r="BN211" s="15" t="s">
        <v>511</v>
      </c>
      <c r="BP211" s="15" t="s">
        <v>346</v>
      </c>
      <c r="BS211" s="15" t="s">
        <v>3076</v>
      </c>
      <c r="DH211" s="15" t="s">
        <v>4597</v>
      </c>
      <c r="DI211" s="15" t="s">
        <v>4597</v>
      </c>
    </row>
    <row r="212" spans="1:113" s="15" customFormat="1" ht="12.75" x14ac:dyDescent="0.2">
      <c r="A212" s="15" t="s">
        <v>109</v>
      </c>
      <c r="B212" s="16" t="s">
        <v>2287</v>
      </c>
      <c r="C212" s="15" t="s">
        <v>2288</v>
      </c>
      <c r="D212" s="15" t="s">
        <v>2997</v>
      </c>
      <c r="E212" s="15" t="s">
        <v>113</v>
      </c>
      <c r="F212" s="15" t="s">
        <v>2997</v>
      </c>
      <c r="G212" s="15" t="s">
        <v>114</v>
      </c>
      <c r="H212" s="15" t="s">
        <v>4536</v>
      </c>
      <c r="J212" s="18" t="s">
        <v>115</v>
      </c>
      <c r="W212" s="15">
        <v>258</v>
      </c>
      <c r="X212" s="15">
        <v>74</v>
      </c>
      <c r="Y212" s="15" t="s">
        <v>2458</v>
      </c>
      <c r="Z212" s="15" t="s">
        <v>2458</v>
      </c>
      <c r="AA212" s="34" t="s">
        <v>2476</v>
      </c>
      <c r="AB212" s="15" t="s">
        <v>3077</v>
      </c>
      <c r="AC212" s="15" t="s">
        <v>3077</v>
      </c>
      <c r="AD212" s="15" t="s">
        <v>3078</v>
      </c>
      <c r="AE212" s="41" t="s">
        <v>2311</v>
      </c>
      <c r="AF212" s="15" t="s">
        <v>3078</v>
      </c>
      <c r="AG212" s="15">
        <v>463411</v>
      </c>
      <c r="AH212" s="41" t="s">
        <v>3079</v>
      </c>
      <c r="AL212" s="15" t="s">
        <v>3080</v>
      </c>
      <c r="AN212" s="15">
        <v>3639</v>
      </c>
      <c r="AO212" s="15" t="s">
        <v>3081</v>
      </c>
      <c r="AQ212" s="28" t="s">
        <v>2653</v>
      </c>
      <c r="AT212" s="15" t="s">
        <v>3082</v>
      </c>
      <c r="AU212" s="15" t="s">
        <v>3083</v>
      </c>
      <c r="AV212" s="15" t="s">
        <v>3083</v>
      </c>
      <c r="AW212" s="15" t="s">
        <v>3084</v>
      </c>
      <c r="AX212" s="15" t="s">
        <v>3085</v>
      </c>
      <c r="AY212" s="39">
        <f t="shared" si="6"/>
        <v>55</v>
      </c>
      <c r="AZ212" s="15" t="s">
        <v>2657</v>
      </c>
      <c r="BA212" s="15" t="s">
        <v>926</v>
      </c>
      <c r="BB212" s="15" t="s">
        <v>2800</v>
      </c>
      <c r="BC212" s="15" t="s">
        <v>3042</v>
      </c>
      <c r="BE212" s="15" t="s">
        <v>3086</v>
      </c>
      <c r="BF212" s="15" t="s">
        <v>3087</v>
      </c>
      <c r="BJ212" s="15" t="s">
        <v>3088</v>
      </c>
      <c r="BN212" s="15" t="s">
        <v>511</v>
      </c>
      <c r="BP212" s="15" t="s">
        <v>346</v>
      </c>
      <c r="BS212" s="15" t="s">
        <v>3089</v>
      </c>
      <c r="DH212" s="15" t="s">
        <v>4597</v>
      </c>
      <c r="DI212" s="15" t="s">
        <v>4597</v>
      </c>
    </row>
    <row r="213" spans="1:113" s="15" customFormat="1" ht="12.75" x14ac:dyDescent="0.2">
      <c r="A213" s="15" t="s">
        <v>109</v>
      </c>
      <c r="B213" s="16" t="s">
        <v>2287</v>
      </c>
      <c r="C213" s="15" t="s">
        <v>2288</v>
      </c>
      <c r="D213" s="15" t="s">
        <v>2997</v>
      </c>
      <c r="E213" s="15" t="s">
        <v>113</v>
      </c>
      <c r="F213" s="15" t="s">
        <v>2997</v>
      </c>
      <c r="G213" s="15" t="s">
        <v>114</v>
      </c>
      <c r="H213" s="15" t="s">
        <v>4536</v>
      </c>
      <c r="J213" s="18" t="s">
        <v>115</v>
      </c>
      <c r="W213" s="15">
        <v>259</v>
      </c>
      <c r="X213" s="15">
        <v>75</v>
      </c>
      <c r="Y213" s="15" t="s">
        <v>2458</v>
      </c>
      <c r="Z213" s="15" t="s">
        <v>2458</v>
      </c>
      <c r="AA213" s="34" t="s">
        <v>2476</v>
      </c>
      <c r="AB213" s="15" t="s">
        <v>3090</v>
      </c>
      <c r="AC213" s="15" t="s">
        <v>3090</v>
      </c>
      <c r="AD213" s="15" t="s">
        <v>3091</v>
      </c>
      <c r="AE213" s="41" t="s">
        <v>2311</v>
      </c>
      <c r="AF213" s="15" t="s">
        <v>3091</v>
      </c>
      <c r="AG213" s="15">
        <v>463412</v>
      </c>
      <c r="AH213" s="41" t="s">
        <v>3092</v>
      </c>
      <c r="AL213" s="15" t="s">
        <v>3093</v>
      </c>
      <c r="AN213" s="15">
        <v>3639</v>
      </c>
      <c r="AO213" s="15" t="s">
        <v>3094</v>
      </c>
      <c r="AQ213" s="28" t="s">
        <v>2653</v>
      </c>
      <c r="AT213" s="15" t="s">
        <v>3095</v>
      </c>
      <c r="AU213" s="15" t="s">
        <v>3096</v>
      </c>
      <c r="AV213" s="15" t="s">
        <v>3096</v>
      </c>
      <c r="AW213" s="15" t="s">
        <v>3097</v>
      </c>
      <c r="AX213" s="15" t="s">
        <v>3098</v>
      </c>
      <c r="AY213" s="39">
        <f t="shared" si="6"/>
        <v>57</v>
      </c>
      <c r="AZ213" s="15" t="s">
        <v>2657</v>
      </c>
      <c r="BA213" s="15" t="s">
        <v>926</v>
      </c>
      <c r="BB213" s="15" t="s">
        <v>2800</v>
      </c>
      <c r="BC213" s="15" t="s">
        <v>3019</v>
      </c>
      <c r="BE213" s="15" t="s">
        <v>3086</v>
      </c>
      <c r="BF213" s="15" t="s">
        <v>3087</v>
      </c>
      <c r="BJ213" s="15" t="s">
        <v>3088</v>
      </c>
      <c r="BN213" s="15" t="s">
        <v>511</v>
      </c>
      <c r="BP213" s="15" t="s">
        <v>346</v>
      </c>
      <c r="BS213" s="15" t="s">
        <v>3099</v>
      </c>
      <c r="DH213" s="15" t="s">
        <v>4597</v>
      </c>
      <c r="DI213" s="15" t="s">
        <v>4597</v>
      </c>
    </row>
    <row r="214" spans="1:113" s="15" customFormat="1" ht="12.75" x14ac:dyDescent="0.2">
      <c r="A214" s="15" t="s">
        <v>109</v>
      </c>
      <c r="B214" s="16" t="s">
        <v>2287</v>
      </c>
      <c r="C214" s="15" t="s">
        <v>2288</v>
      </c>
      <c r="D214" s="15" t="s">
        <v>2997</v>
      </c>
      <c r="E214" s="15" t="s">
        <v>113</v>
      </c>
      <c r="F214" s="15" t="s">
        <v>2997</v>
      </c>
      <c r="G214" s="15" t="s">
        <v>114</v>
      </c>
      <c r="H214" s="15" t="s">
        <v>4536</v>
      </c>
      <c r="J214" s="18" t="s">
        <v>115</v>
      </c>
      <c r="W214" s="15">
        <v>260</v>
      </c>
      <c r="X214" s="15">
        <v>76</v>
      </c>
      <c r="Y214" s="15" t="s">
        <v>2458</v>
      </c>
      <c r="Z214" s="15" t="s">
        <v>2458</v>
      </c>
      <c r="AA214" s="34" t="s">
        <v>2476</v>
      </c>
      <c r="AB214" s="15" t="s">
        <v>3100</v>
      </c>
      <c r="AC214" s="15" t="s">
        <v>3100</v>
      </c>
      <c r="AD214" s="15" t="s">
        <v>3101</v>
      </c>
      <c r="AE214" s="41" t="s">
        <v>2311</v>
      </c>
      <c r="AF214" s="15" t="s">
        <v>3101</v>
      </c>
      <c r="AG214" s="15">
        <v>463413</v>
      </c>
      <c r="AH214" s="41" t="s">
        <v>3102</v>
      </c>
      <c r="AL214" s="15" t="s">
        <v>3103</v>
      </c>
      <c r="AN214" s="15">
        <v>3639</v>
      </c>
      <c r="AO214" s="15" t="s">
        <v>3104</v>
      </c>
      <c r="AQ214" s="28" t="s">
        <v>2653</v>
      </c>
      <c r="AT214" s="15" t="s">
        <v>3105</v>
      </c>
      <c r="AU214" s="15" t="s">
        <v>3106</v>
      </c>
      <c r="AV214" s="15" t="s">
        <v>3106</v>
      </c>
      <c r="AW214" s="15" t="s">
        <v>3107</v>
      </c>
      <c r="AX214" s="15" t="s">
        <v>3108</v>
      </c>
      <c r="AY214" s="39">
        <f t="shared" si="6"/>
        <v>56</v>
      </c>
      <c r="AZ214" s="15" t="s">
        <v>2657</v>
      </c>
      <c r="BA214" s="15" t="s">
        <v>926</v>
      </c>
      <c r="BB214" s="15" t="s">
        <v>2800</v>
      </c>
      <c r="BC214" s="15" t="s">
        <v>3031</v>
      </c>
      <c r="BE214" s="15" t="s">
        <v>3086</v>
      </c>
      <c r="BF214" s="15" t="s">
        <v>3087</v>
      </c>
      <c r="BJ214" s="15" t="s">
        <v>3088</v>
      </c>
      <c r="BN214" s="15" t="s">
        <v>511</v>
      </c>
      <c r="BP214" s="15" t="s">
        <v>346</v>
      </c>
      <c r="BS214" s="15" t="s">
        <v>3109</v>
      </c>
      <c r="DH214" s="15" t="s">
        <v>4597</v>
      </c>
      <c r="DI214" s="15" t="s">
        <v>4597</v>
      </c>
    </row>
    <row r="215" spans="1:113" s="15" customFormat="1" ht="12.75" x14ac:dyDescent="0.2">
      <c r="A215" s="15" t="s">
        <v>109</v>
      </c>
      <c r="B215" s="16" t="s">
        <v>2287</v>
      </c>
      <c r="C215" s="15" t="s">
        <v>2288</v>
      </c>
      <c r="D215" s="15" t="s">
        <v>2997</v>
      </c>
      <c r="E215" s="15" t="s">
        <v>113</v>
      </c>
      <c r="F215" s="15" t="s">
        <v>2997</v>
      </c>
      <c r="G215" s="15" t="s">
        <v>114</v>
      </c>
      <c r="H215" s="15" t="s">
        <v>4536</v>
      </c>
      <c r="J215" s="18" t="s">
        <v>115</v>
      </c>
      <c r="W215" s="15">
        <v>261</v>
      </c>
      <c r="X215" s="15">
        <v>77</v>
      </c>
      <c r="Y215" s="15" t="s">
        <v>2458</v>
      </c>
      <c r="Z215" s="15" t="s">
        <v>2458</v>
      </c>
      <c r="AA215" s="34" t="s">
        <v>2476</v>
      </c>
      <c r="AB215" s="15" t="s">
        <v>3110</v>
      </c>
      <c r="AC215" s="15" t="s">
        <v>3110</v>
      </c>
      <c r="AD215" s="15" t="s">
        <v>3111</v>
      </c>
      <c r="AE215" s="41" t="s">
        <v>2311</v>
      </c>
      <c r="AF215" s="15" t="s">
        <v>3111</v>
      </c>
      <c r="AG215" s="15">
        <v>463414</v>
      </c>
      <c r="AH215" s="41" t="s">
        <v>3112</v>
      </c>
      <c r="AL215" s="15" t="s">
        <v>3113</v>
      </c>
      <c r="AN215" s="15">
        <v>3639</v>
      </c>
      <c r="AO215" s="15" t="s">
        <v>3114</v>
      </c>
      <c r="AQ215" s="28" t="s">
        <v>2653</v>
      </c>
      <c r="AT215" s="15" t="s">
        <v>3115</v>
      </c>
      <c r="AU215" s="15" t="s">
        <v>3116</v>
      </c>
      <c r="AV215" s="15" t="s">
        <v>3116</v>
      </c>
      <c r="AW215" s="15" t="s">
        <v>3117</v>
      </c>
      <c r="AX215" s="15" t="s">
        <v>3118</v>
      </c>
      <c r="AY215" s="39">
        <f t="shared" si="6"/>
        <v>58</v>
      </c>
      <c r="AZ215" s="15" t="s">
        <v>2657</v>
      </c>
      <c r="BA215" s="15" t="s">
        <v>926</v>
      </c>
      <c r="BB215" s="15" t="s">
        <v>2800</v>
      </c>
      <c r="BC215" s="15" t="s">
        <v>3119</v>
      </c>
      <c r="BE215" s="15" t="s">
        <v>3086</v>
      </c>
      <c r="BF215" s="15" t="s">
        <v>3087</v>
      </c>
      <c r="BJ215" s="15" t="s">
        <v>3088</v>
      </c>
      <c r="BN215" s="15" t="s">
        <v>511</v>
      </c>
      <c r="BP215" s="15" t="s">
        <v>346</v>
      </c>
      <c r="BS215" s="15" t="s">
        <v>3120</v>
      </c>
      <c r="DH215" s="15" t="s">
        <v>4597</v>
      </c>
      <c r="DI215" s="15" t="s">
        <v>4597</v>
      </c>
    </row>
    <row r="216" spans="1:113" s="15" customFormat="1" ht="12.75" x14ac:dyDescent="0.2">
      <c r="A216" s="15" t="s">
        <v>109</v>
      </c>
      <c r="B216" s="16" t="s">
        <v>2287</v>
      </c>
      <c r="C216" s="15" t="s">
        <v>2288</v>
      </c>
      <c r="D216" s="15" t="s">
        <v>2997</v>
      </c>
      <c r="E216" s="15" t="s">
        <v>113</v>
      </c>
      <c r="F216" s="15" t="s">
        <v>2997</v>
      </c>
      <c r="G216" s="15" t="s">
        <v>114</v>
      </c>
      <c r="H216" s="15" t="s">
        <v>4536</v>
      </c>
      <c r="J216" s="18" t="s">
        <v>115</v>
      </c>
      <c r="W216" s="15">
        <v>262</v>
      </c>
      <c r="X216" s="15">
        <v>78</v>
      </c>
      <c r="Y216" s="15" t="s">
        <v>2458</v>
      </c>
      <c r="Z216" s="15" t="s">
        <v>2458</v>
      </c>
      <c r="AA216" s="34" t="s">
        <v>2476</v>
      </c>
      <c r="AB216" s="15" t="s">
        <v>3121</v>
      </c>
      <c r="AC216" s="15" t="s">
        <v>3121</v>
      </c>
      <c r="AD216" s="15" t="s">
        <v>3122</v>
      </c>
      <c r="AE216" s="41" t="s">
        <v>2311</v>
      </c>
      <c r="AF216" s="15" t="s">
        <v>3122</v>
      </c>
      <c r="AG216" s="15">
        <v>463415</v>
      </c>
      <c r="AH216" s="41" t="s">
        <v>3123</v>
      </c>
      <c r="AL216" s="15" t="s">
        <v>3124</v>
      </c>
      <c r="AN216" s="15">
        <v>3639</v>
      </c>
      <c r="AO216" s="15" t="s">
        <v>3125</v>
      </c>
      <c r="AQ216" s="28" t="s">
        <v>2653</v>
      </c>
      <c r="AT216" s="15" t="s">
        <v>3126</v>
      </c>
      <c r="AU216" s="15" t="s">
        <v>3127</v>
      </c>
      <c r="AV216" s="15" t="s">
        <v>3127</v>
      </c>
      <c r="AW216" s="15" t="s">
        <v>3128</v>
      </c>
      <c r="AX216" s="15" t="s">
        <v>3129</v>
      </c>
      <c r="AY216" s="39">
        <f t="shared" si="6"/>
        <v>58</v>
      </c>
      <c r="AZ216" s="15" t="s">
        <v>2657</v>
      </c>
      <c r="BA216" s="15" t="s">
        <v>926</v>
      </c>
      <c r="BB216" s="15" t="s">
        <v>2800</v>
      </c>
      <c r="BC216" s="15" t="s">
        <v>2837</v>
      </c>
      <c r="BE216" s="15" t="s">
        <v>3086</v>
      </c>
      <c r="BF216" s="15" t="s">
        <v>3087</v>
      </c>
      <c r="BJ216" s="15" t="s">
        <v>3088</v>
      </c>
      <c r="BN216" s="15" t="s">
        <v>511</v>
      </c>
      <c r="BP216" s="15" t="s">
        <v>346</v>
      </c>
      <c r="BS216" s="15" t="s">
        <v>3130</v>
      </c>
      <c r="DH216" s="15" t="s">
        <v>4597</v>
      </c>
      <c r="DI216" s="15" t="s">
        <v>4597</v>
      </c>
    </row>
    <row r="217" spans="1:113" s="15" customFormat="1" ht="12.75" x14ac:dyDescent="0.2">
      <c r="A217" s="15" t="s">
        <v>109</v>
      </c>
      <c r="B217" s="16" t="s">
        <v>2287</v>
      </c>
      <c r="C217" s="15" t="s">
        <v>2288</v>
      </c>
      <c r="D217" s="15" t="s">
        <v>2997</v>
      </c>
      <c r="E217" s="15" t="s">
        <v>113</v>
      </c>
      <c r="F217" s="15" t="s">
        <v>2997</v>
      </c>
      <c r="G217" s="15" t="s">
        <v>114</v>
      </c>
      <c r="H217" s="15" t="s">
        <v>4536</v>
      </c>
      <c r="J217" s="18" t="s">
        <v>115</v>
      </c>
      <c r="W217" s="15">
        <v>263</v>
      </c>
      <c r="X217" s="15">
        <v>79</v>
      </c>
      <c r="Y217" s="15" t="s">
        <v>2458</v>
      </c>
      <c r="Z217" s="15" t="s">
        <v>2458</v>
      </c>
      <c r="AA217" s="34" t="s">
        <v>2476</v>
      </c>
      <c r="AB217" s="15" t="s">
        <v>3131</v>
      </c>
      <c r="AC217" s="15" t="s">
        <v>3131</v>
      </c>
      <c r="AD217" s="15" t="s">
        <v>3132</v>
      </c>
      <c r="AE217" s="41" t="s">
        <v>2311</v>
      </c>
      <c r="AF217" s="15" t="s">
        <v>3132</v>
      </c>
      <c r="AG217" s="15">
        <v>463416</v>
      </c>
      <c r="AH217" s="41" t="s">
        <v>3133</v>
      </c>
      <c r="AL217" s="15" t="s">
        <v>3134</v>
      </c>
      <c r="AN217" s="15">
        <v>3639</v>
      </c>
      <c r="AO217" s="15" t="s">
        <v>3135</v>
      </c>
      <c r="AQ217" s="28" t="s">
        <v>2653</v>
      </c>
      <c r="AT217" s="15" t="s">
        <v>3136</v>
      </c>
      <c r="AU217" s="15" t="s">
        <v>3137</v>
      </c>
      <c r="AV217" s="15" t="s">
        <v>3137</v>
      </c>
      <c r="AW217" s="15" t="s">
        <v>3138</v>
      </c>
      <c r="AX217" s="15" t="s">
        <v>3139</v>
      </c>
      <c r="AY217" s="39">
        <f t="shared" si="6"/>
        <v>58</v>
      </c>
      <c r="AZ217" s="15" t="s">
        <v>2657</v>
      </c>
      <c r="BA217" s="15" t="s">
        <v>926</v>
      </c>
      <c r="BB217" s="15" t="s">
        <v>2800</v>
      </c>
      <c r="BC217" s="15" t="s">
        <v>3064</v>
      </c>
      <c r="BE217" s="15" t="s">
        <v>3086</v>
      </c>
      <c r="BF217" s="15" t="s">
        <v>3087</v>
      </c>
      <c r="BJ217" s="15" t="s">
        <v>3088</v>
      </c>
      <c r="BN217" s="15" t="s">
        <v>511</v>
      </c>
      <c r="BP217" s="15" t="s">
        <v>346</v>
      </c>
      <c r="BS217" s="15" t="s">
        <v>3140</v>
      </c>
      <c r="DH217" s="15" t="s">
        <v>4597</v>
      </c>
      <c r="DI217" s="15" t="s">
        <v>4597</v>
      </c>
    </row>
    <row r="218" spans="1:113" s="15" customFormat="1" ht="12.75" x14ac:dyDescent="0.2">
      <c r="A218" s="15" t="s">
        <v>109</v>
      </c>
      <c r="B218" s="16" t="s">
        <v>2287</v>
      </c>
      <c r="C218" s="15" t="s">
        <v>2288</v>
      </c>
      <c r="D218" s="15" t="s">
        <v>2997</v>
      </c>
      <c r="E218" s="15" t="s">
        <v>113</v>
      </c>
      <c r="F218" s="15" t="s">
        <v>2997</v>
      </c>
      <c r="G218" s="15" t="s">
        <v>114</v>
      </c>
      <c r="H218" s="15" t="s">
        <v>4536</v>
      </c>
      <c r="J218" s="18" t="s">
        <v>115</v>
      </c>
      <c r="W218" s="15">
        <v>264</v>
      </c>
      <c r="X218" s="15">
        <v>80</v>
      </c>
      <c r="Y218" s="15" t="s">
        <v>2458</v>
      </c>
      <c r="Z218" s="15" t="s">
        <v>2458</v>
      </c>
      <c r="AA218" s="34" t="s">
        <v>2476</v>
      </c>
      <c r="AB218" s="15" t="s">
        <v>3141</v>
      </c>
      <c r="AC218" s="15" t="s">
        <v>3141</v>
      </c>
      <c r="AD218" s="15" t="s">
        <v>3142</v>
      </c>
      <c r="AE218" s="15" t="s">
        <v>2311</v>
      </c>
      <c r="AF218" s="15" t="s">
        <v>3142</v>
      </c>
      <c r="AG218" s="15">
        <v>463417</v>
      </c>
      <c r="AH218" s="15" t="s">
        <v>3143</v>
      </c>
      <c r="AL218" s="15" t="s">
        <v>3144</v>
      </c>
      <c r="AN218" s="15">
        <v>3639</v>
      </c>
      <c r="AO218" s="15" t="s">
        <v>3145</v>
      </c>
      <c r="AQ218" s="28" t="s">
        <v>2653</v>
      </c>
      <c r="AT218" s="15" t="s">
        <v>3146</v>
      </c>
      <c r="AU218" s="15" t="s">
        <v>3147</v>
      </c>
      <c r="AV218" s="15" t="s">
        <v>3147</v>
      </c>
      <c r="AW218" s="15" t="s">
        <v>3148</v>
      </c>
      <c r="AX218" s="15" t="s">
        <v>3149</v>
      </c>
      <c r="AY218" s="39">
        <f t="shared" si="6"/>
        <v>58</v>
      </c>
      <c r="AZ218" s="15" t="s">
        <v>2657</v>
      </c>
      <c r="BA218" s="15" t="s">
        <v>926</v>
      </c>
      <c r="BB218" s="15" t="s">
        <v>2800</v>
      </c>
      <c r="BC218" s="15" t="s">
        <v>3075</v>
      </c>
      <c r="BE218" s="15" t="s">
        <v>3086</v>
      </c>
      <c r="BF218" s="15" t="s">
        <v>3087</v>
      </c>
      <c r="BJ218" s="15" t="s">
        <v>3088</v>
      </c>
      <c r="BN218" s="15" t="s">
        <v>511</v>
      </c>
      <c r="BP218" s="15" t="s">
        <v>346</v>
      </c>
      <c r="BS218" s="15" t="s">
        <v>3150</v>
      </c>
      <c r="DH218" s="15" t="s">
        <v>4597</v>
      </c>
      <c r="DI218" s="15" t="s">
        <v>4597</v>
      </c>
    </row>
    <row r="219" spans="1:113" s="15" customFormat="1" ht="12.75" x14ac:dyDescent="0.2">
      <c r="A219" s="15" t="s">
        <v>109</v>
      </c>
      <c r="B219" s="16" t="s">
        <v>2287</v>
      </c>
      <c r="C219" s="15" t="s">
        <v>2288</v>
      </c>
      <c r="D219" s="15" t="s">
        <v>2997</v>
      </c>
      <c r="E219" s="15" t="s">
        <v>113</v>
      </c>
      <c r="F219" s="15" t="s">
        <v>2997</v>
      </c>
      <c r="G219" s="15" t="s">
        <v>114</v>
      </c>
      <c r="H219" s="15" t="s">
        <v>4536</v>
      </c>
      <c r="J219" s="18" t="s">
        <v>115</v>
      </c>
      <c r="W219" s="15">
        <v>265</v>
      </c>
      <c r="X219" s="15">
        <v>81</v>
      </c>
      <c r="Y219" s="15" t="s">
        <v>2458</v>
      </c>
      <c r="Z219" s="15" t="s">
        <v>2458</v>
      </c>
      <c r="AA219" s="34" t="s">
        <v>2476</v>
      </c>
      <c r="AB219" s="15" t="s">
        <v>3151</v>
      </c>
      <c r="AC219" s="15" t="s">
        <v>3151</v>
      </c>
      <c r="AD219" s="15" t="s">
        <v>3152</v>
      </c>
      <c r="AE219" s="15" t="s">
        <v>2311</v>
      </c>
      <c r="AF219" s="15" t="s">
        <v>3152</v>
      </c>
      <c r="AG219" s="15">
        <v>463418</v>
      </c>
      <c r="AH219" s="15" t="s">
        <v>3153</v>
      </c>
      <c r="AL219" s="15" t="s">
        <v>3154</v>
      </c>
      <c r="AN219" s="15">
        <v>3639</v>
      </c>
      <c r="AO219" s="15" t="s">
        <v>3155</v>
      </c>
      <c r="AQ219" s="28" t="s">
        <v>2653</v>
      </c>
      <c r="AT219" s="15" t="s">
        <v>3156</v>
      </c>
      <c r="AU219" s="15" t="s">
        <v>3157</v>
      </c>
      <c r="AV219" s="15" t="s">
        <v>3157</v>
      </c>
      <c r="AW219" s="15" t="s">
        <v>3158</v>
      </c>
      <c r="AX219" s="15" t="s">
        <v>3159</v>
      </c>
      <c r="AY219" s="39">
        <f t="shared" si="6"/>
        <v>58</v>
      </c>
      <c r="AZ219" s="15" t="s">
        <v>2657</v>
      </c>
      <c r="BA219" s="15" t="s">
        <v>926</v>
      </c>
      <c r="BB219" s="15" t="s">
        <v>2800</v>
      </c>
      <c r="BC219" s="15" t="s">
        <v>3042</v>
      </c>
      <c r="BE219" s="15" t="s">
        <v>3086</v>
      </c>
      <c r="BF219" s="15" t="s">
        <v>3087</v>
      </c>
      <c r="BJ219" s="15" t="s">
        <v>3160</v>
      </c>
      <c r="BN219" s="15" t="s">
        <v>511</v>
      </c>
      <c r="BP219" s="15" t="s">
        <v>346</v>
      </c>
      <c r="BS219" s="15" t="s">
        <v>3161</v>
      </c>
      <c r="DH219" s="15" t="s">
        <v>4597</v>
      </c>
      <c r="DI219" s="15" t="s">
        <v>4597</v>
      </c>
    </row>
    <row r="220" spans="1:113" s="15" customFormat="1" ht="12.75" x14ac:dyDescent="0.2">
      <c r="A220" s="15" t="s">
        <v>109</v>
      </c>
      <c r="B220" s="16" t="s">
        <v>2287</v>
      </c>
      <c r="C220" s="15" t="s">
        <v>2288</v>
      </c>
      <c r="D220" s="15" t="s">
        <v>2997</v>
      </c>
      <c r="E220" s="15" t="s">
        <v>113</v>
      </c>
      <c r="F220" s="15" t="s">
        <v>2997</v>
      </c>
      <c r="G220" s="15" t="s">
        <v>114</v>
      </c>
      <c r="H220" s="15" t="s">
        <v>4536</v>
      </c>
      <c r="J220" s="18" t="s">
        <v>115</v>
      </c>
      <c r="W220" s="15">
        <v>266</v>
      </c>
      <c r="X220" s="15">
        <v>82</v>
      </c>
      <c r="Y220" s="15" t="s">
        <v>2458</v>
      </c>
      <c r="Z220" s="15" t="s">
        <v>2458</v>
      </c>
      <c r="AA220" s="34" t="s">
        <v>2476</v>
      </c>
      <c r="AB220" s="15" t="s">
        <v>3162</v>
      </c>
      <c r="AC220" s="15" t="s">
        <v>3162</v>
      </c>
      <c r="AD220" s="15" t="s">
        <v>3163</v>
      </c>
      <c r="AE220" s="15" t="s">
        <v>2311</v>
      </c>
      <c r="AF220" s="15" t="s">
        <v>3163</v>
      </c>
      <c r="AG220" s="15">
        <v>463420</v>
      </c>
      <c r="AH220" s="15" t="s">
        <v>3164</v>
      </c>
      <c r="AL220" s="15" t="s">
        <v>3165</v>
      </c>
      <c r="AN220" s="15">
        <v>3639</v>
      </c>
      <c r="AO220" s="15" t="s">
        <v>3166</v>
      </c>
      <c r="AQ220" s="28" t="s">
        <v>2653</v>
      </c>
      <c r="AT220" s="15" t="s">
        <v>3167</v>
      </c>
      <c r="AU220" s="15" t="s">
        <v>3168</v>
      </c>
      <c r="AV220" s="15" t="s">
        <v>3168</v>
      </c>
      <c r="AW220" s="15" t="s">
        <v>3169</v>
      </c>
      <c r="AX220" s="15" t="s">
        <v>3170</v>
      </c>
      <c r="AY220" s="39">
        <f t="shared" si="6"/>
        <v>59</v>
      </c>
      <c r="AZ220" s="15" t="s">
        <v>2657</v>
      </c>
      <c r="BA220" s="15" t="s">
        <v>926</v>
      </c>
      <c r="BB220" s="15" t="s">
        <v>2800</v>
      </c>
      <c r="BC220" s="15" t="s">
        <v>3031</v>
      </c>
      <c r="BE220" s="15" t="s">
        <v>3086</v>
      </c>
      <c r="BF220" s="15" t="s">
        <v>3087</v>
      </c>
      <c r="BJ220" s="15" t="s">
        <v>3160</v>
      </c>
      <c r="BN220" s="15" t="s">
        <v>511</v>
      </c>
      <c r="BP220" s="15" t="s">
        <v>346</v>
      </c>
      <c r="BS220" s="15" t="s">
        <v>3171</v>
      </c>
      <c r="DH220" s="15" t="s">
        <v>4597</v>
      </c>
      <c r="DI220" s="15" t="s">
        <v>4597</v>
      </c>
    </row>
    <row r="221" spans="1:113" s="15" customFormat="1" ht="12.75" x14ac:dyDescent="0.2">
      <c r="A221" s="15" t="s">
        <v>109</v>
      </c>
      <c r="B221" s="16" t="s">
        <v>2287</v>
      </c>
      <c r="C221" s="15" t="s">
        <v>2288</v>
      </c>
      <c r="D221" s="15" t="s">
        <v>2997</v>
      </c>
      <c r="E221" s="15" t="s">
        <v>113</v>
      </c>
      <c r="F221" s="15" t="s">
        <v>2997</v>
      </c>
      <c r="G221" s="15" t="s">
        <v>114</v>
      </c>
      <c r="H221" s="15" t="s">
        <v>4536</v>
      </c>
      <c r="J221" s="18" t="s">
        <v>115</v>
      </c>
      <c r="W221" s="15">
        <v>267</v>
      </c>
      <c r="X221" s="15">
        <v>83</v>
      </c>
      <c r="Y221" s="15" t="s">
        <v>2458</v>
      </c>
      <c r="Z221" s="15" t="s">
        <v>2458</v>
      </c>
      <c r="AA221" s="34" t="s">
        <v>2476</v>
      </c>
      <c r="AB221" s="15" t="s">
        <v>3172</v>
      </c>
      <c r="AC221" s="15" t="s">
        <v>3172</v>
      </c>
      <c r="AD221" s="15" t="s">
        <v>3173</v>
      </c>
      <c r="AE221" s="38" t="s">
        <v>2311</v>
      </c>
      <c r="AF221" s="15" t="s">
        <v>3173</v>
      </c>
      <c r="AG221" s="15">
        <v>501530</v>
      </c>
      <c r="AH221" s="38" t="s">
        <v>3174</v>
      </c>
      <c r="AL221" s="15" t="s">
        <v>3175</v>
      </c>
      <c r="AN221" s="15">
        <v>3639</v>
      </c>
      <c r="AO221" s="15" t="s">
        <v>3176</v>
      </c>
      <c r="AQ221" s="28" t="s">
        <v>2901</v>
      </c>
      <c r="AT221" s="15" t="s">
        <v>3177</v>
      </c>
      <c r="AU221" s="15" t="s">
        <v>3178</v>
      </c>
      <c r="AV221" s="15" t="s">
        <v>3178</v>
      </c>
      <c r="AW221" s="15" t="s">
        <v>3179</v>
      </c>
      <c r="AX221" s="15" t="s">
        <v>3179</v>
      </c>
      <c r="AY221" s="39">
        <f t="shared" si="6"/>
        <v>49</v>
      </c>
      <c r="AZ221" s="15" t="s">
        <v>2904</v>
      </c>
      <c r="BA221" s="15" t="s">
        <v>2427</v>
      </c>
      <c r="BB221" s="15" t="s">
        <v>3180</v>
      </c>
      <c r="BE221" s="15" t="s">
        <v>3181</v>
      </c>
      <c r="BN221" s="15" t="s">
        <v>511</v>
      </c>
      <c r="BO221" s="15" t="s">
        <v>3182</v>
      </c>
      <c r="BP221" s="15" t="s">
        <v>346</v>
      </c>
      <c r="BR221" s="15" t="s">
        <v>3183</v>
      </c>
      <c r="BS221" s="15" t="s">
        <v>3184</v>
      </c>
      <c r="DH221" s="15" t="s">
        <v>4597</v>
      </c>
      <c r="DI221" s="15" t="s">
        <v>4597</v>
      </c>
    </row>
    <row r="222" spans="1:113" s="15" customFormat="1" ht="12.75" x14ac:dyDescent="0.2">
      <c r="A222" s="15" t="s">
        <v>109</v>
      </c>
      <c r="B222" s="16" t="s">
        <v>2287</v>
      </c>
      <c r="C222" s="15" t="s">
        <v>2288</v>
      </c>
      <c r="D222" s="15" t="s">
        <v>2997</v>
      </c>
      <c r="E222" s="15" t="s">
        <v>113</v>
      </c>
      <c r="F222" s="15" t="s">
        <v>2997</v>
      </c>
      <c r="G222" s="15" t="s">
        <v>114</v>
      </c>
      <c r="H222" s="15" t="s">
        <v>4536</v>
      </c>
      <c r="J222" s="18" t="s">
        <v>115</v>
      </c>
      <c r="W222" s="15">
        <v>268</v>
      </c>
      <c r="X222" s="15">
        <v>84</v>
      </c>
      <c r="Y222" s="15" t="s">
        <v>2458</v>
      </c>
      <c r="Z222" s="15" t="s">
        <v>2458</v>
      </c>
      <c r="AA222" s="34" t="s">
        <v>2476</v>
      </c>
      <c r="AB222" s="15" t="s">
        <v>3185</v>
      </c>
      <c r="AC222" s="15" t="s">
        <v>3185</v>
      </c>
      <c r="AD222" s="15" t="s">
        <v>3186</v>
      </c>
      <c r="AE222" s="38" t="s">
        <v>2311</v>
      </c>
      <c r="AF222" s="15" t="s">
        <v>3186</v>
      </c>
      <c r="AG222" s="15">
        <v>501532</v>
      </c>
      <c r="AH222" s="38" t="s">
        <v>3187</v>
      </c>
      <c r="AL222" s="15" t="s">
        <v>3188</v>
      </c>
      <c r="AN222" s="15">
        <v>3639</v>
      </c>
      <c r="AO222" s="15" t="s">
        <v>3189</v>
      </c>
      <c r="AQ222" s="28" t="s">
        <v>2901</v>
      </c>
      <c r="AT222" s="15" t="s">
        <v>3190</v>
      </c>
      <c r="AU222" s="15" t="s">
        <v>3191</v>
      </c>
      <c r="AV222" s="15" t="s">
        <v>3191</v>
      </c>
      <c r="AW222" s="15" t="s">
        <v>3192</v>
      </c>
      <c r="AX222" s="15" t="s">
        <v>3192</v>
      </c>
      <c r="AY222" s="39">
        <f t="shared" si="6"/>
        <v>49</v>
      </c>
      <c r="AZ222" s="15" t="s">
        <v>2904</v>
      </c>
      <c r="BA222" s="15" t="s">
        <v>2427</v>
      </c>
      <c r="BB222" s="15" t="s">
        <v>3180</v>
      </c>
      <c r="BE222" s="15" t="s">
        <v>3193</v>
      </c>
      <c r="BN222" s="15" t="s">
        <v>511</v>
      </c>
      <c r="BO222" s="15" t="s">
        <v>3182</v>
      </c>
      <c r="BP222" s="15" t="s">
        <v>346</v>
      </c>
      <c r="BR222" s="15" t="s">
        <v>3194</v>
      </c>
      <c r="BS222" s="15" t="s">
        <v>3195</v>
      </c>
      <c r="DH222" s="15" t="s">
        <v>4597</v>
      </c>
      <c r="DI222" s="15" t="s">
        <v>4597</v>
      </c>
    </row>
    <row r="223" spans="1:113" s="15" customFormat="1" ht="12.75" x14ac:dyDescent="0.2">
      <c r="A223" s="15" t="s">
        <v>109</v>
      </c>
      <c r="B223" s="16" t="s">
        <v>2287</v>
      </c>
      <c r="C223" s="15" t="s">
        <v>2288</v>
      </c>
      <c r="D223" s="15" t="s">
        <v>2997</v>
      </c>
      <c r="E223" s="15" t="s">
        <v>113</v>
      </c>
      <c r="F223" s="15" t="s">
        <v>2997</v>
      </c>
      <c r="G223" s="15" t="s">
        <v>114</v>
      </c>
      <c r="H223" s="15" t="s">
        <v>4536</v>
      </c>
      <c r="J223" s="18" t="s">
        <v>115</v>
      </c>
      <c r="W223" s="15">
        <v>269</v>
      </c>
      <c r="X223" s="15">
        <v>85</v>
      </c>
      <c r="Y223" s="15" t="s">
        <v>2458</v>
      </c>
      <c r="Z223" s="15" t="s">
        <v>2458</v>
      </c>
      <c r="AA223" s="34" t="s">
        <v>2476</v>
      </c>
      <c r="AB223" s="15" t="s">
        <v>3196</v>
      </c>
      <c r="AC223" s="15" t="s">
        <v>3196</v>
      </c>
      <c r="AD223" s="15" t="s">
        <v>3197</v>
      </c>
      <c r="AE223" s="38" t="s">
        <v>2311</v>
      </c>
      <c r="AF223" s="15" t="s">
        <v>3197</v>
      </c>
      <c r="AG223" s="15">
        <v>501533</v>
      </c>
      <c r="AH223" s="38" t="s">
        <v>3198</v>
      </c>
      <c r="AL223" s="15" t="s">
        <v>3199</v>
      </c>
      <c r="AN223" s="15">
        <v>3639</v>
      </c>
      <c r="AO223" s="15" t="s">
        <v>3200</v>
      </c>
      <c r="AQ223" s="28" t="s">
        <v>2901</v>
      </c>
      <c r="AS223" s="41"/>
      <c r="AT223" s="15" t="s">
        <v>3201</v>
      </c>
      <c r="AU223" s="15" t="s">
        <v>3202</v>
      </c>
      <c r="AV223" s="15" t="s">
        <v>3202</v>
      </c>
      <c r="AW223" s="15" t="s">
        <v>3203</v>
      </c>
      <c r="AX223" s="15" t="s">
        <v>3203</v>
      </c>
      <c r="AY223" s="39">
        <f t="shared" si="6"/>
        <v>49</v>
      </c>
      <c r="AZ223" s="15" t="s">
        <v>2904</v>
      </c>
      <c r="BA223" s="15" t="s">
        <v>2427</v>
      </c>
      <c r="BB223" s="15" t="s">
        <v>3180</v>
      </c>
      <c r="BE223" s="15" t="s">
        <v>3204</v>
      </c>
      <c r="BN223" s="15" t="s">
        <v>511</v>
      </c>
      <c r="BO223" s="15" t="s">
        <v>3182</v>
      </c>
      <c r="BP223" s="15" t="s">
        <v>346</v>
      </c>
      <c r="BR223" s="15" t="s">
        <v>3205</v>
      </c>
      <c r="BS223" s="15" t="s">
        <v>3206</v>
      </c>
      <c r="DH223" s="15" t="s">
        <v>4597</v>
      </c>
      <c r="DI223" s="15" t="s">
        <v>4597</v>
      </c>
    </row>
    <row r="224" spans="1:113" s="15" customFormat="1" ht="12.75" x14ac:dyDescent="0.2">
      <c r="A224" s="15" t="s">
        <v>109</v>
      </c>
      <c r="B224" s="16" t="s">
        <v>2287</v>
      </c>
      <c r="C224" s="15" t="s">
        <v>2288</v>
      </c>
      <c r="D224" s="15" t="s">
        <v>2997</v>
      </c>
      <c r="E224" s="15" t="s">
        <v>113</v>
      </c>
      <c r="F224" s="15" t="s">
        <v>2997</v>
      </c>
      <c r="G224" s="15" t="s">
        <v>114</v>
      </c>
      <c r="H224" s="15" t="s">
        <v>4536</v>
      </c>
      <c r="J224" s="18" t="s">
        <v>115</v>
      </c>
      <c r="W224" s="15">
        <v>270</v>
      </c>
      <c r="X224" s="15">
        <v>86</v>
      </c>
      <c r="Y224" s="15" t="s">
        <v>2458</v>
      </c>
      <c r="Z224" s="15" t="s">
        <v>2458</v>
      </c>
      <c r="AA224" s="34" t="s">
        <v>2476</v>
      </c>
      <c r="AB224" s="15" t="s">
        <v>3207</v>
      </c>
      <c r="AC224" s="15" t="s">
        <v>3207</v>
      </c>
      <c r="AD224" s="15" t="s">
        <v>3208</v>
      </c>
      <c r="AE224" s="38" t="s">
        <v>2311</v>
      </c>
      <c r="AF224" s="15" t="s">
        <v>3208</v>
      </c>
      <c r="AG224" s="15">
        <v>501534</v>
      </c>
      <c r="AH224" s="38" t="s">
        <v>3209</v>
      </c>
      <c r="AL224" s="15" t="s">
        <v>3210</v>
      </c>
      <c r="AN224" s="15">
        <v>3639</v>
      </c>
      <c r="AO224" s="15" t="s">
        <v>3211</v>
      </c>
      <c r="AQ224" s="28" t="s">
        <v>2901</v>
      </c>
      <c r="AT224" s="15" t="s">
        <v>3212</v>
      </c>
      <c r="AU224" s="15" t="s">
        <v>3213</v>
      </c>
      <c r="AV224" s="15" t="s">
        <v>3213</v>
      </c>
      <c r="AW224" s="15" t="s">
        <v>3214</v>
      </c>
      <c r="AX224" s="15" t="s">
        <v>3214</v>
      </c>
      <c r="AY224" s="39">
        <f t="shared" si="6"/>
        <v>53</v>
      </c>
      <c r="AZ224" s="15" t="s">
        <v>2904</v>
      </c>
      <c r="BA224" s="15" t="s">
        <v>2427</v>
      </c>
      <c r="BB224" s="15" t="s">
        <v>3180</v>
      </c>
      <c r="BE224" s="15" t="s">
        <v>3215</v>
      </c>
      <c r="BN224" s="15" t="s">
        <v>511</v>
      </c>
      <c r="BO224" s="15" t="s">
        <v>3182</v>
      </c>
      <c r="BP224" s="15" t="s">
        <v>346</v>
      </c>
      <c r="BR224" s="15" t="s">
        <v>3216</v>
      </c>
      <c r="BS224" s="15" t="s">
        <v>3217</v>
      </c>
      <c r="DH224" s="15" t="s">
        <v>4597</v>
      </c>
      <c r="DI224" s="15" t="s">
        <v>4597</v>
      </c>
    </row>
    <row r="225" spans="1:113" s="15" customFormat="1" ht="12.75" x14ac:dyDescent="0.2">
      <c r="A225" s="15" t="s">
        <v>109</v>
      </c>
      <c r="B225" s="16" t="s">
        <v>2287</v>
      </c>
      <c r="C225" s="15" t="s">
        <v>2288</v>
      </c>
      <c r="D225" s="15" t="s">
        <v>2997</v>
      </c>
      <c r="E225" s="15" t="s">
        <v>113</v>
      </c>
      <c r="F225" s="15" t="s">
        <v>2997</v>
      </c>
      <c r="G225" s="15" t="s">
        <v>114</v>
      </c>
      <c r="H225" s="15" t="s">
        <v>4536</v>
      </c>
      <c r="J225" s="18" t="s">
        <v>115</v>
      </c>
      <c r="W225" s="15">
        <v>271</v>
      </c>
      <c r="X225" s="15">
        <v>87</v>
      </c>
      <c r="Y225" s="15" t="s">
        <v>2458</v>
      </c>
      <c r="Z225" s="15" t="s">
        <v>2458</v>
      </c>
      <c r="AA225" s="34" t="s">
        <v>2476</v>
      </c>
      <c r="AB225" s="15" t="s">
        <v>3218</v>
      </c>
      <c r="AC225" s="15" t="s">
        <v>3218</v>
      </c>
      <c r="AD225" s="15" t="s">
        <v>3219</v>
      </c>
      <c r="AE225" s="38" t="s">
        <v>2311</v>
      </c>
      <c r="AF225" s="15" t="s">
        <v>3219</v>
      </c>
      <c r="AG225" s="15">
        <v>504647</v>
      </c>
      <c r="AH225" s="38" t="s">
        <v>3220</v>
      </c>
      <c r="AL225" s="15" t="s">
        <v>3221</v>
      </c>
      <c r="AN225" s="15">
        <v>3639</v>
      </c>
      <c r="AO225" s="15" t="s">
        <v>3222</v>
      </c>
      <c r="AQ225" s="28" t="s">
        <v>2524</v>
      </c>
      <c r="AT225" s="15" t="s">
        <v>3221</v>
      </c>
      <c r="AU225" s="15" t="s">
        <v>3223</v>
      </c>
      <c r="AV225" s="15" t="s">
        <v>3223</v>
      </c>
      <c r="AW225" s="15" t="s">
        <v>3224</v>
      </c>
      <c r="AX225" s="15" t="s">
        <v>3224</v>
      </c>
      <c r="AY225" s="39">
        <f t="shared" si="6"/>
        <v>56</v>
      </c>
      <c r="AZ225" s="15" t="s">
        <v>2528</v>
      </c>
      <c r="BA225" s="15" t="s">
        <v>2529</v>
      </c>
      <c r="BB225" s="15" t="s">
        <v>3225</v>
      </c>
      <c r="BE225" s="15" t="s">
        <v>3226</v>
      </c>
      <c r="BI225" s="15" t="s">
        <v>3227</v>
      </c>
      <c r="BO225" s="15" t="s">
        <v>3228</v>
      </c>
      <c r="BS225" s="15" t="s">
        <v>3229</v>
      </c>
      <c r="DH225" s="15" t="s">
        <v>4597</v>
      </c>
      <c r="DI225" s="15" t="s">
        <v>4597</v>
      </c>
    </row>
    <row r="226" spans="1:113" s="15" customFormat="1" ht="12.75" x14ac:dyDescent="0.2">
      <c r="A226" s="15" t="s">
        <v>109</v>
      </c>
      <c r="B226" s="16" t="s">
        <v>2287</v>
      </c>
      <c r="C226" s="15" t="s">
        <v>2288</v>
      </c>
      <c r="D226" s="15" t="s">
        <v>2997</v>
      </c>
      <c r="E226" s="15" t="s">
        <v>113</v>
      </c>
      <c r="F226" s="15" t="s">
        <v>2997</v>
      </c>
      <c r="G226" s="15" t="s">
        <v>114</v>
      </c>
      <c r="H226" s="15" t="s">
        <v>4536</v>
      </c>
      <c r="J226" s="18" t="s">
        <v>115</v>
      </c>
      <c r="W226" s="15">
        <v>272</v>
      </c>
      <c r="X226" s="15">
        <v>88</v>
      </c>
      <c r="Y226" s="15" t="s">
        <v>2458</v>
      </c>
      <c r="Z226" s="15" t="s">
        <v>2458</v>
      </c>
      <c r="AA226" s="34" t="s">
        <v>2476</v>
      </c>
      <c r="AB226" s="15" t="s">
        <v>3230</v>
      </c>
      <c r="AC226" s="15" t="s">
        <v>3230</v>
      </c>
      <c r="AD226" s="15" t="s">
        <v>3231</v>
      </c>
      <c r="AE226" s="38" t="s">
        <v>2311</v>
      </c>
      <c r="AF226" s="15" t="s">
        <v>3231</v>
      </c>
      <c r="AG226" s="15">
        <v>505580</v>
      </c>
      <c r="AH226" s="38" t="s">
        <v>3232</v>
      </c>
      <c r="AL226" s="15" t="s">
        <v>3233</v>
      </c>
      <c r="AN226" s="15">
        <v>3639</v>
      </c>
      <c r="AO226" s="15" t="s">
        <v>3234</v>
      </c>
      <c r="AQ226" s="28" t="s">
        <v>2901</v>
      </c>
      <c r="AT226" s="15" t="s">
        <v>3235</v>
      </c>
      <c r="AU226" s="15" t="s">
        <v>3236</v>
      </c>
      <c r="AV226" s="15" t="s">
        <v>3236</v>
      </c>
      <c r="AW226" s="15" t="s">
        <v>3237</v>
      </c>
      <c r="AX226" s="15" t="s">
        <v>3238</v>
      </c>
      <c r="AY226" s="39">
        <f t="shared" si="6"/>
        <v>55</v>
      </c>
      <c r="AZ226" s="15" t="s">
        <v>2904</v>
      </c>
      <c r="BA226" s="15" t="s">
        <v>2427</v>
      </c>
      <c r="BB226" s="15" t="s">
        <v>3239</v>
      </c>
      <c r="BE226" s="15" t="s">
        <v>3240</v>
      </c>
      <c r="BK226" s="15" t="s">
        <v>3241</v>
      </c>
      <c r="BN226" s="15" t="s">
        <v>511</v>
      </c>
      <c r="BO226" s="15" t="s">
        <v>3228</v>
      </c>
      <c r="BP226" s="15" t="s">
        <v>346</v>
      </c>
      <c r="BR226" s="15" t="s">
        <v>3242</v>
      </c>
      <c r="BS226" s="15" t="s">
        <v>3243</v>
      </c>
      <c r="DH226" s="15" t="s">
        <v>4597</v>
      </c>
      <c r="DI226" s="15" t="s">
        <v>4597</v>
      </c>
    </row>
    <row r="227" spans="1:113" s="15" customFormat="1" ht="12.75" x14ac:dyDescent="0.2">
      <c r="A227" s="15" t="s">
        <v>109</v>
      </c>
      <c r="B227" s="16" t="s">
        <v>2287</v>
      </c>
      <c r="C227" s="15" t="s">
        <v>2288</v>
      </c>
      <c r="D227" s="15" t="s">
        <v>2997</v>
      </c>
      <c r="E227" s="15" t="s">
        <v>113</v>
      </c>
      <c r="F227" s="15" t="s">
        <v>2997</v>
      </c>
      <c r="G227" s="15" t="s">
        <v>114</v>
      </c>
      <c r="H227" s="15" t="s">
        <v>4536</v>
      </c>
      <c r="J227" s="18" t="s">
        <v>115</v>
      </c>
      <c r="W227" s="15">
        <v>273</v>
      </c>
      <c r="X227" s="15">
        <v>89</v>
      </c>
      <c r="Y227" s="15" t="s">
        <v>2458</v>
      </c>
      <c r="Z227" s="15" t="s">
        <v>2458</v>
      </c>
      <c r="AA227" s="34" t="s">
        <v>2476</v>
      </c>
      <c r="AB227" s="15" t="s">
        <v>3244</v>
      </c>
      <c r="AC227" s="15" t="s">
        <v>3244</v>
      </c>
      <c r="AD227" s="15" t="s">
        <v>3245</v>
      </c>
      <c r="AE227" s="38" t="s">
        <v>2311</v>
      </c>
      <c r="AF227" s="15" t="s">
        <v>3245</v>
      </c>
      <c r="AG227" s="15">
        <v>505581</v>
      </c>
      <c r="AH227" s="38" t="s">
        <v>3246</v>
      </c>
      <c r="AL227" s="15" t="s">
        <v>3247</v>
      </c>
      <c r="AN227" s="15">
        <v>3639</v>
      </c>
      <c r="AO227" s="15" t="s">
        <v>3248</v>
      </c>
      <c r="AQ227" s="28" t="s">
        <v>2901</v>
      </c>
      <c r="AT227" s="15" t="s">
        <v>3249</v>
      </c>
      <c r="AU227" s="15" t="s">
        <v>3250</v>
      </c>
      <c r="AV227" s="15" t="s">
        <v>3250</v>
      </c>
      <c r="AW227" s="15" t="s">
        <v>3251</v>
      </c>
      <c r="AX227" s="15" t="s">
        <v>3252</v>
      </c>
      <c r="AY227" s="39">
        <f t="shared" si="6"/>
        <v>55</v>
      </c>
      <c r="AZ227" s="15" t="s">
        <v>2904</v>
      </c>
      <c r="BA227" s="15" t="s">
        <v>2427</v>
      </c>
      <c r="BB227" s="15" t="s">
        <v>3239</v>
      </c>
      <c r="BE227" s="15" t="s">
        <v>3253</v>
      </c>
      <c r="BK227" s="15" t="s">
        <v>3241</v>
      </c>
      <c r="BN227" s="15" t="s">
        <v>511</v>
      </c>
      <c r="BO227" s="15" t="s">
        <v>3228</v>
      </c>
      <c r="BP227" s="15" t="s">
        <v>346</v>
      </c>
      <c r="BR227" s="15" t="s">
        <v>3254</v>
      </c>
      <c r="BS227" s="15" t="s">
        <v>3255</v>
      </c>
      <c r="DH227" s="15" t="s">
        <v>4597</v>
      </c>
      <c r="DI227" s="15" t="s">
        <v>4597</v>
      </c>
    </row>
    <row r="228" spans="1:113" s="15" customFormat="1" ht="12.75" x14ac:dyDescent="0.2">
      <c r="A228" s="15" t="s">
        <v>109</v>
      </c>
      <c r="B228" s="16" t="s">
        <v>2287</v>
      </c>
      <c r="C228" s="15" t="s">
        <v>2288</v>
      </c>
      <c r="D228" s="15" t="s">
        <v>2997</v>
      </c>
      <c r="E228" s="15" t="s">
        <v>113</v>
      </c>
      <c r="F228" s="15" t="s">
        <v>2997</v>
      </c>
      <c r="G228" s="15" t="s">
        <v>114</v>
      </c>
      <c r="H228" s="15" t="s">
        <v>4536</v>
      </c>
      <c r="J228" s="18" t="s">
        <v>115</v>
      </c>
      <c r="W228" s="15">
        <v>274</v>
      </c>
      <c r="X228" s="15">
        <v>90</v>
      </c>
      <c r="Y228" s="15" t="s">
        <v>2458</v>
      </c>
      <c r="Z228" s="15" t="s">
        <v>2458</v>
      </c>
      <c r="AA228" s="34" t="s">
        <v>2476</v>
      </c>
      <c r="AB228" s="15" t="s">
        <v>3256</v>
      </c>
      <c r="AC228" s="15" t="s">
        <v>3256</v>
      </c>
      <c r="AD228" s="15" t="s">
        <v>3257</v>
      </c>
      <c r="AE228" s="38" t="s">
        <v>2311</v>
      </c>
      <c r="AF228" s="15" t="s">
        <v>3257</v>
      </c>
      <c r="AG228" s="15">
        <v>505582</v>
      </c>
      <c r="AH228" s="38" t="s">
        <v>3258</v>
      </c>
      <c r="AL228" s="15" t="s">
        <v>3259</v>
      </c>
      <c r="AN228" s="15">
        <v>3639</v>
      </c>
      <c r="AO228" s="15" t="s">
        <v>3260</v>
      </c>
      <c r="AQ228" s="28" t="s">
        <v>2901</v>
      </c>
      <c r="AT228" s="15" t="s">
        <v>3261</v>
      </c>
      <c r="AU228" s="15" t="s">
        <v>3262</v>
      </c>
      <c r="AV228" s="15" t="s">
        <v>3262</v>
      </c>
      <c r="AW228" s="15" t="s">
        <v>3263</v>
      </c>
      <c r="AX228" s="15" t="s">
        <v>3264</v>
      </c>
      <c r="AY228" s="39">
        <f t="shared" si="6"/>
        <v>55</v>
      </c>
      <c r="AZ228" s="15" t="s">
        <v>2904</v>
      </c>
      <c r="BA228" s="15" t="s">
        <v>2427</v>
      </c>
      <c r="BB228" s="15" t="s">
        <v>3239</v>
      </c>
      <c r="BE228" s="15" t="s">
        <v>3265</v>
      </c>
      <c r="BK228" s="15" t="s">
        <v>3241</v>
      </c>
      <c r="BN228" s="15" t="s">
        <v>511</v>
      </c>
      <c r="BO228" s="15" t="s">
        <v>3228</v>
      </c>
      <c r="BP228" s="15" t="s">
        <v>346</v>
      </c>
      <c r="BS228" s="15" t="s">
        <v>3266</v>
      </c>
      <c r="DH228" s="15" t="s">
        <v>4597</v>
      </c>
      <c r="DI228" s="15" t="s">
        <v>4597</v>
      </c>
    </row>
    <row r="229" spans="1:113" s="15" customFormat="1" ht="12.75" x14ac:dyDescent="0.2">
      <c r="A229" s="15" t="s">
        <v>109</v>
      </c>
      <c r="B229" s="16" t="s">
        <v>2287</v>
      </c>
      <c r="C229" s="15" t="s">
        <v>2288</v>
      </c>
      <c r="D229" s="15" t="s">
        <v>2997</v>
      </c>
      <c r="E229" s="15" t="s">
        <v>113</v>
      </c>
      <c r="F229" s="15" t="s">
        <v>2997</v>
      </c>
      <c r="G229" s="15" t="s">
        <v>114</v>
      </c>
      <c r="H229" s="15" t="s">
        <v>4536</v>
      </c>
      <c r="J229" s="18" t="s">
        <v>115</v>
      </c>
      <c r="W229" s="15">
        <v>275</v>
      </c>
      <c r="X229" s="15">
        <v>91</v>
      </c>
      <c r="Y229" s="15" t="s">
        <v>2458</v>
      </c>
      <c r="Z229" s="15" t="s">
        <v>2458</v>
      </c>
      <c r="AA229" s="34" t="s">
        <v>2476</v>
      </c>
      <c r="AB229" s="15" t="s">
        <v>3267</v>
      </c>
      <c r="AC229" s="15" t="s">
        <v>3267</v>
      </c>
      <c r="AD229" s="15" t="s">
        <v>3268</v>
      </c>
      <c r="AE229" s="38" t="s">
        <v>2311</v>
      </c>
      <c r="AF229" s="15" t="s">
        <v>3268</v>
      </c>
      <c r="AG229" s="15">
        <v>505583</v>
      </c>
      <c r="AH229" s="38" t="s">
        <v>3269</v>
      </c>
      <c r="AL229" s="15" t="s">
        <v>3270</v>
      </c>
      <c r="AN229" s="15">
        <v>3639</v>
      </c>
      <c r="AO229" s="15" t="s">
        <v>3271</v>
      </c>
      <c r="AQ229" s="28" t="s">
        <v>2901</v>
      </c>
      <c r="AT229" s="15" t="s">
        <v>3272</v>
      </c>
      <c r="AU229" s="15" t="s">
        <v>3273</v>
      </c>
      <c r="AV229" s="15" t="s">
        <v>3273</v>
      </c>
      <c r="AW229" s="15" t="s">
        <v>3274</v>
      </c>
      <c r="AX229" s="15" t="s">
        <v>3275</v>
      </c>
      <c r="AY229" s="39">
        <f t="shared" si="6"/>
        <v>55</v>
      </c>
      <c r="AZ229" s="15" t="s">
        <v>2904</v>
      </c>
      <c r="BA229" s="15" t="s">
        <v>2427</v>
      </c>
      <c r="BB229" s="15" t="s">
        <v>3239</v>
      </c>
      <c r="BE229" s="15" t="s">
        <v>3276</v>
      </c>
      <c r="BK229" s="15" t="s">
        <v>3241</v>
      </c>
      <c r="BN229" s="15" t="s">
        <v>511</v>
      </c>
      <c r="BO229" s="15" t="s">
        <v>3228</v>
      </c>
      <c r="BP229" s="15" t="s">
        <v>346</v>
      </c>
      <c r="BR229" s="15" t="s">
        <v>3277</v>
      </c>
      <c r="BS229" s="15" t="s">
        <v>3278</v>
      </c>
      <c r="DH229" s="15" t="s">
        <v>4597</v>
      </c>
      <c r="DI229" s="15" t="s">
        <v>4597</v>
      </c>
    </row>
    <row r="230" spans="1:113" s="15" customFormat="1" ht="12.75" x14ac:dyDescent="0.2">
      <c r="A230" s="15" t="s">
        <v>109</v>
      </c>
      <c r="B230" s="16" t="s">
        <v>2287</v>
      </c>
      <c r="C230" s="15" t="s">
        <v>2288</v>
      </c>
      <c r="D230" s="15" t="s">
        <v>2997</v>
      </c>
      <c r="E230" s="15" t="s">
        <v>113</v>
      </c>
      <c r="F230" s="15" t="s">
        <v>2997</v>
      </c>
      <c r="G230" s="15" t="s">
        <v>114</v>
      </c>
      <c r="H230" s="15" t="s">
        <v>4536</v>
      </c>
      <c r="J230" s="18" t="s">
        <v>115</v>
      </c>
      <c r="W230" s="15">
        <v>276</v>
      </c>
      <c r="X230" s="15">
        <v>92</v>
      </c>
      <c r="Y230" s="15" t="s">
        <v>2458</v>
      </c>
      <c r="Z230" s="15" t="s">
        <v>2458</v>
      </c>
      <c r="AA230" s="34" t="s">
        <v>2476</v>
      </c>
      <c r="AB230" s="15" t="s">
        <v>3279</v>
      </c>
      <c r="AC230" s="15" t="s">
        <v>3279</v>
      </c>
      <c r="AD230" s="15" t="s">
        <v>3280</v>
      </c>
      <c r="AE230" s="38" t="s">
        <v>2311</v>
      </c>
      <c r="AF230" s="15" t="s">
        <v>3280</v>
      </c>
      <c r="AG230" s="15">
        <v>505584</v>
      </c>
      <c r="AH230" s="38" t="s">
        <v>3281</v>
      </c>
      <c r="AL230" s="15" t="s">
        <v>3282</v>
      </c>
      <c r="AN230" s="15">
        <v>3639</v>
      </c>
      <c r="AO230" s="15" t="s">
        <v>3283</v>
      </c>
      <c r="AQ230" s="28" t="s">
        <v>2901</v>
      </c>
      <c r="AT230" s="15" t="s">
        <v>3284</v>
      </c>
      <c r="AU230" s="15" t="s">
        <v>3285</v>
      </c>
      <c r="AV230" s="15" t="s">
        <v>3285</v>
      </c>
      <c r="AW230" s="15" t="s">
        <v>3286</v>
      </c>
      <c r="AX230" s="15" t="s">
        <v>3287</v>
      </c>
      <c r="AY230" s="39">
        <f t="shared" si="6"/>
        <v>55</v>
      </c>
      <c r="AZ230" s="15" t="s">
        <v>2904</v>
      </c>
      <c r="BA230" s="15" t="s">
        <v>2427</v>
      </c>
      <c r="BB230" s="15" t="s">
        <v>3239</v>
      </c>
      <c r="BE230" s="15" t="s">
        <v>3288</v>
      </c>
      <c r="BK230" s="15" t="s">
        <v>3241</v>
      </c>
      <c r="BN230" s="15" t="s">
        <v>511</v>
      </c>
      <c r="BO230" s="15" t="s">
        <v>3228</v>
      </c>
      <c r="BP230" s="15" t="s">
        <v>346</v>
      </c>
      <c r="BS230" s="15" t="s">
        <v>3289</v>
      </c>
      <c r="DH230" s="15" t="s">
        <v>4597</v>
      </c>
      <c r="DI230" s="15" t="s">
        <v>4597</v>
      </c>
    </row>
    <row r="231" spans="1:113" s="15" customFormat="1" ht="12.75" x14ac:dyDescent="0.2">
      <c r="A231" s="15" t="s">
        <v>109</v>
      </c>
      <c r="B231" s="16" t="s">
        <v>2287</v>
      </c>
      <c r="C231" s="15" t="s">
        <v>2288</v>
      </c>
      <c r="D231" s="15" t="s">
        <v>2997</v>
      </c>
      <c r="E231" s="15" t="s">
        <v>113</v>
      </c>
      <c r="F231" s="15" t="s">
        <v>2997</v>
      </c>
      <c r="G231" s="15" t="s">
        <v>114</v>
      </c>
      <c r="H231" s="15" t="s">
        <v>4536</v>
      </c>
      <c r="J231" s="18" t="s">
        <v>115</v>
      </c>
      <c r="W231" s="15">
        <v>277</v>
      </c>
      <c r="X231" s="15">
        <v>93</v>
      </c>
      <c r="Y231" s="15" t="s">
        <v>2458</v>
      </c>
      <c r="Z231" s="15" t="s">
        <v>2458</v>
      </c>
      <c r="AA231" s="34" t="s">
        <v>2476</v>
      </c>
      <c r="AB231" s="15" t="s">
        <v>3290</v>
      </c>
      <c r="AC231" s="15" t="s">
        <v>3290</v>
      </c>
      <c r="AD231" s="15" t="s">
        <v>3291</v>
      </c>
      <c r="AE231" s="38" t="s">
        <v>2311</v>
      </c>
      <c r="AF231" s="15" t="s">
        <v>3291</v>
      </c>
      <c r="AG231" s="15">
        <v>505585</v>
      </c>
      <c r="AH231" s="38" t="s">
        <v>3292</v>
      </c>
      <c r="AL231" s="15" t="s">
        <v>3293</v>
      </c>
      <c r="AN231" s="15">
        <v>3639</v>
      </c>
      <c r="AO231" s="15" t="s">
        <v>3294</v>
      </c>
      <c r="AQ231" s="28" t="s">
        <v>2901</v>
      </c>
      <c r="AS231" s="41"/>
      <c r="AT231" s="15" t="s">
        <v>3295</v>
      </c>
      <c r="AU231" s="15" t="s">
        <v>3296</v>
      </c>
      <c r="AV231" s="15" t="s">
        <v>3296</v>
      </c>
      <c r="AW231" s="15" t="s">
        <v>3297</v>
      </c>
      <c r="AX231" s="15" t="s">
        <v>3298</v>
      </c>
      <c r="AY231" s="39">
        <f t="shared" si="6"/>
        <v>55</v>
      </c>
      <c r="AZ231" s="15" t="s">
        <v>2904</v>
      </c>
      <c r="BA231" s="15" t="s">
        <v>2427</v>
      </c>
      <c r="BB231" s="15" t="s">
        <v>3239</v>
      </c>
      <c r="BE231" s="15" t="s">
        <v>3299</v>
      </c>
      <c r="BK231" s="15" t="s">
        <v>3241</v>
      </c>
      <c r="BN231" s="15" t="s">
        <v>511</v>
      </c>
      <c r="BO231" s="15" t="s">
        <v>3228</v>
      </c>
      <c r="BP231" s="15" t="s">
        <v>346</v>
      </c>
      <c r="BR231" s="15" t="s">
        <v>3300</v>
      </c>
      <c r="BS231" s="15" t="s">
        <v>3301</v>
      </c>
      <c r="DH231" s="15" t="s">
        <v>4597</v>
      </c>
      <c r="DI231" s="15" t="s">
        <v>4597</v>
      </c>
    </row>
    <row r="232" spans="1:113" s="15" customFormat="1" ht="12.75" x14ac:dyDescent="0.2">
      <c r="A232" s="15" t="s">
        <v>109</v>
      </c>
      <c r="B232" s="16" t="s">
        <v>2287</v>
      </c>
      <c r="C232" s="15" t="s">
        <v>2288</v>
      </c>
      <c r="D232" s="15" t="s">
        <v>2997</v>
      </c>
      <c r="E232" s="15" t="s">
        <v>113</v>
      </c>
      <c r="F232" s="15" t="s">
        <v>2997</v>
      </c>
      <c r="G232" s="15" t="s">
        <v>114</v>
      </c>
      <c r="H232" s="15" t="s">
        <v>4536</v>
      </c>
      <c r="J232" s="18" t="s">
        <v>115</v>
      </c>
      <c r="W232" s="15">
        <v>278</v>
      </c>
      <c r="X232" s="15">
        <v>94</v>
      </c>
      <c r="Y232" s="15" t="s">
        <v>2458</v>
      </c>
      <c r="Z232" s="15" t="s">
        <v>2458</v>
      </c>
      <c r="AA232" s="34" t="s">
        <v>2476</v>
      </c>
      <c r="AB232" s="15" t="s">
        <v>3302</v>
      </c>
      <c r="AC232" s="15" t="s">
        <v>3302</v>
      </c>
      <c r="AD232" s="15" t="s">
        <v>3303</v>
      </c>
      <c r="AE232" s="38" t="s">
        <v>2311</v>
      </c>
      <c r="AF232" s="15" t="s">
        <v>3303</v>
      </c>
      <c r="AG232" s="15">
        <v>505586</v>
      </c>
      <c r="AH232" s="38" t="s">
        <v>3304</v>
      </c>
      <c r="AL232" s="15" t="s">
        <v>3305</v>
      </c>
      <c r="AN232" s="15">
        <v>3639</v>
      </c>
      <c r="AO232" s="15" t="s">
        <v>3306</v>
      </c>
      <c r="AQ232" s="28" t="s">
        <v>2901</v>
      </c>
      <c r="AS232" s="41"/>
      <c r="AT232" s="15" t="s">
        <v>3307</v>
      </c>
      <c r="AU232" s="15" t="s">
        <v>3308</v>
      </c>
      <c r="AV232" s="15" t="s">
        <v>3308</v>
      </c>
      <c r="AW232" s="15" t="s">
        <v>3309</v>
      </c>
      <c r="AX232" s="15" t="s">
        <v>3310</v>
      </c>
      <c r="AY232" s="39">
        <f t="shared" si="6"/>
        <v>55</v>
      </c>
      <c r="AZ232" s="15" t="s">
        <v>2904</v>
      </c>
      <c r="BA232" s="15" t="s">
        <v>2427</v>
      </c>
      <c r="BB232" s="15" t="s">
        <v>3239</v>
      </c>
      <c r="BE232" s="15" t="s">
        <v>3311</v>
      </c>
      <c r="BK232" s="15" t="s">
        <v>3241</v>
      </c>
      <c r="BN232" s="15" t="s">
        <v>511</v>
      </c>
      <c r="BO232" s="15" t="s">
        <v>3228</v>
      </c>
      <c r="BP232" s="15" t="s">
        <v>346</v>
      </c>
      <c r="BS232" s="15" t="s">
        <v>3312</v>
      </c>
      <c r="DH232" s="15" t="s">
        <v>4597</v>
      </c>
      <c r="DI232" s="15" t="s">
        <v>4597</v>
      </c>
    </row>
    <row r="233" spans="1:113" s="15" customFormat="1" ht="12.75" x14ac:dyDescent="0.2">
      <c r="A233" s="15" t="s">
        <v>109</v>
      </c>
      <c r="B233" s="16" t="s">
        <v>2287</v>
      </c>
      <c r="C233" s="15" t="s">
        <v>2288</v>
      </c>
      <c r="D233" s="15" t="s">
        <v>2997</v>
      </c>
      <c r="E233" s="15" t="s">
        <v>113</v>
      </c>
      <c r="F233" s="15" t="s">
        <v>2997</v>
      </c>
      <c r="G233" s="15" t="s">
        <v>114</v>
      </c>
      <c r="H233" s="15" t="s">
        <v>4536</v>
      </c>
      <c r="J233" s="18" t="s">
        <v>115</v>
      </c>
      <c r="W233" s="15">
        <v>279</v>
      </c>
      <c r="X233" s="15">
        <v>95</v>
      </c>
      <c r="Y233" s="15" t="s">
        <v>2458</v>
      </c>
      <c r="Z233" s="15" t="s">
        <v>2458</v>
      </c>
      <c r="AA233" s="34" t="s">
        <v>2476</v>
      </c>
      <c r="AB233" s="15" t="s">
        <v>3313</v>
      </c>
      <c r="AC233" s="15" t="s">
        <v>3313</v>
      </c>
      <c r="AD233" s="15" t="s">
        <v>3314</v>
      </c>
      <c r="AE233" s="38" t="s">
        <v>2311</v>
      </c>
      <c r="AF233" s="15" t="s">
        <v>3314</v>
      </c>
      <c r="AG233" s="15">
        <v>505587</v>
      </c>
      <c r="AH233" s="38" t="s">
        <v>3315</v>
      </c>
      <c r="AL233" s="15" t="s">
        <v>3316</v>
      </c>
      <c r="AN233" s="15">
        <v>3639</v>
      </c>
      <c r="AO233" s="15" t="s">
        <v>3317</v>
      </c>
      <c r="AQ233" s="28" t="s">
        <v>2901</v>
      </c>
      <c r="AS233" s="41"/>
      <c r="AT233" s="15" t="s">
        <v>3318</v>
      </c>
      <c r="AU233" s="15" t="s">
        <v>3319</v>
      </c>
      <c r="AV233" s="15" t="s">
        <v>3319</v>
      </c>
      <c r="AW233" s="15" t="s">
        <v>3320</v>
      </c>
      <c r="AX233" s="15" t="s">
        <v>3321</v>
      </c>
      <c r="AY233" s="39">
        <f t="shared" si="6"/>
        <v>55</v>
      </c>
      <c r="AZ233" s="15" t="s">
        <v>2904</v>
      </c>
      <c r="BA233" s="15" t="s">
        <v>2427</v>
      </c>
      <c r="BB233" s="15" t="s">
        <v>3239</v>
      </c>
      <c r="BE233" s="15" t="s">
        <v>3322</v>
      </c>
      <c r="BK233" s="15" t="s">
        <v>3241</v>
      </c>
      <c r="BN233" s="15" t="s">
        <v>511</v>
      </c>
      <c r="BO233" s="15" t="s">
        <v>3228</v>
      </c>
      <c r="BP233" s="15" t="s">
        <v>346</v>
      </c>
      <c r="BR233" s="15" t="s">
        <v>3323</v>
      </c>
      <c r="BS233" s="15" t="s">
        <v>3324</v>
      </c>
      <c r="DH233" s="15" t="s">
        <v>4597</v>
      </c>
      <c r="DI233" s="15" t="s">
        <v>4597</v>
      </c>
    </row>
    <row r="234" spans="1:113" s="15" customFormat="1" ht="12.75" x14ac:dyDescent="0.2">
      <c r="A234" s="15" t="s">
        <v>109</v>
      </c>
      <c r="B234" s="16" t="s">
        <v>2287</v>
      </c>
      <c r="C234" s="15" t="s">
        <v>2288</v>
      </c>
      <c r="D234" s="15" t="s">
        <v>2997</v>
      </c>
      <c r="E234" s="15" t="s">
        <v>113</v>
      </c>
      <c r="F234" s="15" t="s">
        <v>2997</v>
      </c>
      <c r="G234" s="15" t="s">
        <v>114</v>
      </c>
      <c r="H234" s="15" t="s">
        <v>4536</v>
      </c>
      <c r="J234" s="18" t="s">
        <v>115</v>
      </c>
      <c r="W234" s="15">
        <v>280</v>
      </c>
      <c r="X234" s="15">
        <v>96</v>
      </c>
      <c r="Y234" s="15" t="s">
        <v>2458</v>
      </c>
      <c r="Z234" s="15" t="s">
        <v>2458</v>
      </c>
      <c r="AA234" s="34" t="s">
        <v>2476</v>
      </c>
      <c r="AB234" s="15" t="s">
        <v>3325</v>
      </c>
      <c r="AC234" s="15" t="s">
        <v>3325</v>
      </c>
      <c r="AD234" s="15" t="s">
        <v>3326</v>
      </c>
      <c r="AE234" s="38" t="s">
        <v>2311</v>
      </c>
      <c r="AF234" s="15" t="s">
        <v>3326</v>
      </c>
      <c r="AG234" s="15">
        <v>505588</v>
      </c>
      <c r="AH234" s="38" t="s">
        <v>3327</v>
      </c>
      <c r="AL234" s="15" t="s">
        <v>3328</v>
      </c>
      <c r="AN234" s="15">
        <v>3639</v>
      </c>
      <c r="AO234" s="15" t="s">
        <v>3329</v>
      </c>
      <c r="AQ234" s="28" t="s">
        <v>2901</v>
      </c>
      <c r="AS234" s="41"/>
      <c r="AT234" s="15" t="s">
        <v>3330</v>
      </c>
      <c r="AU234" s="15" t="s">
        <v>3331</v>
      </c>
      <c r="AV234" s="15" t="s">
        <v>3331</v>
      </c>
      <c r="AW234" s="15" t="s">
        <v>3332</v>
      </c>
      <c r="AX234" s="15" t="s">
        <v>3333</v>
      </c>
      <c r="AY234" s="39">
        <f t="shared" si="6"/>
        <v>55</v>
      </c>
      <c r="AZ234" s="15" t="s">
        <v>2904</v>
      </c>
      <c r="BA234" s="15" t="s">
        <v>2427</v>
      </c>
      <c r="BB234" s="15" t="s">
        <v>3239</v>
      </c>
      <c r="BE234" s="15" t="s">
        <v>3334</v>
      </c>
      <c r="BK234" s="15" t="s">
        <v>3241</v>
      </c>
      <c r="BN234" s="15" t="s">
        <v>511</v>
      </c>
      <c r="BO234" s="15" t="s">
        <v>3228</v>
      </c>
      <c r="BP234" s="15" t="s">
        <v>346</v>
      </c>
      <c r="BS234" s="15" t="s">
        <v>3335</v>
      </c>
      <c r="DH234" s="15" t="s">
        <v>4597</v>
      </c>
      <c r="DI234" s="15" t="s">
        <v>4597</v>
      </c>
    </row>
    <row r="235" spans="1:113" s="15" customFormat="1" ht="12.75" x14ac:dyDescent="0.2">
      <c r="A235" s="15" t="s">
        <v>109</v>
      </c>
      <c r="B235" s="16" t="s">
        <v>2287</v>
      </c>
      <c r="C235" s="15" t="s">
        <v>2288</v>
      </c>
      <c r="D235" s="15" t="s">
        <v>2997</v>
      </c>
      <c r="E235" s="15" t="s">
        <v>113</v>
      </c>
      <c r="F235" s="15" t="s">
        <v>2997</v>
      </c>
      <c r="G235" s="15" t="s">
        <v>114</v>
      </c>
      <c r="H235" s="15" t="s">
        <v>4536</v>
      </c>
      <c r="J235" s="18" t="s">
        <v>115</v>
      </c>
      <c r="W235" s="15">
        <v>281</v>
      </c>
      <c r="X235" s="15">
        <v>97</v>
      </c>
      <c r="Y235" s="15" t="s">
        <v>2458</v>
      </c>
      <c r="Z235" s="15" t="s">
        <v>2458</v>
      </c>
      <c r="AA235" s="34" t="s">
        <v>2476</v>
      </c>
      <c r="AB235" s="15" t="s">
        <v>3336</v>
      </c>
      <c r="AC235" s="15" t="s">
        <v>3336</v>
      </c>
      <c r="AD235" s="15" t="s">
        <v>3337</v>
      </c>
      <c r="AE235" s="38" t="s">
        <v>2311</v>
      </c>
      <c r="AF235" s="15" t="s">
        <v>3337</v>
      </c>
      <c r="AG235" s="15">
        <v>505589</v>
      </c>
      <c r="AH235" s="38" t="s">
        <v>3338</v>
      </c>
      <c r="AL235" s="15" t="s">
        <v>3339</v>
      </c>
      <c r="AN235" s="15">
        <v>3639</v>
      </c>
      <c r="AO235" s="15" t="s">
        <v>3340</v>
      </c>
      <c r="AQ235" s="28" t="s">
        <v>2901</v>
      </c>
      <c r="AS235" s="41"/>
      <c r="AT235" s="15" t="s">
        <v>3341</v>
      </c>
      <c r="AU235" s="15" t="s">
        <v>3342</v>
      </c>
      <c r="AV235" s="15" t="s">
        <v>3342</v>
      </c>
      <c r="AW235" s="15" t="s">
        <v>3343</v>
      </c>
      <c r="AX235" s="15" t="s">
        <v>3344</v>
      </c>
      <c r="AY235" s="39">
        <f t="shared" si="6"/>
        <v>55</v>
      </c>
      <c r="AZ235" s="15" t="s">
        <v>2904</v>
      </c>
      <c r="BA235" s="15" t="s">
        <v>2427</v>
      </c>
      <c r="BB235" s="15" t="s">
        <v>3239</v>
      </c>
      <c r="BE235" s="15" t="s">
        <v>3345</v>
      </c>
      <c r="BK235" s="15" t="s">
        <v>3241</v>
      </c>
      <c r="BN235" s="15" t="s">
        <v>511</v>
      </c>
      <c r="BO235" s="15" t="s">
        <v>3228</v>
      </c>
      <c r="BP235" s="15" t="s">
        <v>346</v>
      </c>
      <c r="BR235" s="15" t="s">
        <v>3346</v>
      </c>
      <c r="BS235" s="15" t="s">
        <v>3347</v>
      </c>
      <c r="DH235" s="15" t="s">
        <v>4597</v>
      </c>
      <c r="DI235" s="15" t="s">
        <v>4597</v>
      </c>
    </row>
    <row r="236" spans="1:113" s="15" customFormat="1" ht="12.75" x14ac:dyDescent="0.2">
      <c r="A236" s="15" t="s">
        <v>109</v>
      </c>
      <c r="B236" s="16" t="s">
        <v>2287</v>
      </c>
      <c r="C236" s="15" t="s">
        <v>2288</v>
      </c>
      <c r="D236" s="15" t="s">
        <v>2997</v>
      </c>
      <c r="E236" s="15" t="s">
        <v>113</v>
      </c>
      <c r="F236" s="15" t="s">
        <v>2997</v>
      </c>
      <c r="G236" s="15" t="s">
        <v>114</v>
      </c>
      <c r="H236" s="15" t="s">
        <v>4536</v>
      </c>
      <c r="J236" s="18" t="s">
        <v>115</v>
      </c>
      <c r="W236" s="15">
        <v>282</v>
      </c>
      <c r="X236" s="15">
        <v>98</v>
      </c>
      <c r="Y236" s="15" t="s">
        <v>2458</v>
      </c>
      <c r="Z236" s="15" t="s">
        <v>2458</v>
      </c>
      <c r="AA236" s="34" t="s">
        <v>2476</v>
      </c>
      <c r="AB236" s="15" t="s">
        <v>3348</v>
      </c>
      <c r="AC236" s="15" t="s">
        <v>3348</v>
      </c>
      <c r="AD236" s="15" t="s">
        <v>3349</v>
      </c>
      <c r="AE236" s="38" t="s">
        <v>2311</v>
      </c>
      <c r="AF236" s="15" t="s">
        <v>3349</v>
      </c>
      <c r="AG236" s="15">
        <v>510607</v>
      </c>
      <c r="AH236" s="38" t="s">
        <v>3350</v>
      </c>
      <c r="AL236" s="15" t="s">
        <v>3351</v>
      </c>
      <c r="AN236" s="15">
        <v>3639</v>
      </c>
      <c r="AO236" s="15" t="s">
        <v>3352</v>
      </c>
      <c r="AQ236" s="28" t="s">
        <v>3353</v>
      </c>
      <c r="AS236" s="41"/>
      <c r="AT236" s="15" t="s">
        <v>3354</v>
      </c>
      <c r="AU236" s="15" t="s">
        <v>3355</v>
      </c>
      <c r="AV236" s="15" t="s">
        <v>3355</v>
      </c>
      <c r="AW236" s="15" t="s">
        <v>3356</v>
      </c>
      <c r="AX236" s="15" t="s">
        <v>3356</v>
      </c>
      <c r="AY236" s="39">
        <f t="shared" si="6"/>
        <v>56</v>
      </c>
      <c r="AZ236" s="15" t="s">
        <v>3357</v>
      </c>
      <c r="BA236" s="15" t="s">
        <v>926</v>
      </c>
      <c r="BB236" s="15" t="s">
        <v>3358</v>
      </c>
      <c r="BC236" s="15" t="s">
        <v>3042</v>
      </c>
      <c r="BE236" s="15" t="s">
        <v>3359</v>
      </c>
      <c r="BI236" s="15" t="s">
        <v>3360</v>
      </c>
      <c r="BJ236" s="15" t="s">
        <v>3361</v>
      </c>
      <c r="BN236" s="15" t="s">
        <v>511</v>
      </c>
      <c r="BP236" s="15" t="s">
        <v>346</v>
      </c>
      <c r="BR236" s="15" t="s">
        <v>3362</v>
      </c>
      <c r="BS236" s="15" t="s">
        <v>3363</v>
      </c>
      <c r="DH236" s="15" t="s">
        <v>4597</v>
      </c>
      <c r="DI236" s="15" t="s">
        <v>4597</v>
      </c>
    </row>
    <row r="237" spans="1:113" s="15" customFormat="1" ht="12.75" x14ac:dyDescent="0.2">
      <c r="A237" s="15" t="s">
        <v>109</v>
      </c>
      <c r="B237" s="16" t="s">
        <v>2287</v>
      </c>
      <c r="C237" s="15" t="s">
        <v>2288</v>
      </c>
      <c r="D237" s="15" t="s">
        <v>2997</v>
      </c>
      <c r="E237" s="15" t="s">
        <v>113</v>
      </c>
      <c r="F237" s="15" t="s">
        <v>2997</v>
      </c>
      <c r="G237" s="15" t="s">
        <v>114</v>
      </c>
      <c r="H237" s="15" t="s">
        <v>4536</v>
      </c>
      <c r="J237" s="18" t="s">
        <v>115</v>
      </c>
      <c r="W237" s="15">
        <v>283</v>
      </c>
      <c r="X237" s="15">
        <v>99</v>
      </c>
      <c r="Y237" s="15" t="s">
        <v>2458</v>
      </c>
      <c r="Z237" s="15" t="s">
        <v>2458</v>
      </c>
      <c r="AA237" s="34" t="s">
        <v>2476</v>
      </c>
      <c r="AB237" s="15" t="s">
        <v>3364</v>
      </c>
      <c r="AC237" s="15" t="s">
        <v>3364</v>
      </c>
      <c r="AD237" s="15" t="s">
        <v>3365</v>
      </c>
      <c r="AE237" s="38" t="s">
        <v>2311</v>
      </c>
      <c r="AF237" s="15" t="s">
        <v>3365</v>
      </c>
      <c r="AG237" s="15">
        <v>510609</v>
      </c>
      <c r="AH237" s="38" t="s">
        <v>3366</v>
      </c>
      <c r="AL237" s="15" t="s">
        <v>3367</v>
      </c>
      <c r="AN237" s="15">
        <v>3639</v>
      </c>
      <c r="AO237" s="15" t="s">
        <v>3368</v>
      </c>
      <c r="AQ237" s="28" t="s">
        <v>3353</v>
      </c>
      <c r="AT237" s="15" t="s">
        <v>3369</v>
      </c>
      <c r="AU237" s="15" t="s">
        <v>3370</v>
      </c>
      <c r="AV237" s="15" t="s">
        <v>3370</v>
      </c>
      <c r="AW237" s="15" t="s">
        <v>3371</v>
      </c>
      <c r="AX237" s="15" t="s">
        <v>3371</v>
      </c>
      <c r="AY237" s="39">
        <f t="shared" ref="AY237:AY268" si="7">LEN(SUBSTITUTE(AX237,", "," "))</f>
        <v>56</v>
      </c>
      <c r="AZ237" s="15" t="s">
        <v>3357</v>
      </c>
      <c r="BA237" s="15" t="s">
        <v>926</v>
      </c>
      <c r="BB237" s="15" t="s">
        <v>3358</v>
      </c>
      <c r="BC237" s="15" t="s">
        <v>3019</v>
      </c>
      <c r="BE237" s="15" t="s">
        <v>3359</v>
      </c>
      <c r="BI237" s="15" t="s">
        <v>3360</v>
      </c>
      <c r="BJ237" s="15" t="s">
        <v>3361</v>
      </c>
      <c r="BN237" s="15" t="s">
        <v>511</v>
      </c>
      <c r="BP237" s="15" t="s">
        <v>346</v>
      </c>
      <c r="BR237" s="15" t="s">
        <v>3362</v>
      </c>
      <c r="BS237" s="15" t="s">
        <v>3372</v>
      </c>
      <c r="DH237" s="15" t="s">
        <v>4597</v>
      </c>
      <c r="DI237" s="15" t="s">
        <v>4597</v>
      </c>
    </row>
    <row r="238" spans="1:113" s="15" customFormat="1" ht="12.75" x14ac:dyDescent="0.2">
      <c r="A238" s="15" t="s">
        <v>109</v>
      </c>
      <c r="B238" s="16" t="s">
        <v>2287</v>
      </c>
      <c r="C238" s="15" t="s">
        <v>2288</v>
      </c>
      <c r="D238" s="15" t="s">
        <v>2997</v>
      </c>
      <c r="E238" s="15" t="s">
        <v>113</v>
      </c>
      <c r="F238" s="15" t="s">
        <v>2997</v>
      </c>
      <c r="G238" s="15" t="s">
        <v>114</v>
      </c>
      <c r="H238" s="15" t="s">
        <v>4536</v>
      </c>
      <c r="J238" s="18" t="s">
        <v>115</v>
      </c>
      <c r="W238" s="15">
        <v>284</v>
      </c>
      <c r="X238" s="15">
        <v>100</v>
      </c>
      <c r="Y238" s="15" t="s">
        <v>2458</v>
      </c>
      <c r="Z238" s="15" t="s">
        <v>2458</v>
      </c>
      <c r="AA238" s="34" t="s">
        <v>2476</v>
      </c>
      <c r="AB238" s="15" t="s">
        <v>3373</v>
      </c>
      <c r="AC238" s="15" t="s">
        <v>3373</v>
      </c>
      <c r="AD238" s="15" t="s">
        <v>3374</v>
      </c>
      <c r="AE238" s="38" t="s">
        <v>2311</v>
      </c>
      <c r="AF238" s="15" t="s">
        <v>3374</v>
      </c>
      <c r="AG238" s="15">
        <v>510610</v>
      </c>
      <c r="AH238" s="38" t="s">
        <v>3375</v>
      </c>
      <c r="AL238" s="15" t="s">
        <v>3376</v>
      </c>
      <c r="AN238" s="15">
        <v>3639</v>
      </c>
      <c r="AO238" s="15" t="s">
        <v>3377</v>
      </c>
      <c r="AQ238" s="28" t="s">
        <v>3353</v>
      </c>
      <c r="AT238" s="15" t="s">
        <v>3378</v>
      </c>
      <c r="AU238" s="15" t="s">
        <v>3379</v>
      </c>
      <c r="AV238" s="15" t="s">
        <v>3379</v>
      </c>
      <c r="AW238" s="15" t="s">
        <v>3380</v>
      </c>
      <c r="AX238" s="15" t="s">
        <v>3380</v>
      </c>
      <c r="AY238" s="39">
        <f t="shared" si="7"/>
        <v>57</v>
      </c>
      <c r="AZ238" s="15" t="s">
        <v>3357</v>
      </c>
      <c r="BA238" s="15" t="s">
        <v>926</v>
      </c>
      <c r="BB238" s="15" t="s">
        <v>3358</v>
      </c>
      <c r="BC238" s="15" t="s">
        <v>2033</v>
      </c>
      <c r="BE238" s="15" t="s">
        <v>3359</v>
      </c>
      <c r="BI238" s="15" t="s">
        <v>3360</v>
      </c>
      <c r="BJ238" s="15" t="s">
        <v>3361</v>
      </c>
      <c r="BN238" s="15" t="s">
        <v>511</v>
      </c>
      <c r="BP238" s="15" t="s">
        <v>346</v>
      </c>
      <c r="BR238" s="15" t="s">
        <v>3362</v>
      </c>
      <c r="BS238" s="15" t="s">
        <v>3381</v>
      </c>
      <c r="DH238" s="15" t="s">
        <v>4597</v>
      </c>
      <c r="DI238" s="15" t="s">
        <v>4597</v>
      </c>
    </row>
    <row r="239" spans="1:113" s="15" customFormat="1" ht="12.75" x14ac:dyDescent="0.2">
      <c r="A239" s="15" t="s">
        <v>109</v>
      </c>
      <c r="B239" s="16" t="s">
        <v>2287</v>
      </c>
      <c r="C239" s="15" t="s">
        <v>2288</v>
      </c>
      <c r="D239" s="15" t="s">
        <v>2997</v>
      </c>
      <c r="E239" s="15" t="s">
        <v>113</v>
      </c>
      <c r="F239" s="15" t="s">
        <v>2997</v>
      </c>
      <c r="G239" s="15" t="s">
        <v>114</v>
      </c>
      <c r="H239" s="15" t="s">
        <v>4536</v>
      </c>
      <c r="J239" s="18" t="s">
        <v>115</v>
      </c>
      <c r="W239" s="15">
        <v>285</v>
      </c>
      <c r="X239" s="15">
        <v>101</v>
      </c>
      <c r="Y239" s="15" t="s">
        <v>2458</v>
      </c>
      <c r="Z239" s="15" t="s">
        <v>2458</v>
      </c>
      <c r="AA239" s="34" t="s">
        <v>2476</v>
      </c>
      <c r="AB239" s="15" t="s">
        <v>3382</v>
      </c>
      <c r="AC239" s="15" t="s">
        <v>3382</v>
      </c>
      <c r="AD239" s="15" t="s">
        <v>3383</v>
      </c>
      <c r="AE239" s="38" t="s">
        <v>2311</v>
      </c>
      <c r="AF239" s="15" t="s">
        <v>3383</v>
      </c>
      <c r="AG239" s="15">
        <v>510611</v>
      </c>
      <c r="AH239" s="38" t="s">
        <v>3384</v>
      </c>
      <c r="AL239" s="15" t="s">
        <v>3385</v>
      </c>
      <c r="AN239" s="15">
        <v>3639</v>
      </c>
      <c r="AO239" s="15" t="s">
        <v>3386</v>
      </c>
      <c r="AQ239" s="28" t="s">
        <v>3353</v>
      </c>
      <c r="AT239" s="15" t="s">
        <v>3387</v>
      </c>
      <c r="AU239" s="15" t="s">
        <v>3388</v>
      </c>
      <c r="AV239" s="15" t="s">
        <v>3388</v>
      </c>
      <c r="AW239" s="15" t="s">
        <v>3389</v>
      </c>
      <c r="AX239" s="15" t="s">
        <v>3389</v>
      </c>
      <c r="AY239" s="39">
        <f t="shared" si="7"/>
        <v>57</v>
      </c>
      <c r="AZ239" s="15" t="s">
        <v>3357</v>
      </c>
      <c r="BA239" s="15" t="s">
        <v>926</v>
      </c>
      <c r="BB239" s="15" t="s">
        <v>3358</v>
      </c>
      <c r="BC239" s="15" t="s">
        <v>3031</v>
      </c>
      <c r="BE239" s="15" t="s">
        <v>3359</v>
      </c>
      <c r="BI239" s="15" t="s">
        <v>3360</v>
      </c>
      <c r="BJ239" s="15" t="s">
        <v>3361</v>
      </c>
      <c r="BN239" s="15" t="s">
        <v>511</v>
      </c>
      <c r="BP239" s="15" t="s">
        <v>346</v>
      </c>
      <c r="BR239" s="15" t="s">
        <v>3362</v>
      </c>
      <c r="BS239" s="15" t="s">
        <v>3390</v>
      </c>
      <c r="DH239" s="15" t="s">
        <v>4597</v>
      </c>
      <c r="DI239" s="15" t="s">
        <v>4597</v>
      </c>
    </row>
    <row r="240" spans="1:113" s="15" customFormat="1" ht="12.75" x14ac:dyDescent="0.2">
      <c r="A240" s="15" t="s">
        <v>109</v>
      </c>
      <c r="B240" s="16" t="s">
        <v>2287</v>
      </c>
      <c r="C240" s="15" t="s">
        <v>2288</v>
      </c>
      <c r="D240" s="15" t="s">
        <v>2997</v>
      </c>
      <c r="E240" s="15" t="s">
        <v>113</v>
      </c>
      <c r="F240" s="15" t="s">
        <v>2997</v>
      </c>
      <c r="G240" s="15" t="s">
        <v>114</v>
      </c>
      <c r="H240" s="15" t="s">
        <v>4536</v>
      </c>
      <c r="J240" s="18" t="s">
        <v>115</v>
      </c>
      <c r="W240" s="15">
        <v>286</v>
      </c>
      <c r="X240" s="15">
        <v>102</v>
      </c>
      <c r="Y240" s="15" t="s">
        <v>2458</v>
      </c>
      <c r="Z240" s="15" t="s">
        <v>2458</v>
      </c>
      <c r="AA240" s="34" t="s">
        <v>2476</v>
      </c>
      <c r="AB240" s="15" t="s">
        <v>3391</v>
      </c>
      <c r="AC240" s="15" t="s">
        <v>3391</v>
      </c>
      <c r="AD240" s="15" t="s">
        <v>3392</v>
      </c>
      <c r="AE240" s="38" t="s">
        <v>2311</v>
      </c>
      <c r="AF240" s="15" t="s">
        <v>3392</v>
      </c>
      <c r="AG240" s="15">
        <v>531084</v>
      </c>
      <c r="AH240" s="38" t="s">
        <v>3393</v>
      </c>
      <c r="AL240" s="15" t="s">
        <v>3394</v>
      </c>
      <c r="AN240" s="15">
        <v>3639</v>
      </c>
      <c r="AO240" s="15" t="s">
        <v>3395</v>
      </c>
      <c r="AQ240" s="28" t="s">
        <v>3396</v>
      </c>
      <c r="AS240" s="41"/>
      <c r="AT240" s="15" t="s">
        <v>3397</v>
      </c>
      <c r="AU240" s="15" t="s">
        <v>3398</v>
      </c>
      <c r="AV240" s="15" t="s">
        <v>3398</v>
      </c>
      <c r="AW240" s="15" t="s">
        <v>3399</v>
      </c>
      <c r="AX240" s="15" t="s">
        <v>3399</v>
      </c>
      <c r="AY240" s="39">
        <f t="shared" si="7"/>
        <v>54</v>
      </c>
      <c r="AZ240" s="15" t="s">
        <v>3400</v>
      </c>
      <c r="BA240" s="15" t="s">
        <v>926</v>
      </c>
      <c r="BB240" s="15" t="s">
        <v>3401</v>
      </c>
      <c r="BE240" s="15" t="s">
        <v>2780</v>
      </c>
      <c r="BJ240" s="15" t="s">
        <v>3402</v>
      </c>
      <c r="BN240" s="15" t="s">
        <v>511</v>
      </c>
      <c r="BP240" s="15" t="s">
        <v>346</v>
      </c>
      <c r="BR240" s="15" t="s">
        <v>3403</v>
      </c>
      <c r="BS240" s="15" t="s">
        <v>3404</v>
      </c>
      <c r="DH240" s="15" t="s">
        <v>4597</v>
      </c>
      <c r="DI240" s="15" t="s">
        <v>4597</v>
      </c>
    </row>
    <row r="241" spans="1:113" s="15" customFormat="1" ht="12.75" x14ac:dyDescent="0.2">
      <c r="A241" s="15" t="s">
        <v>109</v>
      </c>
      <c r="B241" s="16" t="s">
        <v>2287</v>
      </c>
      <c r="C241" s="15" t="s">
        <v>2288</v>
      </c>
      <c r="D241" s="15" t="s">
        <v>2997</v>
      </c>
      <c r="E241" s="15" t="s">
        <v>113</v>
      </c>
      <c r="F241" s="15" t="s">
        <v>2997</v>
      </c>
      <c r="G241" s="15" t="s">
        <v>114</v>
      </c>
      <c r="H241" s="15" t="s">
        <v>4536</v>
      </c>
      <c r="J241" s="18" t="s">
        <v>115</v>
      </c>
      <c r="W241" s="15">
        <v>287</v>
      </c>
      <c r="X241" s="15">
        <v>103</v>
      </c>
      <c r="Y241" s="15" t="s">
        <v>2458</v>
      </c>
      <c r="Z241" s="15" t="s">
        <v>2458</v>
      </c>
      <c r="AA241" s="34" t="s">
        <v>2476</v>
      </c>
      <c r="AB241" s="15" t="s">
        <v>3405</v>
      </c>
      <c r="AC241" s="15" t="s">
        <v>3405</v>
      </c>
      <c r="AD241" s="15" t="s">
        <v>3406</v>
      </c>
      <c r="AE241" s="38" t="s">
        <v>2311</v>
      </c>
      <c r="AF241" s="15" t="s">
        <v>3406</v>
      </c>
      <c r="AG241" s="15">
        <v>531085</v>
      </c>
      <c r="AH241" s="38" t="s">
        <v>3407</v>
      </c>
      <c r="AL241" s="15" t="s">
        <v>3408</v>
      </c>
      <c r="AN241" s="15">
        <v>3639</v>
      </c>
      <c r="AO241" s="15" t="s">
        <v>3409</v>
      </c>
      <c r="AQ241" s="28" t="s">
        <v>3396</v>
      </c>
      <c r="AS241" s="41"/>
      <c r="AT241" s="15" t="s">
        <v>3410</v>
      </c>
      <c r="AU241" s="15" t="s">
        <v>3411</v>
      </c>
      <c r="AV241" s="15" t="s">
        <v>3411</v>
      </c>
      <c r="AW241" s="15" t="s">
        <v>3412</v>
      </c>
      <c r="AX241" s="15" t="s">
        <v>3412</v>
      </c>
      <c r="AY241" s="39">
        <f t="shared" si="7"/>
        <v>50</v>
      </c>
      <c r="AZ241" s="15" t="s">
        <v>3400</v>
      </c>
      <c r="BA241" s="15" t="s">
        <v>926</v>
      </c>
      <c r="BB241" s="15" t="s">
        <v>3401</v>
      </c>
      <c r="BE241" s="15" t="s">
        <v>2780</v>
      </c>
      <c r="BJ241" s="15" t="s">
        <v>3413</v>
      </c>
      <c r="BN241" s="15" t="s">
        <v>511</v>
      </c>
      <c r="BP241" s="15" t="s">
        <v>346</v>
      </c>
      <c r="BS241" s="15" t="s">
        <v>3414</v>
      </c>
      <c r="DH241" s="15" t="s">
        <v>4597</v>
      </c>
      <c r="DI241" s="15" t="s">
        <v>4597</v>
      </c>
    </row>
    <row r="242" spans="1:113" s="15" customFormat="1" ht="12.75" x14ac:dyDescent="0.2">
      <c r="A242" s="15" t="s">
        <v>109</v>
      </c>
      <c r="B242" s="16" t="s">
        <v>2287</v>
      </c>
      <c r="C242" s="15" t="s">
        <v>2288</v>
      </c>
      <c r="D242" s="15" t="s">
        <v>2997</v>
      </c>
      <c r="E242" s="15" t="s">
        <v>113</v>
      </c>
      <c r="F242" s="15" t="s">
        <v>2997</v>
      </c>
      <c r="G242" s="15" t="s">
        <v>114</v>
      </c>
      <c r="H242" s="15" t="s">
        <v>4536</v>
      </c>
      <c r="J242" s="18" t="s">
        <v>115</v>
      </c>
      <c r="W242" s="15">
        <v>288</v>
      </c>
      <c r="X242" s="15">
        <v>104</v>
      </c>
      <c r="Y242" s="15" t="s">
        <v>2458</v>
      </c>
      <c r="Z242" s="15" t="s">
        <v>2458</v>
      </c>
      <c r="AA242" s="34" t="s">
        <v>2476</v>
      </c>
      <c r="AB242" s="15" t="s">
        <v>3415</v>
      </c>
      <c r="AC242" s="15" t="s">
        <v>3415</v>
      </c>
      <c r="AD242" s="15" t="s">
        <v>3416</v>
      </c>
      <c r="AE242" s="38" t="s">
        <v>2311</v>
      </c>
      <c r="AF242" s="15" t="s">
        <v>3416</v>
      </c>
      <c r="AG242" s="15">
        <v>531118</v>
      </c>
      <c r="AH242" s="38" t="s">
        <v>3417</v>
      </c>
      <c r="AL242" s="15" t="s">
        <v>3418</v>
      </c>
      <c r="AN242" s="15">
        <v>3639</v>
      </c>
      <c r="AO242" s="15" t="s">
        <v>3419</v>
      </c>
      <c r="AQ242" s="28" t="s">
        <v>3396</v>
      </c>
      <c r="AS242" s="41"/>
      <c r="AT242" s="15" t="s">
        <v>3420</v>
      </c>
      <c r="AU242" s="15" t="s">
        <v>3421</v>
      </c>
      <c r="AV242" s="15" t="s">
        <v>3421</v>
      </c>
      <c r="AW242" s="15" t="s">
        <v>3422</v>
      </c>
      <c r="AX242" s="15" t="s">
        <v>3422</v>
      </c>
      <c r="AY242" s="39">
        <f t="shared" si="7"/>
        <v>50</v>
      </c>
      <c r="AZ242" s="15" t="s">
        <v>3400</v>
      </c>
      <c r="BA242" s="15" t="s">
        <v>926</v>
      </c>
      <c r="BB242" s="15" t="s">
        <v>3423</v>
      </c>
      <c r="BE242" s="15" t="s">
        <v>2780</v>
      </c>
      <c r="BJ242" s="15" t="s">
        <v>3424</v>
      </c>
      <c r="BN242" s="15" t="s">
        <v>511</v>
      </c>
      <c r="BP242" s="15" t="s">
        <v>346</v>
      </c>
      <c r="BS242" s="15" t="s">
        <v>3425</v>
      </c>
      <c r="DH242" s="15" t="s">
        <v>4597</v>
      </c>
      <c r="DI242" s="15" t="s">
        <v>4597</v>
      </c>
    </row>
    <row r="243" spans="1:113" s="15" customFormat="1" ht="12.75" x14ac:dyDescent="0.2">
      <c r="A243" s="15" t="s">
        <v>109</v>
      </c>
      <c r="B243" s="16" t="s">
        <v>2287</v>
      </c>
      <c r="C243" s="15" t="s">
        <v>2288</v>
      </c>
      <c r="D243" s="15" t="s">
        <v>2997</v>
      </c>
      <c r="E243" s="15" t="s">
        <v>113</v>
      </c>
      <c r="F243" s="15" t="s">
        <v>2997</v>
      </c>
      <c r="G243" s="15" t="s">
        <v>114</v>
      </c>
      <c r="H243" s="15" t="s">
        <v>4536</v>
      </c>
      <c r="J243" s="18" t="s">
        <v>115</v>
      </c>
      <c r="W243" s="15">
        <v>289</v>
      </c>
      <c r="X243" s="15">
        <v>105</v>
      </c>
      <c r="Y243" s="15" t="s">
        <v>2458</v>
      </c>
      <c r="Z243" s="15" t="s">
        <v>2458</v>
      </c>
      <c r="AA243" s="34" t="s">
        <v>2476</v>
      </c>
      <c r="AB243" s="15" t="s">
        <v>3426</v>
      </c>
      <c r="AC243" s="15" t="s">
        <v>3426</v>
      </c>
      <c r="AD243" s="15" t="s">
        <v>3427</v>
      </c>
      <c r="AE243" s="38" t="s">
        <v>2311</v>
      </c>
      <c r="AF243" s="15" t="s">
        <v>3427</v>
      </c>
      <c r="AG243" s="15">
        <v>531133</v>
      </c>
      <c r="AH243" s="38" t="s">
        <v>3428</v>
      </c>
      <c r="AL243" s="15" t="s">
        <v>3429</v>
      </c>
      <c r="AN243" s="15">
        <v>3639</v>
      </c>
      <c r="AO243" s="15" t="s">
        <v>3430</v>
      </c>
      <c r="AQ243" s="28" t="s">
        <v>3396</v>
      </c>
      <c r="AT243" s="15" t="s">
        <v>3431</v>
      </c>
      <c r="AU243" s="15" t="s">
        <v>3432</v>
      </c>
      <c r="AV243" s="15" t="s">
        <v>3432</v>
      </c>
      <c r="AW243" s="15" t="s">
        <v>3433</v>
      </c>
      <c r="AX243" s="15" t="s">
        <v>3433</v>
      </c>
      <c r="AY243" s="39">
        <f t="shared" si="7"/>
        <v>45</v>
      </c>
      <c r="AZ243" s="15" t="s">
        <v>3400</v>
      </c>
      <c r="BA243" s="15" t="s">
        <v>926</v>
      </c>
      <c r="BB243" s="15" t="s">
        <v>3423</v>
      </c>
      <c r="BE243" s="15" t="s">
        <v>2780</v>
      </c>
      <c r="BJ243" s="15" t="s">
        <v>3434</v>
      </c>
      <c r="BN243" s="15" t="s">
        <v>511</v>
      </c>
      <c r="BP243" s="15" t="s">
        <v>346</v>
      </c>
      <c r="BS243" s="15" t="s">
        <v>3435</v>
      </c>
      <c r="DH243" s="15" t="s">
        <v>4597</v>
      </c>
      <c r="DI243" s="15" t="s">
        <v>4597</v>
      </c>
    </row>
    <row r="244" spans="1:113" s="15" customFormat="1" ht="12.75" x14ac:dyDescent="0.2">
      <c r="A244" s="15" t="s">
        <v>109</v>
      </c>
      <c r="B244" s="16" t="s">
        <v>2287</v>
      </c>
      <c r="C244" s="15" t="s">
        <v>2288</v>
      </c>
      <c r="D244" s="15" t="s">
        <v>2997</v>
      </c>
      <c r="E244" s="15" t="s">
        <v>113</v>
      </c>
      <c r="F244" s="15" t="s">
        <v>2997</v>
      </c>
      <c r="G244" s="15" t="s">
        <v>114</v>
      </c>
      <c r="H244" s="15" t="s">
        <v>4536</v>
      </c>
      <c r="J244" s="18" t="s">
        <v>115</v>
      </c>
      <c r="W244" s="15">
        <v>290</v>
      </c>
      <c r="X244" s="15">
        <v>106</v>
      </c>
      <c r="Y244" s="15" t="s">
        <v>2458</v>
      </c>
      <c r="Z244" s="15" t="s">
        <v>2458</v>
      </c>
      <c r="AA244" s="34" t="s">
        <v>2476</v>
      </c>
      <c r="AB244" s="15" t="s">
        <v>3436</v>
      </c>
      <c r="AC244" s="15" t="s">
        <v>3436</v>
      </c>
      <c r="AD244" s="15" t="s">
        <v>3437</v>
      </c>
      <c r="AE244" s="38" t="s">
        <v>2311</v>
      </c>
      <c r="AF244" s="15" t="s">
        <v>3437</v>
      </c>
      <c r="AG244" s="15">
        <v>531190</v>
      </c>
      <c r="AH244" s="38" t="s">
        <v>3438</v>
      </c>
      <c r="AL244" s="15" t="s">
        <v>3439</v>
      </c>
      <c r="AN244" s="15">
        <v>3639</v>
      </c>
      <c r="AO244" s="15" t="s">
        <v>3440</v>
      </c>
      <c r="AQ244" s="28" t="s">
        <v>3396</v>
      </c>
      <c r="AT244" s="15" t="s">
        <v>3441</v>
      </c>
      <c r="AU244" s="15" t="s">
        <v>3442</v>
      </c>
      <c r="AV244" s="15" t="s">
        <v>3442</v>
      </c>
      <c r="AW244" s="15" t="s">
        <v>3443</v>
      </c>
      <c r="AX244" s="15" t="s">
        <v>3444</v>
      </c>
      <c r="AY244" s="39">
        <f t="shared" si="7"/>
        <v>57</v>
      </c>
      <c r="AZ244" s="15" t="s">
        <v>3400</v>
      </c>
      <c r="BA244" s="15" t="s">
        <v>926</v>
      </c>
      <c r="BB244" s="15" t="s">
        <v>3445</v>
      </c>
      <c r="BC244" s="15" t="s">
        <v>3446</v>
      </c>
      <c r="BF244" s="15" t="s">
        <v>3447</v>
      </c>
      <c r="BI244" s="15" t="s">
        <v>3448</v>
      </c>
      <c r="BJ244" s="15" t="s">
        <v>3449</v>
      </c>
      <c r="BN244" s="15" t="s">
        <v>511</v>
      </c>
      <c r="BP244" s="15" t="s">
        <v>346</v>
      </c>
      <c r="BS244" s="15" t="s">
        <v>3450</v>
      </c>
      <c r="DH244" s="15" t="s">
        <v>4597</v>
      </c>
      <c r="DI244" s="15" t="s">
        <v>4597</v>
      </c>
    </row>
    <row r="245" spans="1:113" s="15" customFormat="1" ht="12.75" x14ac:dyDescent="0.2">
      <c r="A245" s="15" t="s">
        <v>109</v>
      </c>
      <c r="B245" s="16" t="s">
        <v>2287</v>
      </c>
      <c r="C245" s="15" t="s">
        <v>2288</v>
      </c>
      <c r="D245" s="15" t="s">
        <v>2997</v>
      </c>
      <c r="E245" s="15" t="s">
        <v>113</v>
      </c>
      <c r="F245" s="15" t="s">
        <v>2997</v>
      </c>
      <c r="G245" s="15" t="s">
        <v>114</v>
      </c>
      <c r="H245" s="15" t="s">
        <v>4536</v>
      </c>
      <c r="J245" s="18" t="s">
        <v>115</v>
      </c>
      <c r="W245" s="15">
        <v>291</v>
      </c>
      <c r="X245" s="15">
        <v>107</v>
      </c>
      <c r="Y245" s="15" t="s">
        <v>2458</v>
      </c>
      <c r="Z245" s="15" t="s">
        <v>2458</v>
      </c>
      <c r="AA245" s="34" t="s">
        <v>2476</v>
      </c>
      <c r="AB245" s="15" t="s">
        <v>3451</v>
      </c>
      <c r="AC245" s="15" t="s">
        <v>3451</v>
      </c>
      <c r="AD245" s="15" t="s">
        <v>3452</v>
      </c>
      <c r="AE245" s="38" t="s">
        <v>2311</v>
      </c>
      <c r="AF245" s="15" t="s">
        <v>3452</v>
      </c>
      <c r="AG245" s="15">
        <v>531237</v>
      </c>
      <c r="AH245" s="38" t="s">
        <v>3453</v>
      </c>
      <c r="AL245" s="15" t="s">
        <v>3454</v>
      </c>
      <c r="AN245" s="15">
        <v>3639</v>
      </c>
      <c r="AO245" s="15" t="s">
        <v>3455</v>
      </c>
      <c r="AQ245" s="28" t="s">
        <v>3396</v>
      </c>
      <c r="AT245" s="15" t="s">
        <v>3456</v>
      </c>
      <c r="AU245" s="15" t="s">
        <v>3457</v>
      </c>
      <c r="AV245" s="15" t="s">
        <v>3457</v>
      </c>
      <c r="AW245" s="15" t="s">
        <v>3458</v>
      </c>
      <c r="AX245" s="15" t="s">
        <v>3459</v>
      </c>
      <c r="AY245" s="39">
        <f t="shared" si="7"/>
        <v>60</v>
      </c>
      <c r="AZ245" s="15" t="s">
        <v>3400</v>
      </c>
      <c r="BA245" s="15" t="s">
        <v>926</v>
      </c>
      <c r="BB245" s="15" t="s">
        <v>3460</v>
      </c>
      <c r="BE245" s="15" t="s">
        <v>3461</v>
      </c>
      <c r="BF245" s="15" t="s">
        <v>3462</v>
      </c>
      <c r="BI245" s="15" t="s">
        <v>3448</v>
      </c>
      <c r="BJ245" s="15" t="s">
        <v>3463</v>
      </c>
      <c r="BN245" s="15" t="s">
        <v>511</v>
      </c>
      <c r="BP245" s="15" t="s">
        <v>346</v>
      </c>
      <c r="BR245" s="15" t="s">
        <v>3464</v>
      </c>
      <c r="BS245" s="15" t="s">
        <v>3465</v>
      </c>
      <c r="DH245" s="15" t="s">
        <v>4597</v>
      </c>
      <c r="DI245" s="15" t="s">
        <v>4597</v>
      </c>
    </row>
    <row r="246" spans="1:113" s="15" customFormat="1" ht="12.75" x14ac:dyDescent="0.2">
      <c r="A246" s="15" t="s">
        <v>109</v>
      </c>
      <c r="B246" s="16" t="s">
        <v>2287</v>
      </c>
      <c r="C246" s="15" t="s">
        <v>2288</v>
      </c>
      <c r="D246" s="15" t="s">
        <v>2997</v>
      </c>
      <c r="E246" s="15" t="s">
        <v>113</v>
      </c>
      <c r="F246" s="15" t="s">
        <v>2997</v>
      </c>
      <c r="G246" s="15" t="s">
        <v>114</v>
      </c>
      <c r="H246" s="15" t="s">
        <v>4536</v>
      </c>
      <c r="J246" s="18" t="s">
        <v>115</v>
      </c>
      <c r="W246" s="15">
        <v>292</v>
      </c>
      <c r="X246" s="15">
        <v>108</v>
      </c>
      <c r="Y246" s="15" t="s">
        <v>2458</v>
      </c>
      <c r="Z246" s="15" t="s">
        <v>2458</v>
      </c>
      <c r="AA246" s="34" t="s">
        <v>2476</v>
      </c>
      <c r="AB246" s="15" t="s">
        <v>3466</v>
      </c>
      <c r="AC246" s="15" t="s">
        <v>3466</v>
      </c>
      <c r="AD246" s="15" t="s">
        <v>3467</v>
      </c>
      <c r="AE246" s="38" t="s">
        <v>2311</v>
      </c>
      <c r="AF246" s="15" t="s">
        <v>3467</v>
      </c>
      <c r="AG246" s="15">
        <v>531297</v>
      </c>
      <c r="AH246" s="38" t="s">
        <v>3468</v>
      </c>
      <c r="AL246" s="15" t="s">
        <v>3469</v>
      </c>
      <c r="AN246" s="15">
        <v>3639</v>
      </c>
      <c r="AO246" s="15" t="s">
        <v>3470</v>
      </c>
      <c r="AQ246" s="28" t="s">
        <v>3396</v>
      </c>
      <c r="AT246" s="15" t="s">
        <v>3471</v>
      </c>
      <c r="AU246" s="15" t="s">
        <v>3472</v>
      </c>
      <c r="AV246" s="15" t="s">
        <v>3472</v>
      </c>
      <c r="AW246" s="15" t="s">
        <v>3473</v>
      </c>
      <c r="AX246" s="15" t="s">
        <v>3474</v>
      </c>
      <c r="AY246" s="39">
        <f t="shared" si="7"/>
        <v>60</v>
      </c>
      <c r="AZ246" s="15" t="s">
        <v>3400</v>
      </c>
      <c r="BA246" s="15" t="s">
        <v>926</v>
      </c>
      <c r="BB246" s="15" t="s">
        <v>3460</v>
      </c>
      <c r="BE246" s="15" t="s">
        <v>753</v>
      </c>
      <c r="BF246" s="15" t="s">
        <v>3462</v>
      </c>
      <c r="BI246" s="15" t="s">
        <v>3448</v>
      </c>
      <c r="BJ246" s="15" t="s">
        <v>3463</v>
      </c>
      <c r="BN246" s="15" t="s">
        <v>511</v>
      </c>
      <c r="BP246" s="15" t="s">
        <v>346</v>
      </c>
      <c r="BR246" s="15" t="s">
        <v>3475</v>
      </c>
      <c r="BS246" s="15" t="s">
        <v>3476</v>
      </c>
      <c r="DH246" s="15" t="s">
        <v>4597</v>
      </c>
      <c r="DI246" s="15" t="s">
        <v>4597</v>
      </c>
    </row>
    <row r="247" spans="1:113" s="15" customFormat="1" ht="12.75" x14ac:dyDescent="0.2">
      <c r="A247" s="15" t="s">
        <v>109</v>
      </c>
      <c r="B247" s="16" t="s">
        <v>2287</v>
      </c>
      <c r="C247" s="15" t="s">
        <v>2288</v>
      </c>
      <c r="D247" s="15" t="s">
        <v>2997</v>
      </c>
      <c r="E247" s="15" t="s">
        <v>113</v>
      </c>
      <c r="F247" s="15" t="s">
        <v>2997</v>
      </c>
      <c r="G247" s="15" t="s">
        <v>114</v>
      </c>
      <c r="H247" s="15" t="s">
        <v>4536</v>
      </c>
      <c r="J247" s="18" t="s">
        <v>115</v>
      </c>
      <c r="W247" s="15">
        <v>293</v>
      </c>
      <c r="X247" s="15">
        <v>109</v>
      </c>
      <c r="Y247" s="15" t="s">
        <v>2458</v>
      </c>
      <c r="Z247" s="15" t="s">
        <v>2458</v>
      </c>
      <c r="AA247" s="34" t="s">
        <v>2476</v>
      </c>
      <c r="AB247" s="15" t="s">
        <v>3477</v>
      </c>
      <c r="AC247" s="15" t="s">
        <v>3477</v>
      </c>
      <c r="AD247" s="15" t="s">
        <v>3478</v>
      </c>
      <c r="AE247" s="38" t="s">
        <v>2311</v>
      </c>
      <c r="AF247" s="15" t="s">
        <v>3478</v>
      </c>
      <c r="AG247" s="15">
        <v>531376</v>
      </c>
      <c r="AH247" s="38" t="s">
        <v>3479</v>
      </c>
      <c r="AL247" s="15" t="s">
        <v>3480</v>
      </c>
      <c r="AN247" s="15">
        <v>3639</v>
      </c>
      <c r="AO247" s="15" t="s">
        <v>3481</v>
      </c>
      <c r="AQ247" s="28" t="s">
        <v>3396</v>
      </c>
      <c r="AT247" s="15" t="s">
        <v>3482</v>
      </c>
      <c r="AU247" s="15" t="s">
        <v>3483</v>
      </c>
      <c r="AV247" s="15" t="s">
        <v>3483</v>
      </c>
      <c r="AW247" s="15" t="s">
        <v>3484</v>
      </c>
      <c r="AX247" s="15" t="s">
        <v>3484</v>
      </c>
      <c r="AY247" s="39">
        <f t="shared" si="7"/>
        <v>59</v>
      </c>
      <c r="AZ247" s="15" t="s">
        <v>3400</v>
      </c>
      <c r="BA247" s="15" t="s">
        <v>926</v>
      </c>
      <c r="BB247" s="15" t="s">
        <v>3485</v>
      </c>
      <c r="BC247" s="15" t="s">
        <v>2659</v>
      </c>
      <c r="BE247" s="15" t="s">
        <v>2442</v>
      </c>
      <c r="BJ247" s="15" t="s">
        <v>3486</v>
      </c>
      <c r="BN247" s="15" t="s">
        <v>511</v>
      </c>
      <c r="BP247" s="15" t="s">
        <v>346</v>
      </c>
      <c r="BR247" s="15" t="s">
        <v>3487</v>
      </c>
      <c r="BS247" s="15" t="s">
        <v>3488</v>
      </c>
      <c r="DH247" s="15" t="s">
        <v>4597</v>
      </c>
      <c r="DI247" s="15" t="s">
        <v>4597</v>
      </c>
    </row>
    <row r="248" spans="1:113" s="15" customFormat="1" ht="12.75" x14ac:dyDescent="0.2">
      <c r="A248" s="15" t="s">
        <v>109</v>
      </c>
      <c r="B248" s="16" t="s">
        <v>2287</v>
      </c>
      <c r="C248" s="15" t="s">
        <v>2288</v>
      </c>
      <c r="D248" s="15" t="s">
        <v>2997</v>
      </c>
      <c r="E248" s="15" t="s">
        <v>113</v>
      </c>
      <c r="F248" s="15" t="s">
        <v>2997</v>
      </c>
      <c r="G248" s="15" t="s">
        <v>114</v>
      </c>
      <c r="H248" s="15" t="s">
        <v>4536</v>
      </c>
      <c r="J248" s="18" t="s">
        <v>115</v>
      </c>
      <c r="W248" s="15">
        <v>294</v>
      </c>
      <c r="X248" s="15">
        <v>110</v>
      </c>
      <c r="Y248" s="15" t="s">
        <v>2458</v>
      </c>
      <c r="Z248" s="15" t="s">
        <v>2458</v>
      </c>
      <c r="AA248" s="34" t="s">
        <v>2476</v>
      </c>
      <c r="AB248" s="15" t="s">
        <v>3489</v>
      </c>
      <c r="AC248" s="15" t="s">
        <v>3489</v>
      </c>
      <c r="AD248" s="15" t="s">
        <v>3490</v>
      </c>
      <c r="AE248" s="38" t="s">
        <v>2311</v>
      </c>
      <c r="AF248" s="15" t="s">
        <v>3490</v>
      </c>
      <c r="AG248" s="15">
        <v>531377</v>
      </c>
      <c r="AH248" s="38" t="s">
        <v>3491</v>
      </c>
      <c r="AL248" s="15" t="s">
        <v>3492</v>
      </c>
      <c r="AN248" s="15">
        <v>3639</v>
      </c>
      <c r="AO248" s="15" t="s">
        <v>3493</v>
      </c>
      <c r="AQ248" s="28" t="s">
        <v>3396</v>
      </c>
      <c r="AT248" s="15" t="s">
        <v>3494</v>
      </c>
      <c r="AU248" s="15" t="s">
        <v>3495</v>
      </c>
      <c r="AV248" s="15" t="s">
        <v>3495</v>
      </c>
      <c r="AW248" s="15" t="s">
        <v>3496</v>
      </c>
      <c r="AX248" s="15" t="s">
        <v>3496</v>
      </c>
      <c r="AY248" s="39">
        <f t="shared" si="7"/>
        <v>59</v>
      </c>
      <c r="AZ248" s="15" t="s">
        <v>3400</v>
      </c>
      <c r="BA248" s="15" t="s">
        <v>926</v>
      </c>
      <c r="BB248" s="15" t="s">
        <v>3485</v>
      </c>
      <c r="BC248" s="15" t="s">
        <v>3497</v>
      </c>
      <c r="BE248" s="15" t="s">
        <v>2442</v>
      </c>
      <c r="BJ248" s="15" t="s">
        <v>3486</v>
      </c>
      <c r="BN248" s="15" t="s">
        <v>511</v>
      </c>
      <c r="BP248" s="15" t="s">
        <v>346</v>
      </c>
      <c r="BR248" s="15" t="s">
        <v>3487</v>
      </c>
      <c r="BS248" s="15" t="s">
        <v>3498</v>
      </c>
      <c r="DH248" s="15" t="s">
        <v>4597</v>
      </c>
      <c r="DI248" s="15" t="s">
        <v>4597</v>
      </c>
    </row>
    <row r="249" spans="1:113" s="15" customFormat="1" ht="12.75" x14ac:dyDescent="0.2">
      <c r="A249" s="15" t="s">
        <v>109</v>
      </c>
      <c r="B249" s="16" t="s">
        <v>2287</v>
      </c>
      <c r="C249" s="15" t="s">
        <v>2288</v>
      </c>
      <c r="D249" s="15" t="s">
        <v>2997</v>
      </c>
      <c r="E249" s="15" t="s">
        <v>113</v>
      </c>
      <c r="F249" s="15" t="s">
        <v>2997</v>
      </c>
      <c r="G249" s="15" t="s">
        <v>114</v>
      </c>
      <c r="H249" s="15" t="s">
        <v>4536</v>
      </c>
      <c r="J249" s="18" t="s">
        <v>115</v>
      </c>
      <c r="W249" s="15">
        <v>295</v>
      </c>
      <c r="X249" s="15">
        <v>111</v>
      </c>
      <c r="Y249" s="15" t="s">
        <v>2458</v>
      </c>
      <c r="Z249" s="15" t="s">
        <v>2458</v>
      </c>
      <c r="AA249" s="34" t="s">
        <v>2476</v>
      </c>
      <c r="AB249" s="15" t="s">
        <v>3499</v>
      </c>
      <c r="AC249" s="15" t="s">
        <v>3499</v>
      </c>
      <c r="AD249" s="15" t="s">
        <v>3500</v>
      </c>
      <c r="AE249" s="38" t="s">
        <v>2311</v>
      </c>
      <c r="AF249" s="15" t="s">
        <v>3500</v>
      </c>
      <c r="AG249" s="15">
        <v>531404</v>
      </c>
      <c r="AH249" s="38" t="s">
        <v>3501</v>
      </c>
      <c r="AL249" s="15" t="s">
        <v>3502</v>
      </c>
      <c r="AN249" s="15">
        <v>3639</v>
      </c>
      <c r="AO249" s="15" t="s">
        <v>3503</v>
      </c>
      <c r="AQ249" s="28" t="s">
        <v>3396</v>
      </c>
      <c r="AT249" s="15" t="s">
        <v>3504</v>
      </c>
      <c r="AU249" s="15" t="s">
        <v>3505</v>
      </c>
      <c r="AV249" s="15" t="s">
        <v>3505</v>
      </c>
      <c r="AW249" s="15" t="s">
        <v>3506</v>
      </c>
      <c r="AX249" s="15" t="s">
        <v>3507</v>
      </c>
      <c r="AY249" s="39">
        <f t="shared" si="7"/>
        <v>59</v>
      </c>
      <c r="AZ249" s="15" t="s">
        <v>3400</v>
      </c>
      <c r="BA249" s="15" t="s">
        <v>926</v>
      </c>
      <c r="BB249" s="15" t="s">
        <v>3485</v>
      </c>
      <c r="BC249" s="15" t="s">
        <v>3508</v>
      </c>
      <c r="BE249" s="15" t="s">
        <v>3461</v>
      </c>
      <c r="BI249" s="15" t="s">
        <v>2882</v>
      </c>
      <c r="BJ249" s="15" t="s">
        <v>3509</v>
      </c>
      <c r="BN249" s="15" t="s">
        <v>511</v>
      </c>
      <c r="BP249" s="15" t="s">
        <v>346</v>
      </c>
      <c r="BR249" s="15" t="s">
        <v>3464</v>
      </c>
      <c r="BS249" s="15" t="s">
        <v>3510</v>
      </c>
      <c r="DH249" s="15" t="s">
        <v>4597</v>
      </c>
      <c r="DI249" s="15" t="s">
        <v>4597</v>
      </c>
    </row>
    <row r="250" spans="1:113" s="15" customFormat="1" ht="12.75" x14ac:dyDescent="0.2">
      <c r="A250" s="15" t="s">
        <v>109</v>
      </c>
      <c r="B250" s="16" t="s">
        <v>2287</v>
      </c>
      <c r="C250" s="15" t="s">
        <v>2288</v>
      </c>
      <c r="D250" s="15" t="s">
        <v>2997</v>
      </c>
      <c r="E250" s="15" t="s">
        <v>113</v>
      </c>
      <c r="F250" s="15" t="s">
        <v>2997</v>
      </c>
      <c r="G250" s="15" t="s">
        <v>114</v>
      </c>
      <c r="H250" s="15" t="s">
        <v>4536</v>
      </c>
      <c r="J250" s="18" t="s">
        <v>115</v>
      </c>
      <c r="W250" s="15">
        <v>296</v>
      </c>
      <c r="X250" s="15">
        <v>112</v>
      </c>
      <c r="Y250" s="15" t="s">
        <v>2458</v>
      </c>
      <c r="Z250" s="15" t="s">
        <v>2458</v>
      </c>
      <c r="AA250" s="34" t="s">
        <v>2476</v>
      </c>
      <c r="AB250" s="15" t="s">
        <v>3511</v>
      </c>
      <c r="AC250" s="15" t="s">
        <v>3511</v>
      </c>
      <c r="AD250" s="15" t="s">
        <v>3512</v>
      </c>
      <c r="AE250" s="38" t="s">
        <v>2311</v>
      </c>
      <c r="AF250" s="15" t="s">
        <v>3512</v>
      </c>
      <c r="AG250" s="15">
        <v>531411</v>
      </c>
      <c r="AH250" s="38" t="s">
        <v>3513</v>
      </c>
      <c r="AL250" s="15" t="s">
        <v>3514</v>
      </c>
      <c r="AN250" s="15">
        <v>3639</v>
      </c>
      <c r="AO250" s="15" t="s">
        <v>3515</v>
      </c>
      <c r="AQ250" s="28" t="s">
        <v>3396</v>
      </c>
      <c r="AT250" s="15" t="s">
        <v>3516</v>
      </c>
      <c r="AU250" s="15" t="s">
        <v>3517</v>
      </c>
      <c r="AV250" s="15" t="s">
        <v>3517</v>
      </c>
      <c r="AW250" s="15" t="s">
        <v>3518</v>
      </c>
      <c r="AX250" s="15" t="s">
        <v>3519</v>
      </c>
      <c r="AY250" s="39">
        <f t="shared" si="7"/>
        <v>59</v>
      </c>
      <c r="AZ250" s="15" t="s">
        <v>3400</v>
      </c>
      <c r="BA250" s="15" t="s">
        <v>926</v>
      </c>
      <c r="BB250" s="15" t="s">
        <v>3485</v>
      </c>
      <c r="BC250" s="15" t="s">
        <v>3520</v>
      </c>
      <c r="BE250" s="15" t="s">
        <v>3461</v>
      </c>
      <c r="BI250" s="15" t="s">
        <v>2882</v>
      </c>
      <c r="BJ250" s="15" t="s">
        <v>3521</v>
      </c>
      <c r="BN250" s="15" t="s">
        <v>511</v>
      </c>
      <c r="BP250" s="15" t="s">
        <v>346</v>
      </c>
      <c r="BR250" s="15" t="s">
        <v>3464</v>
      </c>
      <c r="BS250" s="15" t="s">
        <v>3522</v>
      </c>
      <c r="DH250" s="15" t="s">
        <v>4597</v>
      </c>
      <c r="DI250" s="15" t="s">
        <v>4597</v>
      </c>
    </row>
    <row r="251" spans="1:113" s="15" customFormat="1" ht="12.75" x14ac:dyDescent="0.2">
      <c r="A251" s="15" t="s">
        <v>109</v>
      </c>
      <c r="B251" s="16" t="s">
        <v>2287</v>
      </c>
      <c r="C251" s="15" t="s">
        <v>2288</v>
      </c>
      <c r="D251" s="15" t="s">
        <v>2997</v>
      </c>
      <c r="E251" s="15" t="s">
        <v>113</v>
      </c>
      <c r="F251" s="15" t="s">
        <v>2997</v>
      </c>
      <c r="G251" s="15" t="s">
        <v>114</v>
      </c>
      <c r="H251" s="15" t="s">
        <v>4536</v>
      </c>
      <c r="J251" s="18" t="s">
        <v>115</v>
      </c>
      <c r="W251" s="15">
        <v>297</v>
      </c>
      <c r="X251" s="15">
        <v>113</v>
      </c>
      <c r="Y251" s="15" t="s">
        <v>2458</v>
      </c>
      <c r="Z251" s="15" t="s">
        <v>2458</v>
      </c>
      <c r="AA251" s="34" t="s">
        <v>2476</v>
      </c>
      <c r="AB251" s="15" t="s">
        <v>3523</v>
      </c>
      <c r="AC251" s="15" t="s">
        <v>3523</v>
      </c>
      <c r="AD251" s="15" t="s">
        <v>3524</v>
      </c>
      <c r="AE251" s="38" t="s">
        <v>2311</v>
      </c>
      <c r="AF251" s="15" t="s">
        <v>3524</v>
      </c>
      <c r="AG251" s="15">
        <v>531416</v>
      </c>
      <c r="AH251" s="38" t="s">
        <v>3525</v>
      </c>
      <c r="AL251" s="15" t="s">
        <v>3526</v>
      </c>
      <c r="AN251" s="15">
        <v>3639</v>
      </c>
      <c r="AO251" s="15" t="s">
        <v>3527</v>
      </c>
      <c r="AQ251" s="28" t="s">
        <v>3396</v>
      </c>
      <c r="AT251" s="15" t="s">
        <v>3528</v>
      </c>
      <c r="AU251" s="15" t="s">
        <v>3529</v>
      </c>
      <c r="AV251" s="15" t="s">
        <v>3529</v>
      </c>
      <c r="AW251" s="15" t="s">
        <v>3530</v>
      </c>
      <c r="AX251" s="15" t="s">
        <v>3531</v>
      </c>
      <c r="AY251" s="39">
        <f t="shared" si="7"/>
        <v>59</v>
      </c>
      <c r="AZ251" s="15" t="s">
        <v>3400</v>
      </c>
      <c r="BA251" s="15" t="s">
        <v>926</v>
      </c>
      <c r="BB251" s="15" t="s">
        <v>3485</v>
      </c>
      <c r="BC251" s="15" t="s">
        <v>3508</v>
      </c>
      <c r="BE251" s="15" t="s">
        <v>2429</v>
      </c>
      <c r="BI251" s="15" t="s">
        <v>2882</v>
      </c>
      <c r="BJ251" s="15" t="s">
        <v>3509</v>
      </c>
      <c r="BN251" s="15" t="s">
        <v>511</v>
      </c>
      <c r="BP251" s="15" t="s">
        <v>346</v>
      </c>
      <c r="BS251" s="15" t="s">
        <v>3532</v>
      </c>
      <c r="DH251" s="15" t="s">
        <v>4597</v>
      </c>
      <c r="DI251" s="15" t="s">
        <v>4597</v>
      </c>
    </row>
    <row r="252" spans="1:113" s="15" customFormat="1" ht="12.75" x14ac:dyDescent="0.2">
      <c r="A252" s="15" t="s">
        <v>109</v>
      </c>
      <c r="B252" s="16" t="s">
        <v>2287</v>
      </c>
      <c r="C252" s="15" t="s">
        <v>2288</v>
      </c>
      <c r="D252" s="15" t="s">
        <v>2997</v>
      </c>
      <c r="E252" s="15" t="s">
        <v>113</v>
      </c>
      <c r="F252" s="15" t="s">
        <v>2997</v>
      </c>
      <c r="G252" s="15" t="s">
        <v>114</v>
      </c>
      <c r="H252" s="15" t="s">
        <v>4536</v>
      </c>
      <c r="J252" s="18" t="s">
        <v>115</v>
      </c>
      <c r="W252" s="15">
        <v>298</v>
      </c>
      <c r="X252" s="15">
        <v>114</v>
      </c>
      <c r="Y252" s="15" t="s">
        <v>2458</v>
      </c>
      <c r="Z252" s="15" t="s">
        <v>2458</v>
      </c>
      <c r="AA252" s="34" t="s">
        <v>2476</v>
      </c>
      <c r="AB252" s="15" t="s">
        <v>3533</v>
      </c>
      <c r="AC252" s="15" t="s">
        <v>3533</v>
      </c>
      <c r="AD252" s="15" t="s">
        <v>3534</v>
      </c>
      <c r="AE252" s="38" t="s">
        <v>2311</v>
      </c>
      <c r="AF252" s="15" t="s">
        <v>3534</v>
      </c>
      <c r="AG252" s="15">
        <v>531418</v>
      </c>
      <c r="AH252" s="38" t="s">
        <v>3535</v>
      </c>
      <c r="AL252" s="15" t="s">
        <v>3536</v>
      </c>
      <c r="AN252" s="15">
        <v>3639</v>
      </c>
      <c r="AO252" s="15" t="s">
        <v>3537</v>
      </c>
      <c r="AQ252" s="28" t="s">
        <v>3396</v>
      </c>
      <c r="AT252" s="15" t="s">
        <v>3538</v>
      </c>
      <c r="AU252" s="15" t="s">
        <v>3539</v>
      </c>
      <c r="AV252" s="15" t="s">
        <v>3539</v>
      </c>
      <c r="AW252" s="15" t="s">
        <v>3540</v>
      </c>
      <c r="AX252" s="15" t="s">
        <v>3541</v>
      </c>
      <c r="AY252" s="39">
        <f t="shared" si="7"/>
        <v>59</v>
      </c>
      <c r="AZ252" s="15" t="s">
        <v>3400</v>
      </c>
      <c r="BA252" s="15" t="s">
        <v>926</v>
      </c>
      <c r="BB252" s="15" t="s">
        <v>3485</v>
      </c>
      <c r="BC252" s="15" t="s">
        <v>3542</v>
      </c>
      <c r="BE252" s="15" t="s">
        <v>2429</v>
      </c>
      <c r="BI252" s="15" t="s">
        <v>2882</v>
      </c>
      <c r="BJ252" s="15" t="s">
        <v>3521</v>
      </c>
      <c r="BN252" s="15" t="s">
        <v>511</v>
      </c>
      <c r="BP252" s="15" t="s">
        <v>346</v>
      </c>
      <c r="BS252" s="15" t="s">
        <v>3543</v>
      </c>
      <c r="DH252" s="15" t="s">
        <v>4597</v>
      </c>
      <c r="DI252" s="15" t="s">
        <v>4597</v>
      </c>
    </row>
    <row r="253" spans="1:113" s="15" customFormat="1" ht="12.75" x14ac:dyDescent="0.2">
      <c r="A253" s="15" t="s">
        <v>109</v>
      </c>
      <c r="B253" s="16" t="s">
        <v>2287</v>
      </c>
      <c r="C253" s="15" t="s">
        <v>2288</v>
      </c>
      <c r="D253" s="15" t="s">
        <v>2997</v>
      </c>
      <c r="E253" s="15" t="s">
        <v>113</v>
      </c>
      <c r="F253" s="15" t="s">
        <v>2997</v>
      </c>
      <c r="G253" s="15" t="s">
        <v>114</v>
      </c>
      <c r="H253" s="15" t="s">
        <v>4536</v>
      </c>
      <c r="J253" s="18" t="s">
        <v>115</v>
      </c>
      <c r="W253" s="15">
        <v>299</v>
      </c>
      <c r="X253" s="15">
        <v>115</v>
      </c>
      <c r="Y253" s="15" t="s">
        <v>2458</v>
      </c>
      <c r="Z253" s="15" t="s">
        <v>2458</v>
      </c>
      <c r="AA253" s="34" t="s">
        <v>2476</v>
      </c>
      <c r="AB253" s="15" t="s">
        <v>3544</v>
      </c>
      <c r="AC253" s="15" t="s">
        <v>3544</v>
      </c>
      <c r="AD253" s="15" t="s">
        <v>3545</v>
      </c>
      <c r="AE253" s="38" t="s">
        <v>2311</v>
      </c>
      <c r="AF253" s="15" t="s">
        <v>3545</v>
      </c>
      <c r="AG253" s="15">
        <v>531419</v>
      </c>
      <c r="AH253" s="38" t="s">
        <v>3546</v>
      </c>
      <c r="AL253" s="15" t="s">
        <v>3547</v>
      </c>
      <c r="AN253" s="15">
        <v>3639</v>
      </c>
      <c r="AO253" s="15" t="s">
        <v>3548</v>
      </c>
      <c r="AQ253" s="28" t="s">
        <v>3396</v>
      </c>
      <c r="AT253" s="15" t="s">
        <v>3549</v>
      </c>
      <c r="AU253" s="15" t="s">
        <v>3550</v>
      </c>
      <c r="AV253" s="15" t="s">
        <v>3550</v>
      </c>
      <c r="AW253" s="15" t="s">
        <v>3551</v>
      </c>
      <c r="AX253" s="15" t="s">
        <v>3552</v>
      </c>
      <c r="AY253" s="39">
        <f t="shared" si="7"/>
        <v>59</v>
      </c>
      <c r="AZ253" s="15" t="s">
        <v>3400</v>
      </c>
      <c r="BA253" s="15" t="s">
        <v>926</v>
      </c>
      <c r="BB253" s="15" t="s">
        <v>3485</v>
      </c>
      <c r="BC253" s="15" t="s">
        <v>3542</v>
      </c>
      <c r="BE253" s="15" t="s">
        <v>2429</v>
      </c>
      <c r="BI253" s="15" t="s">
        <v>2882</v>
      </c>
      <c r="BJ253" s="15" t="s">
        <v>3509</v>
      </c>
      <c r="BN253" s="15" t="s">
        <v>511</v>
      </c>
      <c r="BP253" s="15" t="s">
        <v>346</v>
      </c>
      <c r="BS253" s="15" t="s">
        <v>3553</v>
      </c>
      <c r="DH253" s="15" t="s">
        <v>4597</v>
      </c>
      <c r="DI253" s="15" t="s">
        <v>4597</v>
      </c>
    </row>
    <row r="254" spans="1:113" s="15" customFormat="1" ht="12.75" x14ac:dyDescent="0.2">
      <c r="A254" s="15" t="s">
        <v>109</v>
      </c>
      <c r="B254" s="16" t="s">
        <v>2287</v>
      </c>
      <c r="C254" s="15" t="s">
        <v>2288</v>
      </c>
      <c r="D254" s="15" t="s">
        <v>2997</v>
      </c>
      <c r="E254" s="15" t="s">
        <v>113</v>
      </c>
      <c r="F254" s="15" t="s">
        <v>2997</v>
      </c>
      <c r="G254" s="15" t="s">
        <v>114</v>
      </c>
      <c r="H254" s="15" t="s">
        <v>4536</v>
      </c>
      <c r="J254" s="18" t="s">
        <v>115</v>
      </c>
      <c r="W254" s="15">
        <v>300</v>
      </c>
      <c r="X254" s="15">
        <v>116</v>
      </c>
      <c r="Y254" s="15" t="s">
        <v>2458</v>
      </c>
      <c r="Z254" s="15" t="s">
        <v>2458</v>
      </c>
      <c r="AA254" s="34" t="s">
        <v>2476</v>
      </c>
      <c r="AB254" s="15" t="s">
        <v>3554</v>
      </c>
      <c r="AC254" s="15" t="s">
        <v>3554</v>
      </c>
      <c r="AD254" s="15" t="s">
        <v>3555</v>
      </c>
      <c r="AE254" s="38" t="s">
        <v>2311</v>
      </c>
      <c r="AF254" s="15" t="s">
        <v>3555</v>
      </c>
      <c r="AG254" s="15">
        <v>531422</v>
      </c>
      <c r="AH254" s="38" t="s">
        <v>3556</v>
      </c>
      <c r="AL254" s="15" t="s">
        <v>3557</v>
      </c>
      <c r="AN254" s="15">
        <v>3639</v>
      </c>
      <c r="AO254" s="15" t="s">
        <v>3558</v>
      </c>
      <c r="AQ254" s="28" t="s">
        <v>3396</v>
      </c>
      <c r="AT254" s="15" t="s">
        <v>3559</v>
      </c>
      <c r="AU254" s="15" t="s">
        <v>3560</v>
      </c>
      <c r="AV254" s="15" t="s">
        <v>3560</v>
      </c>
      <c r="AW254" s="15" t="s">
        <v>3561</v>
      </c>
      <c r="AX254" s="15" t="s">
        <v>3562</v>
      </c>
      <c r="AY254" s="39">
        <f t="shared" si="7"/>
        <v>59</v>
      </c>
      <c r="AZ254" s="15" t="s">
        <v>3400</v>
      </c>
      <c r="BA254" s="15" t="s">
        <v>926</v>
      </c>
      <c r="BB254" s="15" t="s">
        <v>3485</v>
      </c>
      <c r="BC254" s="15" t="s">
        <v>3563</v>
      </c>
      <c r="BE254" s="15" t="s">
        <v>2429</v>
      </c>
      <c r="BI254" s="15" t="s">
        <v>2882</v>
      </c>
      <c r="BJ254" s="15" t="s">
        <v>3509</v>
      </c>
      <c r="BN254" s="15" t="s">
        <v>511</v>
      </c>
      <c r="BP254" s="15" t="s">
        <v>346</v>
      </c>
      <c r="BS254" s="15" t="s">
        <v>3564</v>
      </c>
      <c r="DH254" s="15" t="s">
        <v>4597</v>
      </c>
      <c r="DI254" s="15" t="s">
        <v>4597</v>
      </c>
    </row>
    <row r="255" spans="1:113" s="15" customFormat="1" ht="12.75" x14ac:dyDescent="0.2">
      <c r="A255" s="15" t="s">
        <v>109</v>
      </c>
      <c r="B255" s="16" t="s">
        <v>2287</v>
      </c>
      <c r="C255" s="15" t="s">
        <v>2288</v>
      </c>
      <c r="D255" s="15" t="s">
        <v>2997</v>
      </c>
      <c r="E255" s="15" t="s">
        <v>113</v>
      </c>
      <c r="F255" s="15" t="s">
        <v>2997</v>
      </c>
      <c r="G255" s="15" t="s">
        <v>114</v>
      </c>
      <c r="H255" s="15" t="s">
        <v>4536</v>
      </c>
      <c r="J255" s="18" t="s">
        <v>115</v>
      </c>
      <c r="W255" s="15">
        <v>301</v>
      </c>
      <c r="X255" s="15">
        <v>117</v>
      </c>
      <c r="Y255" s="15" t="s">
        <v>2458</v>
      </c>
      <c r="Z255" s="15" t="s">
        <v>2458</v>
      </c>
      <c r="AA255" s="34" t="s">
        <v>2476</v>
      </c>
      <c r="AB255" s="15" t="s">
        <v>3565</v>
      </c>
      <c r="AC255" s="15" t="s">
        <v>3565</v>
      </c>
      <c r="AD255" s="15" t="s">
        <v>3566</v>
      </c>
      <c r="AE255" s="38" t="s">
        <v>2311</v>
      </c>
      <c r="AF255" s="15" t="s">
        <v>3566</v>
      </c>
      <c r="AG255" s="15">
        <v>531424</v>
      </c>
      <c r="AH255" s="38" t="s">
        <v>3567</v>
      </c>
      <c r="AL255" s="15" t="s">
        <v>3568</v>
      </c>
      <c r="AN255" s="15">
        <v>3639</v>
      </c>
      <c r="AO255" s="15" t="s">
        <v>3569</v>
      </c>
      <c r="AQ255" s="28" t="s">
        <v>3396</v>
      </c>
      <c r="AT255" s="15" t="s">
        <v>3570</v>
      </c>
      <c r="AU255" s="15" t="s">
        <v>3571</v>
      </c>
      <c r="AV255" s="15" t="s">
        <v>3571</v>
      </c>
      <c r="AW255" s="15" t="s">
        <v>3572</v>
      </c>
      <c r="AX255" s="15" t="s">
        <v>3573</v>
      </c>
      <c r="AY255" s="39">
        <f t="shared" si="7"/>
        <v>59</v>
      </c>
      <c r="AZ255" s="15" t="s">
        <v>3400</v>
      </c>
      <c r="BA255" s="15" t="s">
        <v>926</v>
      </c>
      <c r="BB255" s="15" t="s">
        <v>3485</v>
      </c>
      <c r="BC255" s="15" t="s">
        <v>3574</v>
      </c>
      <c r="BE255" s="15" t="s">
        <v>2429</v>
      </c>
      <c r="BI255" s="15" t="s">
        <v>2882</v>
      </c>
      <c r="BJ255" s="15" t="s">
        <v>3521</v>
      </c>
      <c r="BN255" s="15" t="s">
        <v>511</v>
      </c>
      <c r="BP255" s="15" t="s">
        <v>346</v>
      </c>
      <c r="BS255" s="15" t="s">
        <v>3575</v>
      </c>
      <c r="DH255" s="15" t="s">
        <v>4597</v>
      </c>
      <c r="DI255" s="15" t="s">
        <v>4597</v>
      </c>
    </row>
    <row r="256" spans="1:113" s="15" customFormat="1" ht="12.75" x14ac:dyDescent="0.2">
      <c r="A256" s="15" t="s">
        <v>109</v>
      </c>
      <c r="B256" s="16" t="s">
        <v>2287</v>
      </c>
      <c r="C256" s="15" t="s">
        <v>2288</v>
      </c>
      <c r="D256" s="15" t="s">
        <v>2997</v>
      </c>
      <c r="E256" s="15" t="s">
        <v>113</v>
      </c>
      <c r="F256" s="15" t="s">
        <v>2997</v>
      </c>
      <c r="G256" s="15" t="s">
        <v>114</v>
      </c>
      <c r="H256" s="15" t="s">
        <v>4536</v>
      </c>
      <c r="J256" s="18" t="s">
        <v>115</v>
      </c>
      <c r="W256" s="15">
        <v>302</v>
      </c>
      <c r="X256" s="15">
        <v>118</v>
      </c>
      <c r="Y256" s="15" t="s">
        <v>2458</v>
      </c>
      <c r="Z256" s="15" t="s">
        <v>2458</v>
      </c>
      <c r="AA256" s="34" t="s">
        <v>2476</v>
      </c>
      <c r="AB256" s="15" t="s">
        <v>3576</v>
      </c>
      <c r="AC256" s="15" t="s">
        <v>3576</v>
      </c>
      <c r="AD256" s="15" t="s">
        <v>3577</v>
      </c>
      <c r="AE256" s="38" t="s">
        <v>2311</v>
      </c>
      <c r="AF256" s="15" t="s">
        <v>3577</v>
      </c>
      <c r="AG256" s="15">
        <v>531425</v>
      </c>
      <c r="AH256" s="38" t="s">
        <v>3578</v>
      </c>
      <c r="AL256" s="15" t="s">
        <v>3579</v>
      </c>
      <c r="AN256" s="15">
        <v>3639</v>
      </c>
      <c r="AO256" s="15" t="s">
        <v>3580</v>
      </c>
      <c r="AQ256" s="28" t="s">
        <v>3396</v>
      </c>
      <c r="AT256" s="15" t="s">
        <v>3581</v>
      </c>
      <c r="AU256" s="15" t="s">
        <v>3582</v>
      </c>
      <c r="AV256" s="15" t="s">
        <v>3582</v>
      </c>
      <c r="AW256" s="15" t="s">
        <v>3583</v>
      </c>
      <c r="AX256" s="15" t="s">
        <v>3584</v>
      </c>
      <c r="AY256" s="39">
        <f t="shared" si="7"/>
        <v>59</v>
      </c>
      <c r="AZ256" s="15" t="s">
        <v>3400</v>
      </c>
      <c r="BA256" s="15" t="s">
        <v>926</v>
      </c>
      <c r="BB256" s="15" t="s">
        <v>3485</v>
      </c>
      <c r="BC256" s="15" t="s">
        <v>3574</v>
      </c>
      <c r="BE256" s="15" t="s">
        <v>2429</v>
      </c>
      <c r="BI256" s="15" t="s">
        <v>2882</v>
      </c>
      <c r="BJ256" s="15" t="s">
        <v>3509</v>
      </c>
      <c r="BN256" s="15" t="s">
        <v>511</v>
      </c>
      <c r="BP256" s="15" t="s">
        <v>346</v>
      </c>
      <c r="BS256" s="15" t="s">
        <v>3585</v>
      </c>
      <c r="DH256" s="15" t="s">
        <v>4597</v>
      </c>
      <c r="DI256" s="15" t="s">
        <v>4597</v>
      </c>
    </row>
    <row r="257" spans="1:113" s="15" customFormat="1" ht="12.75" x14ac:dyDescent="0.2">
      <c r="A257" s="15" t="s">
        <v>109</v>
      </c>
      <c r="B257" s="16" t="s">
        <v>2287</v>
      </c>
      <c r="C257" s="15" t="s">
        <v>2288</v>
      </c>
      <c r="D257" s="15" t="s">
        <v>2997</v>
      </c>
      <c r="E257" s="15" t="s">
        <v>113</v>
      </c>
      <c r="F257" s="15" t="s">
        <v>2997</v>
      </c>
      <c r="G257" s="15" t="s">
        <v>114</v>
      </c>
      <c r="H257" s="15" t="s">
        <v>4536</v>
      </c>
      <c r="J257" s="18" t="s">
        <v>115</v>
      </c>
      <c r="W257" s="15">
        <v>303</v>
      </c>
      <c r="X257" s="15">
        <v>119</v>
      </c>
      <c r="Y257" s="15" t="s">
        <v>2458</v>
      </c>
      <c r="Z257" s="15" t="s">
        <v>2458</v>
      </c>
      <c r="AA257" s="34" t="s">
        <v>2476</v>
      </c>
      <c r="AB257" s="15" t="s">
        <v>3586</v>
      </c>
      <c r="AC257" s="15" t="s">
        <v>3586</v>
      </c>
      <c r="AD257" s="15" t="s">
        <v>3587</v>
      </c>
      <c r="AE257" s="38" t="s">
        <v>2311</v>
      </c>
      <c r="AF257" s="15" t="s">
        <v>3587</v>
      </c>
      <c r="AG257" s="15">
        <v>531480</v>
      </c>
      <c r="AH257" s="38" t="s">
        <v>3588</v>
      </c>
      <c r="AL257" s="15" t="s">
        <v>3589</v>
      </c>
      <c r="AN257" s="15">
        <v>3639</v>
      </c>
      <c r="AO257" s="15" t="s">
        <v>3590</v>
      </c>
      <c r="AQ257" s="28" t="s">
        <v>3396</v>
      </c>
      <c r="AT257" s="15" t="s">
        <v>3591</v>
      </c>
      <c r="AU257" s="15" t="s">
        <v>3592</v>
      </c>
      <c r="AV257" s="15" t="s">
        <v>3592</v>
      </c>
      <c r="AW257" s="15" t="s">
        <v>3593</v>
      </c>
      <c r="AX257" s="15" t="s">
        <v>3594</v>
      </c>
      <c r="AY257" s="39">
        <f t="shared" si="7"/>
        <v>59</v>
      </c>
      <c r="AZ257" s="15" t="s">
        <v>3400</v>
      </c>
      <c r="BA257" s="15" t="s">
        <v>926</v>
      </c>
      <c r="BB257" s="15" t="s">
        <v>3485</v>
      </c>
      <c r="BC257" s="15" t="s">
        <v>3595</v>
      </c>
      <c r="BE257" s="15" t="s">
        <v>2429</v>
      </c>
      <c r="BI257" s="15" t="s">
        <v>2882</v>
      </c>
      <c r="BJ257" s="15" t="s">
        <v>3521</v>
      </c>
      <c r="BN257" s="15" t="s">
        <v>511</v>
      </c>
      <c r="BP257" s="15" t="s">
        <v>346</v>
      </c>
      <c r="BS257" s="15" t="s">
        <v>3596</v>
      </c>
      <c r="DH257" s="15" t="s">
        <v>4597</v>
      </c>
      <c r="DI257" s="15" t="s">
        <v>4597</v>
      </c>
    </row>
    <row r="258" spans="1:113" s="15" customFormat="1" ht="12.75" x14ac:dyDescent="0.2">
      <c r="A258" s="15" t="s">
        <v>109</v>
      </c>
      <c r="B258" s="16" t="s">
        <v>2287</v>
      </c>
      <c r="C258" s="15" t="s">
        <v>2288</v>
      </c>
      <c r="D258" s="15" t="s">
        <v>2997</v>
      </c>
      <c r="E258" s="15" t="s">
        <v>113</v>
      </c>
      <c r="F258" s="15" t="s">
        <v>2997</v>
      </c>
      <c r="G258" s="15" t="s">
        <v>114</v>
      </c>
      <c r="H258" s="15" t="s">
        <v>4536</v>
      </c>
      <c r="J258" s="18" t="s">
        <v>115</v>
      </c>
      <c r="W258" s="15">
        <v>304</v>
      </c>
      <c r="X258" s="15">
        <v>120</v>
      </c>
      <c r="Y258" s="15" t="s">
        <v>2458</v>
      </c>
      <c r="Z258" s="15" t="s">
        <v>2458</v>
      </c>
      <c r="AA258" s="34" t="s">
        <v>2476</v>
      </c>
      <c r="AB258" s="15" t="s">
        <v>3597</v>
      </c>
      <c r="AC258" s="15" t="s">
        <v>3597</v>
      </c>
      <c r="AD258" s="15" t="s">
        <v>3598</v>
      </c>
      <c r="AE258" s="38" t="s">
        <v>2311</v>
      </c>
      <c r="AF258" s="15" t="s">
        <v>3598</v>
      </c>
      <c r="AG258" s="15">
        <v>531482</v>
      </c>
      <c r="AH258" s="38" t="s">
        <v>3599</v>
      </c>
      <c r="AL258" s="15" t="s">
        <v>3600</v>
      </c>
      <c r="AN258" s="15">
        <v>3639</v>
      </c>
      <c r="AO258" s="15" t="s">
        <v>3601</v>
      </c>
      <c r="AQ258" s="28" t="s">
        <v>3396</v>
      </c>
      <c r="AT258" s="15" t="s">
        <v>3602</v>
      </c>
      <c r="AU258" s="15" t="s">
        <v>3603</v>
      </c>
      <c r="AV258" s="15" t="s">
        <v>3603</v>
      </c>
      <c r="AW258" s="15" t="s">
        <v>3604</v>
      </c>
      <c r="AX258" s="15" t="s">
        <v>3605</v>
      </c>
      <c r="AY258" s="39">
        <f t="shared" si="7"/>
        <v>59</v>
      </c>
      <c r="AZ258" s="15" t="s">
        <v>3400</v>
      </c>
      <c r="BA258" s="15" t="s">
        <v>926</v>
      </c>
      <c r="BB258" s="15" t="s">
        <v>3485</v>
      </c>
      <c r="BC258" s="15" t="s">
        <v>3595</v>
      </c>
      <c r="BE258" s="15" t="s">
        <v>1350</v>
      </c>
      <c r="BI258" s="15" t="s">
        <v>2882</v>
      </c>
      <c r="BJ258" s="15" t="s">
        <v>3521</v>
      </c>
      <c r="BN258" s="15" t="s">
        <v>511</v>
      </c>
      <c r="BP258" s="15" t="s">
        <v>346</v>
      </c>
      <c r="BS258" s="15" t="s">
        <v>3606</v>
      </c>
      <c r="DH258" s="15" t="s">
        <v>4597</v>
      </c>
      <c r="DI258" s="15" t="s">
        <v>4597</v>
      </c>
    </row>
    <row r="259" spans="1:113" s="15" customFormat="1" ht="12.75" x14ac:dyDescent="0.2">
      <c r="A259" s="15" t="s">
        <v>109</v>
      </c>
      <c r="B259" s="16" t="s">
        <v>2287</v>
      </c>
      <c r="C259" s="15" t="s">
        <v>2288</v>
      </c>
      <c r="D259" s="15" t="s">
        <v>2997</v>
      </c>
      <c r="E259" s="15" t="s">
        <v>113</v>
      </c>
      <c r="F259" s="15" t="s">
        <v>2997</v>
      </c>
      <c r="G259" s="15" t="s">
        <v>114</v>
      </c>
      <c r="H259" s="15" t="s">
        <v>4536</v>
      </c>
      <c r="J259" s="18" t="s">
        <v>115</v>
      </c>
      <c r="W259" s="15">
        <v>305</v>
      </c>
      <c r="X259" s="15">
        <v>121</v>
      </c>
      <c r="Y259" s="15" t="s">
        <v>2458</v>
      </c>
      <c r="Z259" s="15" t="s">
        <v>2458</v>
      </c>
      <c r="AA259" s="34" t="s">
        <v>2476</v>
      </c>
      <c r="AB259" s="15" t="s">
        <v>3607</v>
      </c>
      <c r="AC259" s="15" t="s">
        <v>3607</v>
      </c>
      <c r="AD259" s="15" t="s">
        <v>3608</v>
      </c>
      <c r="AE259" s="38" t="s">
        <v>2311</v>
      </c>
      <c r="AF259" s="15" t="s">
        <v>3608</v>
      </c>
      <c r="AG259" s="15">
        <v>531484</v>
      </c>
      <c r="AH259" s="38" t="s">
        <v>3609</v>
      </c>
      <c r="AL259" s="15" t="s">
        <v>3610</v>
      </c>
      <c r="AN259" s="15">
        <v>3639</v>
      </c>
      <c r="AO259" s="15" t="s">
        <v>3611</v>
      </c>
      <c r="AQ259" s="28" t="s">
        <v>3396</v>
      </c>
      <c r="AT259" s="15" t="s">
        <v>3612</v>
      </c>
      <c r="AU259" s="15" t="s">
        <v>3613</v>
      </c>
      <c r="AV259" s="15" t="s">
        <v>3613</v>
      </c>
      <c r="AW259" s="15" t="s">
        <v>3614</v>
      </c>
      <c r="AX259" s="15" t="s">
        <v>3615</v>
      </c>
      <c r="AY259" s="39">
        <f t="shared" si="7"/>
        <v>59</v>
      </c>
      <c r="AZ259" s="15" t="s">
        <v>3400</v>
      </c>
      <c r="BA259" s="15" t="s">
        <v>926</v>
      </c>
      <c r="BB259" s="15" t="s">
        <v>3485</v>
      </c>
      <c r="BC259" s="15" t="s">
        <v>3616</v>
      </c>
      <c r="BE259" s="15" t="s">
        <v>1350</v>
      </c>
      <c r="BI259" s="15" t="s">
        <v>2882</v>
      </c>
      <c r="BJ259" s="15" t="s">
        <v>3521</v>
      </c>
      <c r="BN259" s="15" t="s">
        <v>511</v>
      </c>
      <c r="BP259" s="15" t="s">
        <v>346</v>
      </c>
      <c r="BS259" s="15" t="s">
        <v>3617</v>
      </c>
      <c r="DH259" s="15" t="s">
        <v>4597</v>
      </c>
      <c r="DI259" s="15" t="s">
        <v>4597</v>
      </c>
    </row>
    <row r="260" spans="1:113" s="15" customFormat="1" ht="12.75" x14ac:dyDescent="0.2">
      <c r="A260" s="15" t="s">
        <v>109</v>
      </c>
      <c r="B260" s="16" t="s">
        <v>2287</v>
      </c>
      <c r="C260" s="15" t="s">
        <v>2288</v>
      </c>
      <c r="D260" s="15" t="s">
        <v>2997</v>
      </c>
      <c r="E260" s="15" t="s">
        <v>113</v>
      </c>
      <c r="F260" s="15" t="s">
        <v>2997</v>
      </c>
      <c r="G260" s="15" t="s">
        <v>114</v>
      </c>
      <c r="H260" s="15" t="s">
        <v>4536</v>
      </c>
      <c r="J260" s="18" t="s">
        <v>115</v>
      </c>
      <c r="W260" s="15">
        <v>306</v>
      </c>
      <c r="X260" s="15">
        <v>122</v>
      </c>
      <c r="Y260" s="15" t="s">
        <v>2458</v>
      </c>
      <c r="Z260" s="15" t="s">
        <v>2458</v>
      </c>
      <c r="AA260" s="34" t="s">
        <v>2476</v>
      </c>
      <c r="AB260" s="15" t="s">
        <v>3618</v>
      </c>
      <c r="AC260" s="15" t="s">
        <v>3618</v>
      </c>
      <c r="AD260" s="15" t="s">
        <v>3619</v>
      </c>
      <c r="AE260" s="38" t="s">
        <v>2311</v>
      </c>
      <c r="AF260" s="15" t="s">
        <v>3619</v>
      </c>
      <c r="AG260" s="15">
        <v>531502</v>
      </c>
      <c r="AH260" s="38" t="s">
        <v>3620</v>
      </c>
      <c r="AL260" s="15" t="s">
        <v>3621</v>
      </c>
      <c r="AN260" s="15">
        <v>3639</v>
      </c>
      <c r="AO260" s="15" t="s">
        <v>3622</v>
      </c>
      <c r="AQ260" s="28" t="s">
        <v>3396</v>
      </c>
      <c r="AT260" s="15" t="s">
        <v>3623</v>
      </c>
      <c r="AU260" s="15" t="s">
        <v>3624</v>
      </c>
      <c r="AV260" s="15" t="s">
        <v>3624</v>
      </c>
      <c r="AW260" s="15" t="s">
        <v>3625</v>
      </c>
      <c r="AX260" s="15" t="s">
        <v>3626</v>
      </c>
      <c r="AY260" s="39">
        <f t="shared" si="7"/>
        <v>56</v>
      </c>
      <c r="AZ260" s="15" t="s">
        <v>3400</v>
      </c>
      <c r="BA260" s="15" t="s">
        <v>926</v>
      </c>
      <c r="BB260" s="15" t="s">
        <v>3485</v>
      </c>
      <c r="BC260" s="15" t="s">
        <v>3627</v>
      </c>
      <c r="BE260" s="15" t="s">
        <v>2453</v>
      </c>
      <c r="BI260" s="15" t="s">
        <v>3628</v>
      </c>
      <c r="BJ260" s="15" t="s">
        <v>3629</v>
      </c>
      <c r="BN260" s="15" t="s">
        <v>511</v>
      </c>
      <c r="BO260" s="15" t="s">
        <v>3630</v>
      </c>
      <c r="BP260" s="15" t="s">
        <v>346</v>
      </c>
      <c r="BS260" s="15" t="s">
        <v>3631</v>
      </c>
      <c r="DH260" s="15" t="s">
        <v>4597</v>
      </c>
      <c r="DI260" s="15" t="s">
        <v>4597</v>
      </c>
    </row>
    <row r="261" spans="1:113" s="15" customFormat="1" ht="12.75" x14ac:dyDescent="0.2">
      <c r="A261" s="15" t="s">
        <v>109</v>
      </c>
      <c r="B261" s="16" t="s">
        <v>2287</v>
      </c>
      <c r="C261" s="15" t="s">
        <v>2288</v>
      </c>
      <c r="D261" s="15" t="s">
        <v>2997</v>
      </c>
      <c r="E261" s="15" t="s">
        <v>113</v>
      </c>
      <c r="F261" s="15" t="s">
        <v>2997</v>
      </c>
      <c r="G261" s="15" t="s">
        <v>114</v>
      </c>
      <c r="H261" s="15" t="s">
        <v>4536</v>
      </c>
      <c r="J261" s="18" t="s">
        <v>115</v>
      </c>
      <c r="W261" s="15">
        <v>307</v>
      </c>
      <c r="X261" s="15">
        <v>123</v>
      </c>
      <c r="Y261" s="15" t="s">
        <v>2458</v>
      </c>
      <c r="Z261" s="15" t="s">
        <v>2458</v>
      </c>
      <c r="AA261" s="34" t="s">
        <v>2476</v>
      </c>
      <c r="AB261" s="15" t="s">
        <v>3632</v>
      </c>
      <c r="AC261" s="15" t="s">
        <v>3632</v>
      </c>
      <c r="AD261" s="15" t="s">
        <v>3633</v>
      </c>
      <c r="AE261" s="38" t="s">
        <v>2311</v>
      </c>
      <c r="AF261" s="15" t="s">
        <v>3633</v>
      </c>
      <c r="AG261" s="15">
        <v>531504</v>
      </c>
      <c r="AH261" s="38" t="s">
        <v>3634</v>
      </c>
      <c r="AL261" s="15" t="s">
        <v>3635</v>
      </c>
      <c r="AN261" s="15">
        <v>3639</v>
      </c>
      <c r="AO261" s="15" t="s">
        <v>3636</v>
      </c>
      <c r="AQ261" s="28" t="s">
        <v>3396</v>
      </c>
      <c r="AT261" s="15" t="s">
        <v>3637</v>
      </c>
      <c r="AU261" s="15" t="s">
        <v>3638</v>
      </c>
      <c r="AV261" s="15" t="s">
        <v>3638</v>
      </c>
      <c r="AW261" s="15" t="s">
        <v>3639</v>
      </c>
      <c r="AX261" s="15" t="s">
        <v>3640</v>
      </c>
      <c r="AY261" s="39">
        <f t="shared" si="7"/>
        <v>56</v>
      </c>
      <c r="AZ261" s="15" t="s">
        <v>3400</v>
      </c>
      <c r="BA261" s="15" t="s">
        <v>926</v>
      </c>
      <c r="BB261" s="15" t="s">
        <v>3485</v>
      </c>
      <c r="BC261" s="15" t="s">
        <v>3508</v>
      </c>
      <c r="BE261" s="15" t="s">
        <v>2453</v>
      </c>
      <c r="BI261" s="15" t="s">
        <v>3628</v>
      </c>
      <c r="BJ261" s="15" t="s">
        <v>3641</v>
      </c>
      <c r="BN261" s="15" t="s">
        <v>511</v>
      </c>
      <c r="BO261" s="15" t="s">
        <v>3630</v>
      </c>
      <c r="BP261" s="15" t="s">
        <v>346</v>
      </c>
      <c r="BR261" s="15" t="s">
        <v>3642</v>
      </c>
      <c r="BS261" s="15" t="s">
        <v>3643</v>
      </c>
      <c r="DH261" s="15" t="s">
        <v>4597</v>
      </c>
      <c r="DI261" s="15" t="s">
        <v>4597</v>
      </c>
    </row>
    <row r="262" spans="1:113" s="15" customFormat="1" ht="12.75" x14ac:dyDescent="0.2">
      <c r="A262" s="15" t="s">
        <v>109</v>
      </c>
      <c r="B262" s="16" t="s">
        <v>2287</v>
      </c>
      <c r="C262" s="15" t="s">
        <v>2288</v>
      </c>
      <c r="D262" s="15" t="s">
        <v>2997</v>
      </c>
      <c r="E262" s="15" t="s">
        <v>113</v>
      </c>
      <c r="F262" s="15" t="s">
        <v>2997</v>
      </c>
      <c r="G262" s="15" t="s">
        <v>114</v>
      </c>
      <c r="H262" s="15" t="s">
        <v>4536</v>
      </c>
      <c r="J262" s="18" t="s">
        <v>115</v>
      </c>
      <c r="W262" s="15">
        <v>308</v>
      </c>
      <c r="X262" s="15">
        <v>124</v>
      </c>
      <c r="Y262" s="15" t="s">
        <v>2458</v>
      </c>
      <c r="Z262" s="15" t="s">
        <v>2458</v>
      </c>
      <c r="AA262" s="34" t="s">
        <v>2476</v>
      </c>
      <c r="AB262" s="15" t="s">
        <v>3644</v>
      </c>
      <c r="AC262" s="15" t="s">
        <v>3644</v>
      </c>
      <c r="AD262" s="15" t="s">
        <v>3645</v>
      </c>
      <c r="AE262" s="38" t="s">
        <v>2311</v>
      </c>
      <c r="AF262" s="15" t="s">
        <v>3645</v>
      </c>
      <c r="AG262" s="15">
        <v>531505</v>
      </c>
      <c r="AH262" s="38" t="s">
        <v>3646</v>
      </c>
      <c r="AL262" s="15" t="s">
        <v>3647</v>
      </c>
      <c r="AN262" s="15">
        <v>3639</v>
      </c>
      <c r="AO262" s="15" t="s">
        <v>3648</v>
      </c>
      <c r="AQ262" s="28" t="s">
        <v>3396</v>
      </c>
      <c r="AT262" s="15" t="s">
        <v>3649</v>
      </c>
      <c r="AU262" s="15" t="s">
        <v>3650</v>
      </c>
      <c r="AV262" s="15" t="s">
        <v>3650</v>
      </c>
      <c r="AW262" s="15" t="s">
        <v>3651</v>
      </c>
      <c r="AX262" s="15" t="s">
        <v>3652</v>
      </c>
      <c r="AY262" s="39">
        <f t="shared" si="7"/>
        <v>56</v>
      </c>
      <c r="AZ262" s="15" t="s">
        <v>3400</v>
      </c>
      <c r="BA262" s="15" t="s">
        <v>926</v>
      </c>
      <c r="BB262" s="15" t="s">
        <v>3485</v>
      </c>
      <c r="BC262" s="15" t="s">
        <v>3508</v>
      </c>
      <c r="BE262" s="15" t="s">
        <v>2453</v>
      </c>
      <c r="BI262" s="15" t="s">
        <v>3628</v>
      </c>
      <c r="BJ262" s="15" t="s">
        <v>3629</v>
      </c>
      <c r="BN262" s="15" t="s">
        <v>511</v>
      </c>
      <c r="BO262" s="15" t="s">
        <v>3630</v>
      </c>
      <c r="BP262" s="15" t="s">
        <v>346</v>
      </c>
      <c r="BS262" s="15" t="s">
        <v>3653</v>
      </c>
      <c r="DH262" s="15" t="s">
        <v>4597</v>
      </c>
      <c r="DI262" s="15" t="s">
        <v>4597</v>
      </c>
    </row>
    <row r="263" spans="1:113" s="15" customFormat="1" ht="12.75" x14ac:dyDescent="0.2">
      <c r="A263" s="15" t="s">
        <v>109</v>
      </c>
      <c r="B263" s="16" t="s">
        <v>2287</v>
      </c>
      <c r="C263" s="15" t="s">
        <v>2288</v>
      </c>
      <c r="D263" s="15" t="s">
        <v>2997</v>
      </c>
      <c r="E263" s="15" t="s">
        <v>113</v>
      </c>
      <c r="F263" s="15" t="s">
        <v>2997</v>
      </c>
      <c r="G263" s="15" t="s">
        <v>114</v>
      </c>
      <c r="H263" s="15" t="s">
        <v>4536</v>
      </c>
      <c r="J263" s="18" t="s">
        <v>115</v>
      </c>
      <c r="W263" s="15">
        <v>309</v>
      </c>
      <c r="X263" s="15">
        <v>125</v>
      </c>
      <c r="Y263" s="15" t="s">
        <v>2458</v>
      </c>
      <c r="Z263" s="15" t="s">
        <v>2458</v>
      </c>
      <c r="AA263" s="34" t="s">
        <v>2476</v>
      </c>
      <c r="AB263" s="15" t="s">
        <v>3654</v>
      </c>
      <c r="AC263" s="15" t="s">
        <v>3654</v>
      </c>
      <c r="AD263" s="15" t="s">
        <v>3655</v>
      </c>
      <c r="AE263" s="38" t="s">
        <v>2311</v>
      </c>
      <c r="AF263" s="15" t="s">
        <v>3655</v>
      </c>
      <c r="AG263" s="15">
        <v>531507</v>
      </c>
      <c r="AH263" s="38" t="s">
        <v>3656</v>
      </c>
      <c r="AL263" s="15" t="s">
        <v>3657</v>
      </c>
      <c r="AN263" s="15">
        <v>3639</v>
      </c>
      <c r="AO263" s="15" t="s">
        <v>3658</v>
      </c>
      <c r="AQ263" s="28" t="s">
        <v>3396</v>
      </c>
      <c r="AT263" s="15" t="s">
        <v>3659</v>
      </c>
      <c r="AU263" s="15" t="s">
        <v>3660</v>
      </c>
      <c r="AV263" s="15" t="s">
        <v>3660</v>
      </c>
      <c r="AW263" s="15" t="s">
        <v>3661</v>
      </c>
      <c r="AX263" s="15" t="s">
        <v>3662</v>
      </c>
      <c r="AY263" s="39">
        <f t="shared" si="7"/>
        <v>56</v>
      </c>
      <c r="AZ263" s="15" t="s">
        <v>3400</v>
      </c>
      <c r="BA263" s="15" t="s">
        <v>926</v>
      </c>
      <c r="BB263" s="15" t="s">
        <v>3485</v>
      </c>
      <c r="BC263" s="15" t="s">
        <v>3542</v>
      </c>
      <c r="BE263" s="15" t="s">
        <v>2453</v>
      </c>
      <c r="BI263" s="15" t="s">
        <v>3628</v>
      </c>
      <c r="BJ263" s="15" t="s">
        <v>3641</v>
      </c>
      <c r="BN263" s="15" t="s">
        <v>511</v>
      </c>
      <c r="BO263" s="15" t="s">
        <v>3630</v>
      </c>
      <c r="BP263" s="15" t="s">
        <v>346</v>
      </c>
      <c r="BR263" s="15" t="s">
        <v>3642</v>
      </c>
      <c r="BS263" s="15" t="s">
        <v>3663</v>
      </c>
      <c r="DH263" s="15" t="s">
        <v>4597</v>
      </c>
      <c r="DI263" s="15" t="s">
        <v>4597</v>
      </c>
    </row>
    <row r="264" spans="1:113" s="15" customFormat="1" ht="12.75" x14ac:dyDescent="0.2">
      <c r="A264" s="15" t="s">
        <v>109</v>
      </c>
      <c r="B264" s="16" t="s">
        <v>2287</v>
      </c>
      <c r="C264" s="15" t="s">
        <v>2288</v>
      </c>
      <c r="D264" s="15" t="s">
        <v>2997</v>
      </c>
      <c r="E264" s="15" t="s">
        <v>113</v>
      </c>
      <c r="F264" s="15" t="s">
        <v>2997</v>
      </c>
      <c r="G264" s="15" t="s">
        <v>114</v>
      </c>
      <c r="H264" s="15" t="s">
        <v>4536</v>
      </c>
      <c r="J264" s="18" t="s">
        <v>115</v>
      </c>
      <c r="W264" s="15">
        <v>310</v>
      </c>
      <c r="X264" s="15">
        <v>126</v>
      </c>
      <c r="Y264" s="15" t="s">
        <v>2458</v>
      </c>
      <c r="Z264" s="15" t="s">
        <v>2458</v>
      </c>
      <c r="AA264" s="34" t="s">
        <v>2476</v>
      </c>
      <c r="AB264" s="15" t="s">
        <v>3664</v>
      </c>
      <c r="AC264" s="15" t="s">
        <v>3664</v>
      </c>
      <c r="AD264" s="15" t="s">
        <v>3665</v>
      </c>
      <c r="AE264" s="38" t="s">
        <v>2311</v>
      </c>
      <c r="AF264" s="15" t="s">
        <v>3665</v>
      </c>
      <c r="AG264" s="15">
        <v>531508</v>
      </c>
      <c r="AH264" s="38" t="s">
        <v>3666</v>
      </c>
      <c r="AL264" s="15" t="s">
        <v>3667</v>
      </c>
      <c r="AN264" s="15">
        <v>3639</v>
      </c>
      <c r="AO264" s="15" t="s">
        <v>3668</v>
      </c>
      <c r="AQ264" s="28" t="s">
        <v>3396</v>
      </c>
      <c r="AT264" s="15" t="s">
        <v>3669</v>
      </c>
      <c r="AU264" s="15" t="s">
        <v>3670</v>
      </c>
      <c r="AV264" s="15" t="s">
        <v>3670</v>
      </c>
      <c r="AW264" s="15" t="s">
        <v>3671</v>
      </c>
      <c r="AX264" s="15" t="s">
        <v>3672</v>
      </c>
      <c r="AY264" s="39">
        <f t="shared" si="7"/>
        <v>56</v>
      </c>
      <c r="AZ264" s="15" t="s">
        <v>3400</v>
      </c>
      <c r="BA264" s="15" t="s">
        <v>926</v>
      </c>
      <c r="BB264" s="15" t="s">
        <v>3485</v>
      </c>
      <c r="BC264" s="15" t="s">
        <v>3542</v>
      </c>
      <c r="BE264" s="15" t="s">
        <v>2453</v>
      </c>
      <c r="BI264" s="15" t="s">
        <v>3628</v>
      </c>
      <c r="BJ264" s="15" t="s">
        <v>3629</v>
      </c>
      <c r="BN264" s="15" t="s">
        <v>511</v>
      </c>
      <c r="BO264" s="15" t="s">
        <v>3630</v>
      </c>
      <c r="BP264" s="15" t="s">
        <v>346</v>
      </c>
      <c r="BS264" s="15" t="s">
        <v>3673</v>
      </c>
      <c r="DH264" s="15" t="s">
        <v>4597</v>
      </c>
      <c r="DI264" s="15" t="s">
        <v>4597</v>
      </c>
    </row>
    <row r="265" spans="1:113" s="15" customFormat="1" ht="12.75" x14ac:dyDescent="0.2">
      <c r="A265" s="15" t="s">
        <v>109</v>
      </c>
      <c r="B265" s="16" t="s">
        <v>2287</v>
      </c>
      <c r="C265" s="15" t="s">
        <v>2288</v>
      </c>
      <c r="D265" s="15" t="s">
        <v>2997</v>
      </c>
      <c r="E265" s="15" t="s">
        <v>113</v>
      </c>
      <c r="F265" s="15" t="s">
        <v>2997</v>
      </c>
      <c r="G265" s="15" t="s">
        <v>114</v>
      </c>
      <c r="H265" s="15" t="s">
        <v>4536</v>
      </c>
      <c r="J265" s="18" t="s">
        <v>115</v>
      </c>
      <c r="W265" s="15">
        <v>311</v>
      </c>
      <c r="X265" s="15">
        <v>127</v>
      </c>
      <c r="Y265" s="15" t="s">
        <v>2458</v>
      </c>
      <c r="Z265" s="15" t="s">
        <v>2458</v>
      </c>
      <c r="AA265" s="34" t="s">
        <v>2476</v>
      </c>
      <c r="AB265" s="15" t="s">
        <v>3674</v>
      </c>
      <c r="AC265" s="15" t="s">
        <v>3674</v>
      </c>
      <c r="AD265" s="15" t="s">
        <v>3675</v>
      </c>
      <c r="AE265" s="15" t="s">
        <v>2311</v>
      </c>
      <c r="AF265" s="15" t="s">
        <v>3675</v>
      </c>
      <c r="AG265" s="15">
        <v>531511</v>
      </c>
      <c r="AH265" s="15" t="s">
        <v>3676</v>
      </c>
      <c r="AL265" s="15" t="s">
        <v>3677</v>
      </c>
      <c r="AN265" s="15">
        <v>3639</v>
      </c>
      <c r="AO265" s="15" t="s">
        <v>3678</v>
      </c>
      <c r="AQ265" s="28" t="s">
        <v>3396</v>
      </c>
      <c r="AT265" s="15" t="s">
        <v>3679</v>
      </c>
      <c r="AU265" s="15" t="s">
        <v>3680</v>
      </c>
      <c r="AV265" s="15" t="s">
        <v>3680</v>
      </c>
      <c r="AW265" s="15" t="s">
        <v>3681</v>
      </c>
      <c r="AX265" s="15" t="s">
        <v>3682</v>
      </c>
      <c r="AY265" s="39">
        <f t="shared" si="7"/>
        <v>56</v>
      </c>
      <c r="AZ265" s="15" t="s">
        <v>3400</v>
      </c>
      <c r="BA265" s="15" t="s">
        <v>926</v>
      </c>
      <c r="BB265" s="15" t="s">
        <v>3485</v>
      </c>
      <c r="BC265" s="15" t="s">
        <v>3563</v>
      </c>
      <c r="BE265" s="15" t="s">
        <v>2453</v>
      </c>
      <c r="BI265" s="15" t="s">
        <v>3628</v>
      </c>
      <c r="BJ265" s="15" t="s">
        <v>3629</v>
      </c>
      <c r="BN265" s="15" t="s">
        <v>511</v>
      </c>
      <c r="BO265" s="15" t="s">
        <v>3630</v>
      </c>
      <c r="BP265" s="15" t="s">
        <v>346</v>
      </c>
      <c r="BS265" s="15" t="s">
        <v>3683</v>
      </c>
      <c r="DH265" s="15" t="s">
        <v>4597</v>
      </c>
      <c r="DI265" s="15" t="s">
        <v>4597</v>
      </c>
    </row>
    <row r="266" spans="1:113" s="15" customFormat="1" ht="12.75" x14ac:dyDescent="0.2">
      <c r="A266" s="15" t="s">
        <v>109</v>
      </c>
      <c r="B266" s="16" t="s">
        <v>2287</v>
      </c>
      <c r="C266" s="15" t="s">
        <v>2288</v>
      </c>
      <c r="D266" s="15" t="s">
        <v>2997</v>
      </c>
      <c r="E266" s="15" t="s">
        <v>113</v>
      </c>
      <c r="F266" s="15" t="s">
        <v>2997</v>
      </c>
      <c r="G266" s="15" t="s">
        <v>114</v>
      </c>
      <c r="H266" s="15" t="s">
        <v>4536</v>
      </c>
      <c r="J266" s="18" t="s">
        <v>115</v>
      </c>
      <c r="W266" s="15">
        <v>312</v>
      </c>
      <c r="X266" s="15">
        <v>128</v>
      </c>
      <c r="Y266" s="15" t="s">
        <v>2458</v>
      </c>
      <c r="Z266" s="15" t="s">
        <v>2458</v>
      </c>
      <c r="AA266" s="34" t="s">
        <v>2476</v>
      </c>
      <c r="AB266" s="15" t="s">
        <v>3684</v>
      </c>
      <c r="AC266" s="15" t="s">
        <v>3684</v>
      </c>
      <c r="AD266" s="15" t="s">
        <v>3685</v>
      </c>
      <c r="AE266" s="15" t="s">
        <v>2311</v>
      </c>
      <c r="AF266" s="15" t="s">
        <v>3685</v>
      </c>
      <c r="AG266" s="15">
        <v>531516</v>
      </c>
      <c r="AH266" s="15" t="s">
        <v>3686</v>
      </c>
      <c r="AL266" s="15" t="s">
        <v>3687</v>
      </c>
      <c r="AN266" s="15">
        <v>3639</v>
      </c>
      <c r="AO266" s="15" t="s">
        <v>3688</v>
      </c>
      <c r="AQ266" s="28" t="s">
        <v>3396</v>
      </c>
      <c r="AT266" s="15" t="s">
        <v>3689</v>
      </c>
      <c r="AU266" s="15" t="s">
        <v>3690</v>
      </c>
      <c r="AV266" s="15" t="s">
        <v>3690</v>
      </c>
      <c r="AW266" s="15" t="s">
        <v>3691</v>
      </c>
      <c r="AX266" s="15" t="s">
        <v>3692</v>
      </c>
      <c r="AY266" s="39">
        <f t="shared" si="7"/>
        <v>56</v>
      </c>
      <c r="AZ266" s="15" t="s">
        <v>3400</v>
      </c>
      <c r="BA266" s="15" t="s">
        <v>926</v>
      </c>
      <c r="BB266" s="15" t="s">
        <v>3485</v>
      </c>
      <c r="BC266" s="15" t="s">
        <v>3508</v>
      </c>
      <c r="BE266" s="15" t="s">
        <v>3461</v>
      </c>
      <c r="BI266" s="15" t="s">
        <v>3628</v>
      </c>
      <c r="BJ266" s="15" t="s">
        <v>3641</v>
      </c>
      <c r="BN266" s="15" t="s">
        <v>511</v>
      </c>
      <c r="BO266" s="15" t="s">
        <v>3630</v>
      </c>
      <c r="BP266" s="15" t="s">
        <v>346</v>
      </c>
      <c r="BR266" s="15" t="s">
        <v>3464</v>
      </c>
      <c r="BS266" s="15" t="s">
        <v>3693</v>
      </c>
      <c r="DH266" s="15" t="s">
        <v>4597</v>
      </c>
      <c r="DI266" s="15" t="s">
        <v>4597</v>
      </c>
    </row>
    <row r="267" spans="1:113" s="15" customFormat="1" ht="12.75" x14ac:dyDescent="0.2">
      <c r="A267" s="15" t="s">
        <v>109</v>
      </c>
      <c r="B267" s="16" t="s">
        <v>2287</v>
      </c>
      <c r="C267" s="15" t="s">
        <v>2288</v>
      </c>
      <c r="D267" s="15" t="s">
        <v>2997</v>
      </c>
      <c r="E267" s="15" t="s">
        <v>113</v>
      </c>
      <c r="F267" s="15" t="s">
        <v>2997</v>
      </c>
      <c r="G267" s="15" t="s">
        <v>114</v>
      </c>
      <c r="H267" s="15" t="s">
        <v>4536</v>
      </c>
      <c r="J267" s="18" t="s">
        <v>115</v>
      </c>
      <c r="W267" s="15">
        <v>313</v>
      </c>
      <c r="X267" s="15">
        <v>129</v>
      </c>
      <c r="Y267" s="15" t="s">
        <v>2458</v>
      </c>
      <c r="Z267" s="15" t="s">
        <v>2458</v>
      </c>
      <c r="AA267" s="34" t="s">
        <v>2476</v>
      </c>
      <c r="AB267" s="15" t="s">
        <v>3694</v>
      </c>
      <c r="AC267" s="15" t="s">
        <v>3694</v>
      </c>
      <c r="AD267" s="15" t="s">
        <v>3695</v>
      </c>
      <c r="AE267" s="15" t="s">
        <v>2311</v>
      </c>
      <c r="AF267" s="15" t="s">
        <v>3695</v>
      </c>
      <c r="AG267" s="15">
        <v>531517</v>
      </c>
      <c r="AH267" s="15" t="s">
        <v>3696</v>
      </c>
      <c r="AL267" s="15" t="s">
        <v>3697</v>
      </c>
      <c r="AN267" s="15">
        <v>3639</v>
      </c>
      <c r="AO267" s="15" t="s">
        <v>3698</v>
      </c>
      <c r="AQ267" s="28" t="s">
        <v>3396</v>
      </c>
      <c r="AT267" s="15" t="s">
        <v>3699</v>
      </c>
      <c r="AU267" s="15" t="s">
        <v>3700</v>
      </c>
      <c r="AV267" s="15" t="s">
        <v>3700</v>
      </c>
      <c r="AW267" s="15" t="s">
        <v>3701</v>
      </c>
      <c r="AX267" s="15" t="s">
        <v>3702</v>
      </c>
      <c r="AY267" s="39">
        <f t="shared" si="7"/>
        <v>56</v>
      </c>
      <c r="AZ267" s="15" t="s">
        <v>3400</v>
      </c>
      <c r="BA267" s="15" t="s">
        <v>926</v>
      </c>
      <c r="BB267" s="15" t="s">
        <v>3485</v>
      </c>
      <c r="BC267" s="15" t="s">
        <v>3508</v>
      </c>
      <c r="BE267" s="15" t="s">
        <v>3461</v>
      </c>
      <c r="BI267" s="15" t="s">
        <v>3628</v>
      </c>
      <c r="BJ267" s="15" t="s">
        <v>3629</v>
      </c>
      <c r="BN267" s="15" t="s">
        <v>511</v>
      </c>
      <c r="BO267" s="15" t="s">
        <v>3630</v>
      </c>
      <c r="BP267" s="15" t="s">
        <v>346</v>
      </c>
      <c r="BR267" s="15" t="s">
        <v>3464</v>
      </c>
      <c r="BS267" s="15" t="s">
        <v>3703</v>
      </c>
      <c r="DH267" s="15" t="s">
        <v>4597</v>
      </c>
      <c r="DI267" s="15" t="s">
        <v>4597</v>
      </c>
    </row>
    <row r="268" spans="1:113" s="15" customFormat="1" ht="12.75" x14ac:dyDescent="0.2">
      <c r="A268" s="15" t="s">
        <v>109</v>
      </c>
      <c r="B268" s="16" t="s">
        <v>2287</v>
      </c>
      <c r="C268" s="15" t="s">
        <v>2288</v>
      </c>
      <c r="D268" s="15" t="s">
        <v>2997</v>
      </c>
      <c r="E268" s="15" t="s">
        <v>113</v>
      </c>
      <c r="F268" s="15" t="s">
        <v>2997</v>
      </c>
      <c r="G268" s="15" t="s">
        <v>114</v>
      </c>
      <c r="H268" s="15" t="s">
        <v>4536</v>
      </c>
      <c r="J268" s="18" t="s">
        <v>115</v>
      </c>
      <c r="W268" s="15">
        <v>314</v>
      </c>
      <c r="X268" s="15">
        <v>130</v>
      </c>
      <c r="Y268" s="15" t="s">
        <v>2458</v>
      </c>
      <c r="Z268" s="15" t="s">
        <v>2458</v>
      </c>
      <c r="AA268" s="34" t="s">
        <v>2476</v>
      </c>
      <c r="AB268" s="15" t="s">
        <v>3704</v>
      </c>
      <c r="AC268" s="15" t="s">
        <v>3704</v>
      </c>
      <c r="AD268" s="15" t="s">
        <v>3705</v>
      </c>
      <c r="AE268" s="15" t="s">
        <v>2311</v>
      </c>
      <c r="AF268" s="15" t="s">
        <v>3705</v>
      </c>
      <c r="AG268" s="15">
        <v>531519</v>
      </c>
      <c r="AH268" s="15" t="s">
        <v>3706</v>
      </c>
      <c r="AL268" s="15" t="s">
        <v>3707</v>
      </c>
      <c r="AN268" s="15">
        <v>3639</v>
      </c>
      <c r="AO268" s="15" t="s">
        <v>3708</v>
      </c>
      <c r="AQ268" s="28" t="s">
        <v>3396</v>
      </c>
      <c r="AT268" s="15" t="s">
        <v>3709</v>
      </c>
      <c r="AU268" s="15" t="s">
        <v>3710</v>
      </c>
      <c r="AV268" s="15" t="s">
        <v>3710</v>
      </c>
      <c r="AW268" s="15" t="s">
        <v>3711</v>
      </c>
      <c r="AX268" s="15" t="s">
        <v>3712</v>
      </c>
      <c r="AY268" s="39">
        <f t="shared" si="7"/>
        <v>56</v>
      </c>
      <c r="AZ268" s="15" t="s">
        <v>3400</v>
      </c>
      <c r="BA268" s="15" t="s">
        <v>926</v>
      </c>
      <c r="BB268" s="15" t="s">
        <v>3485</v>
      </c>
      <c r="BC268" s="15" t="s">
        <v>3542</v>
      </c>
      <c r="BE268" s="15" t="s">
        <v>3461</v>
      </c>
      <c r="BI268" s="15" t="s">
        <v>3628</v>
      </c>
      <c r="BJ268" s="15" t="s">
        <v>3641</v>
      </c>
      <c r="BN268" s="15" t="s">
        <v>511</v>
      </c>
      <c r="BO268" s="15" t="s">
        <v>3630</v>
      </c>
      <c r="BP268" s="15" t="s">
        <v>346</v>
      </c>
      <c r="BS268" s="15" t="s">
        <v>3713</v>
      </c>
      <c r="DH268" s="15" t="s">
        <v>4597</v>
      </c>
      <c r="DI268" s="15" t="s">
        <v>4597</v>
      </c>
    </row>
    <row r="269" spans="1:113" s="15" customFormat="1" ht="12.75" x14ac:dyDescent="0.2">
      <c r="A269" s="15" t="s">
        <v>109</v>
      </c>
      <c r="B269" s="16" t="s">
        <v>2287</v>
      </c>
      <c r="C269" s="15" t="s">
        <v>2288</v>
      </c>
      <c r="D269" s="15" t="s">
        <v>2997</v>
      </c>
      <c r="E269" s="15" t="s">
        <v>113</v>
      </c>
      <c r="F269" s="15" t="s">
        <v>2997</v>
      </c>
      <c r="G269" s="15" t="s">
        <v>114</v>
      </c>
      <c r="H269" s="15" t="s">
        <v>4536</v>
      </c>
      <c r="J269" s="18" t="s">
        <v>115</v>
      </c>
      <c r="W269" s="15">
        <v>315</v>
      </c>
      <c r="X269" s="15">
        <v>131</v>
      </c>
      <c r="Y269" s="15" t="s">
        <v>2458</v>
      </c>
      <c r="Z269" s="15" t="s">
        <v>2458</v>
      </c>
      <c r="AA269" s="34" t="s">
        <v>2476</v>
      </c>
      <c r="AB269" s="15" t="s">
        <v>3714</v>
      </c>
      <c r="AC269" s="15" t="s">
        <v>3714</v>
      </c>
      <c r="AD269" s="15" t="s">
        <v>3715</v>
      </c>
      <c r="AE269" s="15" t="s">
        <v>2311</v>
      </c>
      <c r="AF269" s="15" t="s">
        <v>3715</v>
      </c>
      <c r="AG269" s="15">
        <v>531520</v>
      </c>
      <c r="AH269" s="15" t="s">
        <v>3716</v>
      </c>
      <c r="AL269" s="15" t="s">
        <v>3717</v>
      </c>
      <c r="AN269" s="15">
        <v>3639</v>
      </c>
      <c r="AO269" s="15" t="s">
        <v>3718</v>
      </c>
      <c r="AQ269" s="28" t="s">
        <v>3396</v>
      </c>
      <c r="AT269" s="15" t="s">
        <v>3719</v>
      </c>
      <c r="AU269" s="15" t="s">
        <v>3720</v>
      </c>
      <c r="AV269" s="15" t="s">
        <v>3720</v>
      </c>
      <c r="AW269" s="15" t="s">
        <v>3721</v>
      </c>
      <c r="AX269" s="15" t="s">
        <v>3722</v>
      </c>
      <c r="AY269" s="39">
        <f t="shared" ref="AY269:AY275" si="8">LEN(SUBSTITUTE(AX269,", "," "))</f>
        <v>56</v>
      </c>
      <c r="AZ269" s="15" t="s">
        <v>3400</v>
      </c>
      <c r="BA269" s="15" t="s">
        <v>926</v>
      </c>
      <c r="BB269" s="15" t="s">
        <v>3485</v>
      </c>
      <c r="BC269" s="15" t="s">
        <v>3542</v>
      </c>
      <c r="BE269" s="15" t="s">
        <v>3461</v>
      </c>
      <c r="BI269" s="15" t="s">
        <v>3628</v>
      </c>
      <c r="BJ269" s="15" t="s">
        <v>3629</v>
      </c>
      <c r="BN269" s="15" t="s">
        <v>511</v>
      </c>
      <c r="BO269" s="15" t="s">
        <v>3630</v>
      </c>
      <c r="BP269" s="15" t="s">
        <v>346</v>
      </c>
      <c r="BS269" s="15" t="s">
        <v>3723</v>
      </c>
      <c r="DH269" s="15" t="s">
        <v>4597</v>
      </c>
      <c r="DI269" s="15" t="s">
        <v>4597</v>
      </c>
    </row>
    <row r="270" spans="1:113" s="15" customFormat="1" ht="12.75" x14ac:dyDescent="0.2">
      <c r="A270" s="15" t="s">
        <v>109</v>
      </c>
      <c r="B270" s="16" t="s">
        <v>2287</v>
      </c>
      <c r="C270" s="15" t="s">
        <v>2288</v>
      </c>
      <c r="D270" s="15" t="s">
        <v>2997</v>
      </c>
      <c r="E270" s="15" t="s">
        <v>113</v>
      </c>
      <c r="F270" s="15" t="s">
        <v>2997</v>
      </c>
      <c r="G270" s="15" t="s">
        <v>114</v>
      </c>
      <c r="H270" s="15" t="s">
        <v>4536</v>
      </c>
      <c r="J270" s="18" t="s">
        <v>115</v>
      </c>
      <c r="W270" s="15">
        <v>316</v>
      </c>
      <c r="X270" s="15">
        <v>132</v>
      </c>
      <c r="Y270" s="15" t="s">
        <v>2458</v>
      </c>
      <c r="Z270" s="15" t="s">
        <v>2458</v>
      </c>
      <c r="AA270" s="34" t="s">
        <v>2476</v>
      </c>
      <c r="AB270" s="15" t="s">
        <v>3724</v>
      </c>
      <c r="AC270" s="15" t="s">
        <v>3724</v>
      </c>
      <c r="AD270" s="15" t="s">
        <v>3725</v>
      </c>
      <c r="AE270" s="15" t="s">
        <v>2311</v>
      </c>
      <c r="AF270" s="15" t="s">
        <v>3725</v>
      </c>
      <c r="AG270" s="15">
        <v>531521</v>
      </c>
      <c r="AH270" s="15" t="s">
        <v>3726</v>
      </c>
      <c r="AL270" s="15" t="s">
        <v>3727</v>
      </c>
      <c r="AN270" s="15">
        <v>3639</v>
      </c>
      <c r="AO270" s="15" t="s">
        <v>3728</v>
      </c>
      <c r="AQ270" s="28" t="s">
        <v>3396</v>
      </c>
      <c r="AS270" s="40"/>
      <c r="AT270" s="15" t="s">
        <v>3729</v>
      </c>
      <c r="AU270" s="15" t="s">
        <v>3730</v>
      </c>
      <c r="AV270" s="15" t="s">
        <v>3730</v>
      </c>
      <c r="AW270" s="15" t="s">
        <v>3731</v>
      </c>
      <c r="AX270" s="15" t="s">
        <v>3732</v>
      </c>
      <c r="AY270" s="39">
        <f t="shared" si="8"/>
        <v>56</v>
      </c>
      <c r="AZ270" s="15" t="s">
        <v>3400</v>
      </c>
      <c r="BA270" s="15" t="s">
        <v>926</v>
      </c>
      <c r="BB270" s="15" t="s">
        <v>3485</v>
      </c>
      <c r="BC270" s="15" t="s">
        <v>3733</v>
      </c>
      <c r="BE270" s="15" t="s">
        <v>3461</v>
      </c>
      <c r="BI270" s="15" t="s">
        <v>3628</v>
      </c>
      <c r="BJ270" s="15" t="s">
        <v>3734</v>
      </c>
      <c r="BN270" s="15" t="s">
        <v>511</v>
      </c>
      <c r="BO270" s="15" t="s">
        <v>3630</v>
      </c>
      <c r="BP270" s="15" t="s">
        <v>346</v>
      </c>
      <c r="BR270" s="15" t="s">
        <v>3464</v>
      </c>
      <c r="BS270" s="15" t="s">
        <v>3735</v>
      </c>
      <c r="DH270" s="15" t="s">
        <v>4597</v>
      </c>
      <c r="DI270" s="15" t="s">
        <v>4597</v>
      </c>
    </row>
    <row r="271" spans="1:113" s="15" customFormat="1" ht="12.75" x14ac:dyDescent="0.2">
      <c r="A271" s="15" t="s">
        <v>109</v>
      </c>
      <c r="B271" s="16" t="s">
        <v>2287</v>
      </c>
      <c r="C271" s="15" t="s">
        <v>2288</v>
      </c>
      <c r="D271" s="15" t="s">
        <v>2997</v>
      </c>
      <c r="E271" s="15" t="s">
        <v>113</v>
      </c>
      <c r="F271" s="15" t="s">
        <v>2997</v>
      </c>
      <c r="G271" s="15" t="s">
        <v>114</v>
      </c>
      <c r="H271" s="15" t="s">
        <v>4536</v>
      </c>
      <c r="J271" s="18" t="s">
        <v>115</v>
      </c>
      <c r="W271" s="15">
        <v>317</v>
      </c>
      <c r="X271" s="15">
        <v>133</v>
      </c>
      <c r="Y271" s="15" t="s">
        <v>2458</v>
      </c>
      <c r="Z271" s="15" t="s">
        <v>2458</v>
      </c>
      <c r="AA271" s="34" t="s">
        <v>2476</v>
      </c>
      <c r="AB271" s="15" t="s">
        <v>3736</v>
      </c>
      <c r="AC271" s="15" t="s">
        <v>3736</v>
      </c>
      <c r="AD271" s="15" t="s">
        <v>3737</v>
      </c>
      <c r="AE271" s="15" t="s">
        <v>2311</v>
      </c>
      <c r="AF271" s="15" t="s">
        <v>3737</v>
      </c>
      <c r="AG271" s="15">
        <v>531528</v>
      </c>
      <c r="AH271" s="15" t="s">
        <v>3738</v>
      </c>
      <c r="AL271" s="15" t="s">
        <v>3739</v>
      </c>
      <c r="AN271" s="15">
        <v>3639</v>
      </c>
      <c r="AO271" s="15" t="s">
        <v>3740</v>
      </c>
      <c r="AQ271" s="28" t="s">
        <v>3396</v>
      </c>
      <c r="AT271" s="15" t="s">
        <v>3741</v>
      </c>
      <c r="AU271" s="15" t="s">
        <v>3742</v>
      </c>
      <c r="AV271" s="15" t="s">
        <v>3742</v>
      </c>
      <c r="AW271" s="15" t="s">
        <v>3743</v>
      </c>
      <c r="AX271" s="15" t="s">
        <v>3744</v>
      </c>
      <c r="AY271" s="39">
        <f t="shared" si="8"/>
        <v>56</v>
      </c>
      <c r="AZ271" s="15" t="s">
        <v>3400</v>
      </c>
      <c r="BA271" s="15" t="s">
        <v>926</v>
      </c>
      <c r="BB271" s="15" t="s">
        <v>3485</v>
      </c>
      <c r="BC271" s="15" t="s">
        <v>3508</v>
      </c>
      <c r="BE271" s="15" t="s">
        <v>2429</v>
      </c>
      <c r="BI271" s="15" t="s">
        <v>3628</v>
      </c>
      <c r="BJ271" s="15" t="s">
        <v>3641</v>
      </c>
      <c r="BN271" s="15" t="s">
        <v>511</v>
      </c>
      <c r="BO271" s="15" t="s">
        <v>3630</v>
      </c>
      <c r="BP271" s="15" t="s">
        <v>346</v>
      </c>
      <c r="BR271" s="15" t="s">
        <v>3745</v>
      </c>
      <c r="BS271" s="15" t="s">
        <v>3746</v>
      </c>
      <c r="DH271" s="15" t="s">
        <v>4597</v>
      </c>
      <c r="DI271" s="15" t="s">
        <v>4597</v>
      </c>
    </row>
    <row r="272" spans="1:113" s="15" customFormat="1" ht="12.75" x14ac:dyDescent="0.2">
      <c r="A272" s="15" t="s">
        <v>109</v>
      </c>
      <c r="B272" s="16" t="s">
        <v>2287</v>
      </c>
      <c r="C272" s="15" t="s">
        <v>2288</v>
      </c>
      <c r="D272" s="15" t="s">
        <v>2997</v>
      </c>
      <c r="E272" s="15" t="s">
        <v>113</v>
      </c>
      <c r="F272" s="15" t="s">
        <v>2997</v>
      </c>
      <c r="G272" s="15" t="s">
        <v>114</v>
      </c>
      <c r="H272" s="15" t="s">
        <v>4536</v>
      </c>
      <c r="J272" s="18" t="s">
        <v>115</v>
      </c>
      <c r="W272" s="15">
        <v>318</v>
      </c>
      <c r="X272" s="15">
        <v>134</v>
      </c>
      <c r="Y272" s="15" t="s">
        <v>2458</v>
      </c>
      <c r="Z272" s="15" t="s">
        <v>2458</v>
      </c>
      <c r="AA272" s="34" t="s">
        <v>2476</v>
      </c>
      <c r="AB272" s="15" t="s">
        <v>3747</v>
      </c>
      <c r="AC272" s="15" t="s">
        <v>3747</v>
      </c>
      <c r="AD272" s="15" t="s">
        <v>3748</v>
      </c>
      <c r="AE272" s="15" t="s">
        <v>2311</v>
      </c>
      <c r="AF272" s="15" t="s">
        <v>3748</v>
      </c>
      <c r="AG272" s="15">
        <v>531529</v>
      </c>
      <c r="AH272" s="15" t="s">
        <v>3749</v>
      </c>
      <c r="AL272" s="15" t="s">
        <v>3750</v>
      </c>
      <c r="AN272" s="15">
        <v>3639</v>
      </c>
      <c r="AO272" s="15" t="s">
        <v>3751</v>
      </c>
      <c r="AQ272" s="28" t="s">
        <v>3396</v>
      </c>
      <c r="AT272" s="15" t="s">
        <v>3752</v>
      </c>
      <c r="AU272" s="15" t="s">
        <v>3753</v>
      </c>
      <c r="AV272" s="15" t="s">
        <v>3753</v>
      </c>
      <c r="AW272" s="15" t="s">
        <v>3754</v>
      </c>
      <c r="AX272" s="15" t="s">
        <v>3755</v>
      </c>
      <c r="AY272" s="39">
        <f t="shared" si="8"/>
        <v>56</v>
      </c>
      <c r="AZ272" s="15" t="s">
        <v>3400</v>
      </c>
      <c r="BA272" s="15" t="s">
        <v>926</v>
      </c>
      <c r="BB272" s="15" t="s">
        <v>3485</v>
      </c>
      <c r="BC272" s="15" t="s">
        <v>3508</v>
      </c>
      <c r="BE272" s="15" t="s">
        <v>2429</v>
      </c>
      <c r="BI272" s="15" t="s">
        <v>3628</v>
      </c>
      <c r="BJ272" s="15" t="s">
        <v>3629</v>
      </c>
      <c r="BN272" s="15" t="s">
        <v>511</v>
      </c>
      <c r="BO272" s="15" t="s">
        <v>3630</v>
      </c>
      <c r="BP272" s="15" t="s">
        <v>346</v>
      </c>
      <c r="BS272" s="15" t="s">
        <v>3756</v>
      </c>
      <c r="DH272" s="15" t="s">
        <v>4597</v>
      </c>
      <c r="DI272" s="15" t="s">
        <v>4597</v>
      </c>
    </row>
    <row r="273" spans="1:113" s="15" customFormat="1" ht="12.75" x14ac:dyDescent="0.2">
      <c r="A273" s="15" t="s">
        <v>109</v>
      </c>
      <c r="B273" s="16" t="s">
        <v>2287</v>
      </c>
      <c r="C273" s="15" t="s">
        <v>2288</v>
      </c>
      <c r="D273" s="15" t="s">
        <v>2997</v>
      </c>
      <c r="E273" s="15" t="s">
        <v>113</v>
      </c>
      <c r="F273" s="15" t="s">
        <v>2997</v>
      </c>
      <c r="G273" s="15" t="s">
        <v>114</v>
      </c>
      <c r="H273" s="15" t="s">
        <v>4536</v>
      </c>
      <c r="J273" s="18" t="s">
        <v>115</v>
      </c>
      <c r="W273" s="15">
        <v>319</v>
      </c>
      <c r="X273" s="15">
        <v>135</v>
      </c>
      <c r="Y273" s="15" t="s">
        <v>2458</v>
      </c>
      <c r="Z273" s="15" t="s">
        <v>2458</v>
      </c>
      <c r="AA273" s="34" t="s">
        <v>2476</v>
      </c>
      <c r="AB273" s="15" t="s">
        <v>3757</v>
      </c>
      <c r="AC273" s="15" t="s">
        <v>3757</v>
      </c>
      <c r="AD273" s="15" t="s">
        <v>3758</v>
      </c>
      <c r="AE273" s="15" t="s">
        <v>2311</v>
      </c>
      <c r="AF273" s="15" t="s">
        <v>3758</v>
      </c>
      <c r="AG273" s="15">
        <v>531531</v>
      </c>
      <c r="AH273" s="15" t="s">
        <v>3759</v>
      </c>
      <c r="AL273" s="15" t="s">
        <v>3760</v>
      </c>
      <c r="AN273" s="15">
        <v>3639</v>
      </c>
      <c r="AO273" s="15" t="s">
        <v>3761</v>
      </c>
      <c r="AQ273" s="28" t="s">
        <v>3396</v>
      </c>
      <c r="AT273" s="15" t="s">
        <v>3762</v>
      </c>
      <c r="AU273" s="15" t="s">
        <v>3763</v>
      </c>
      <c r="AV273" s="15" t="s">
        <v>3763</v>
      </c>
      <c r="AW273" s="15" t="s">
        <v>3764</v>
      </c>
      <c r="AX273" s="15" t="s">
        <v>3765</v>
      </c>
      <c r="AY273" s="39">
        <f t="shared" si="8"/>
        <v>56</v>
      </c>
      <c r="AZ273" s="15" t="s">
        <v>3400</v>
      </c>
      <c r="BA273" s="15" t="s">
        <v>926</v>
      </c>
      <c r="BB273" s="15" t="s">
        <v>3485</v>
      </c>
      <c r="BC273" s="15" t="s">
        <v>3542</v>
      </c>
      <c r="BE273" s="15" t="s">
        <v>2429</v>
      </c>
      <c r="BI273" s="15" t="s">
        <v>3628</v>
      </c>
      <c r="BJ273" s="15" t="s">
        <v>3641</v>
      </c>
      <c r="BN273" s="15" t="s">
        <v>511</v>
      </c>
      <c r="BO273" s="15" t="s">
        <v>3630</v>
      </c>
      <c r="BP273" s="15" t="s">
        <v>346</v>
      </c>
      <c r="BS273" s="15" t="s">
        <v>3766</v>
      </c>
      <c r="DH273" s="15" t="s">
        <v>4597</v>
      </c>
      <c r="DI273" s="15" t="s">
        <v>4597</v>
      </c>
    </row>
    <row r="274" spans="1:113" s="15" customFormat="1" ht="12.75" x14ac:dyDescent="0.2">
      <c r="A274" s="15" t="s">
        <v>109</v>
      </c>
      <c r="B274" s="16" t="s">
        <v>2287</v>
      </c>
      <c r="C274" s="15" t="s">
        <v>2288</v>
      </c>
      <c r="D274" s="15" t="s">
        <v>2997</v>
      </c>
      <c r="E274" s="15" t="s">
        <v>113</v>
      </c>
      <c r="F274" s="15" t="s">
        <v>2997</v>
      </c>
      <c r="G274" s="15" t="s">
        <v>114</v>
      </c>
      <c r="H274" s="15" t="s">
        <v>4536</v>
      </c>
      <c r="J274" s="18" t="s">
        <v>115</v>
      </c>
      <c r="W274" s="15">
        <v>320</v>
      </c>
      <c r="X274" s="15">
        <v>136</v>
      </c>
      <c r="Y274" s="15" t="s">
        <v>2458</v>
      </c>
      <c r="Z274" s="15" t="s">
        <v>2458</v>
      </c>
      <c r="AA274" s="34" t="s">
        <v>2476</v>
      </c>
      <c r="AB274" s="15" t="s">
        <v>3767</v>
      </c>
      <c r="AC274" s="15" t="s">
        <v>3767</v>
      </c>
      <c r="AD274" s="15" t="s">
        <v>3768</v>
      </c>
      <c r="AE274" s="15" t="s">
        <v>2311</v>
      </c>
      <c r="AF274" s="15" t="s">
        <v>3768</v>
      </c>
      <c r="AG274" s="15">
        <v>531532</v>
      </c>
      <c r="AH274" s="15" t="s">
        <v>3769</v>
      </c>
      <c r="AL274" s="15" t="s">
        <v>3770</v>
      </c>
      <c r="AN274" s="15">
        <v>3639</v>
      </c>
      <c r="AO274" s="15" t="s">
        <v>3771</v>
      </c>
      <c r="AQ274" s="28" t="s">
        <v>3396</v>
      </c>
      <c r="AT274" s="15" t="s">
        <v>3772</v>
      </c>
      <c r="AU274" s="15" t="s">
        <v>3773</v>
      </c>
      <c r="AV274" s="15" t="s">
        <v>3773</v>
      </c>
      <c r="AW274" s="15" t="s">
        <v>3774</v>
      </c>
      <c r="AX274" s="15" t="s">
        <v>3775</v>
      </c>
      <c r="AY274" s="39">
        <f t="shared" si="8"/>
        <v>56</v>
      </c>
      <c r="AZ274" s="15" t="s">
        <v>3400</v>
      </c>
      <c r="BA274" s="15" t="s">
        <v>926</v>
      </c>
      <c r="BB274" s="15" t="s">
        <v>3485</v>
      </c>
      <c r="BC274" s="15" t="s">
        <v>3542</v>
      </c>
      <c r="BE274" s="15" t="s">
        <v>2429</v>
      </c>
      <c r="BI274" s="15" t="s">
        <v>3628</v>
      </c>
      <c r="BJ274" s="15" t="s">
        <v>3629</v>
      </c>
      <c r="BN274" s="15" t="s">
        <v>511</v>
      </c>
      <c r="BO274" s="15" t="s">
        <v>3630</v>
      </c>
      <c r="BP274" s="15" t="s">
        <v>346</v>
      </c>
      <c r="BS274" s="15" t="s">
        <v>3776</v>
      </c>
      <c r="DH274" s="15" t="s">
        <v>4597</v>
      </c>
      <c r="DI274" s="15" t="s">
        <v>4597</v>
      </c>
    </row>
    <row r="275" spans="1:113" s="15" customFormat="1" ht="12.75" x14ac:dyDescent="0.2">
      <c r="A275" s="15" t="s">
        <v>109</v>
      </c>
      <c r="B275" s="16" t="s">
        <v>2287</v>
      </c>
      <c r="C275" s="15" t="s">
        <v>2288</v>
      </c>
      <c r="D275" s="15" t="s">
        <v>2997</v>
      </c>
      <c r="E275" s="15" t="s">
        <v>113</v>
      </c>
      <c r="F275" s="15" t="s">
        <v>2997</v>
      </c>
      <c r="G275" s="15" t="s">
        <v>114</v>
      </c>
      <c r="H275" s="15" t="s">
        <v>4536</v>
      </c>
      <c r="J275" s="18" t="s">
        <v>115</v>
      </c>
      <c r="W275" s="15">
        <v>321</v>
      </c>
      <c r="X275" s="15">
        <v>137</v>
      </c>
      <c r="Y275" s="15" t="s">
        <v>2458</v>
      </c>
      <c r="Z275" s="15" t="s">
        <v>2458</v>
      </c>
      <c r="AA275" s="34" t="s">
        <v>2476</v>
      </c>
      <c r="AB275" s="15" t="s">
        <v>3777</v>
      </c>
      <c r="AC275" s="15" t="s">
        <v>3777</v>
      </c>
      <c r="AD275" s="15" t="s">
        <v>3778</v>
      </c>
      <c r="AE275" s="15" t="s">
        <v>2311</v>
      </c>
      <c r="AF275" s="15" t="s">
        <v>3778</v>
      </c>
      <c r="AG275" s="15">
        <v>531535</v>
      </c>
      <c r="AH275" s="15" t="s">
        <v>3779</v>
      </c>
      <c r="AL275" s="15" t="s">
        <v>3780</v>
      </c>
      <c r="AN275" s="15">
        <v>3639</v>
      </c>
      <c r="AO275" s="15" t="s">
        <v>3781</v>
      </c>
      <c r="AQ275" s="28" t="s">
        <v>3396</v>
      </c>
      <c r="AT275" s="15" t="s">
        <v>3782</v>
      </c>
      <c r="AU275" s="15" t="s">
        <v>3783</v>
      </c>
      <c r="AV275" s="15" t="s">
        <v>3783</v>
      </c>
      <c r="AW275" s="15" t="s">
        <v>3784</v>
      </c>
      <c r="AX275" s="15" t="s">
        <v>3785</v>
      </c>
      <c r="AY275" s="39">
        <f t="shared" si="8"/>
        <v>56</v>
      </c>
      <c r="AZ275" s="15" t="s">
        <v>3400</v>
      </c>
      <c r="BA275" s="15" t="s">
        <v>926</v>
      </c>
      <c r="BB275" s="15" t="s">
        <v>3485</v>
      </c>
      <c r="BC275" s="15" t="s">
        <v>3563</v>
      </c>
      <c r="BE275" s="15" t="s">
        <v>2429</v>
      </c>
      <c r="BI275" s="15" t="s">
        <v>3628</v>
      </c>
      <c r="BJ275" s="15" t="s">
        <v>3629</v>
      </c>
      <c r="BN275" s="15" t="s">
        <v>511</v>
      </c>
      <c r="BO275" s="15" t="s">
        <v>3630</v>
      </c>
      <c r="BP275" s="15" t="s">
        <v>346</v>
      </c>
      <c r="BS275" s="15" t="s">
        <v>3786</v>
      </c>
      <c r="DH275" s="15" t="s">
        <v>4597</v>
      </c>
      <c r="DI275" s="15" t="s">
        <v>4597</v>
      </c>
    </row>
    <row r="276" spans="1:113" s="15" customFormat="1" ht="12.75" x14ac:dyDescent="0.2">
      <c r="A276" s="15" t="s">
        <v>109</v>
      </c>
      <c r="B276" s="16" t="s">
        <v>2287</v>
      </c>
      <c r="C276" s="15" t="s">
        <v>2288</v>
      </c>
      <c r="D276" s="15" t="s">
        <v>2475</v>
      </c>
      <c r="E276" s="15" t="s">
        <v>113</v>
      </c>
      <c r="F276" s="15" t="s">
        <v>2475</v>
      </c>
      <c r="G276" s="15" t="s">
        <v>114</v>
      </c>
      <c r="H276" s="15" t="s">
        <v>4536</v>
      </c>
      <c r="J276" s="18" t="s">
        <v>115</v>
      </c>
      <c r="W276" s="15">
        <v>324</v>
      </c>
      <c r="X276" s="15">
        <v>140</v>
      </c>
      <c r="Y276" s="15" t="s">
        <v>2458</v>
      </c>
      <c r="Z276" s="15" t="s">
        <v>2458</v>
      </c>
      <c r="AA276" s="34" t="s">
        <v>2476</v>
      </c>
      <c r="AB276" s="15" t="s">
        <v>3809</v>
      </c>
      <c r="AC276" s="15" t="s">
        <v>3809</v>
      </c>
      <c r="AD276" s="15" t="s">
        <v>3810</v>
      </c>
      <c r="AE276" s="15" t="s">
        <v>2311</v>
      </c>
      <c r="AF276" s="15" t="s">
        <v>3810</v>
      </c>
      <c r="AG276" s="33" t="s">
        <v>3809</v>
      </c>
      <c r="AH276" s="15" t="s">
        <v>3811</v>
      </c>
      <c r="AL276" s="15" t="s">
        <v>3812</v>
      </c>
      <c r="AN276" s="15">
        <v>3639</v>
      </c>
      <c r="AO276" s="15" t="s">
        <v>3813</v>
      </c>
      <c r="AQ276" s="15" t="s">
        <v>3814</v>
      </c>
      <c r="AT276" s="15" t="s">
        <v>3815</v>
      </c>
      <c r="AU276" s="15" t="s">
        <v>3816</v>
      </c>
      <c r="AV276" s="15" t="s">
        <v>3816</v>
      </c>
      <c r="AW276" s="15" t="s">
        <v>3817</v>
      </c>
      <c r="AX276" s="15" t="s">
        <v>3818</v>
      </c>
      <c r="AY276" s="15">
        <f t="shared" ref="AY276:AY307" si="9">LEN(SUBSTITUTE(AX276, ", "," "))</f>
        <v>55</v>
      </c>
      <c r="AZ276" s="15" t="s">
        <v>2302</v>
      </c>
      <c r="BA276" s="15" t="s">
        <v>926</v>
      </c>
      <c r="BC276" s="15" t="s">
        <v>3819</v>
      </c>
      <c r="BE276" s="15" t="s">
        <v>3820</v>
      </c>
      <c r="BI276" s="15" t="s">
        <v>3821</v>
      </c>
      <c r="BJ276" s="15" t="s">
        <v>3822</v>
      </c>
      <c r="BR276" s="15" t="s">
        <v>3797</v>
      </c>
      <c r="BS276" s="15" t="s">
        <v>3823</v>
      </c>
      <c r="DH276" s="15" t="s">
        <v>4597</v>
      </c>
      <c r="DI276" s="15" t="s">
        <v>4597</v>
      </c>
    </row>
    <row r="277" spans="1:113" s="15" customFormat="1" ht="12.75" x14ac:dyDescent="0.2">
      <c r="A277" s="15" t="s">
        <v>109</v>
      </c>
      <c r="B277" s="16" t="s">
        <v>2287</v>
      </c>
      <c r="C277" s="15" t="s">
        <v>2288</v>
      </c>
      <c r="D277" s="15" t="s">
        <v>2475</v>
      </c>
      <c r="E277" s="15" t="s">
        <v>113</v>
      </c>
      <c r="F277" s="15" t="s">
        <v>2475</v>
      </c>
      <c r="G277" s="15" t="s">
        <v>114</v>
      </c>
      <c r="H277" s="15" t="s">
        <v>4536</v>
      </c>
      <c r="J277" s="18" t="s">
        <v>115</v>
      </c>
      <c r="W277" s="15">
        <v>325</v>
      </c>
      <c r="X277" s="15">
        <v>141</v>
      </c>
      <c r="Y277" s="15" t="s">
        <v>2458</v>
      </c>
      <c r="Z277" s="15" t="s">
        <v>2458</v>
      </c>
      <c r="AA277" s="34" t="s">
        <v>2476</v>
      </c>
      <c r="AB277" s="15" t="s">
        <v>3824</v>
      </c>
      <c r="AC277" s="15" t="s">
        <v>3824</v>
      </c>
      <c r="AD277" s="15" t="s">
        <v>3825</v>
      </c>
      <c r="AE277" s="15" t="s">
        <v>2311</v>
      </c>
      <c r="AF277" s="15" t="s">
        <v>3825</v>
      </c>
      <c r="AG277" s="33" t="s">
        <v>3824</v>
      </c>
      <c r="AH277" s="15" t="s">
        <v>3826</v>
      </c>
      <c r="AL277" s="15" t="s">
        <v>3827</v>
      </c>
      <c r="AN277" s="15">
        <v>3639</v>
      </c>
      <c r="AO277" s="15" t="s">
        <v>3828</v>
      </c>
      <c r="AQ277" s="15" t="s">
        <v>3814</v>
      </c>
      <c r="AT277" s="15" t="s">
        <v>3829</v>
      </c>
      <c r="AU277" s="15" t="s">
        <v>3830</v>
      </c>
      <c r="AV277" s="15" t="s">
        <v>3830</v>
      </c>
      <c r="AW277" s="15" t="s">
        <v>3831</v>
      </c>
      <c r="AX277" s="15" t="s">
        <v>3832</v>
      </c>
      <c r="AY277" s="15">
        <f t="shared" si="9"/>
        <v>58</v>
      </c>
      <c r="AZ277" s="15" t="s">
        <v>2302</v>
      </c>
      <c r="BA277" s="15" t="s">
        <v>926</v>
      </c>
      <c r="BC277" s="15" t="s">
        <v>3819</v>
      </c>
      <c r="BE277" s="15" t="s">
        <v>3820</v>
      </c>
      <c r="BI277" s="15" t="s">
        <v>3821</v>
      </c>
      <c r="BJ277" s="15" t="s">
        <v>3833</v>
      </c>
      <c r="BR277" s="15" t="s">
        <v>3797</v>
      </c>
      <c r="BS277" s="15" t="s">
        <v>3834</v>
      </c>
      <c r="DH277" s="15" t="s">
        <v>4597</v>
      </c>
      <c r="DI277" s="15" t="s">
        <v>4597</v>
      </c>
    </row>
    <row r="278" spans="1:113" s="15" customFormat="1" ht="12.75" x14ac:dyDescent="0.2">
      <c r="A278" s="15" t="s">
        <v>109</v>
      </c>
      <c r="B278" s="16" t="s">
        <v>2287</v>
      </c>
      <c r="C278" s="15" t="s">
        <v>2288</v>
      </c>
      <c r="D278" s="15" t="s">
        <v>2475</v>
      </c>
      <c r="E278" s="15" t="s">
        <v>113</v>
      </c>
      <c r="F278" s="15" t="s">
        <v>2475</v>
      </c>
      <c r="G278" s="15" t="s">
        <v>114</v>
      </c>
      <c r="H278" s="15" t="s">
        <v>4536</v>
      </c>
      <c r="J278" s="18" t="s">
        <v>115</v>
      </c>
      <c r="W278" s="15">
        <v>326</v>
      </c>
      <c r="X278" s="15">
        <v>142</v>
      </c>
      <c r="Y278" s="15" t="s">
        <v>2458</v>
      </c>
      <c r="Z278" s="15" t="s">
        <v>2458</v>
      </c>
      <c r="AA278" s="34" t="s">
        <v>2476</v>
      </c>
      <c r="AB278" s="15" t="s">
        <v>3835</v>
      </c>
      <c r="AC278" s="15" t="s">
        <v>3835</v>
      </c>
      <c r="AD278" s="15" t="s">
        <v>3836</v>
      </c>
      <c r="AE278" s="15" t="s">
        <v>2311</v>
      </c>
      <c r="AF278" s="15" t="s">
        <v>3836</v>
      </c>
      <c r="AG278" s="33" t="s">
        <v>3835</v>
      </c>
      <c r="AH278" s="15" t="s">
        <v>3837</v>
      </c>
      <c r="AL278" s="15" t="s">
        <v>3838</v>
      </c>
      <c r="AN278" s="15">
        <v>3639</v>
      </c>
      <c r="AO278" s="15" t="s">
        <v>3839</v>
      </c>
      <c r="AQ278" s="15" t="s">
        <v>3814</v>
      </c>
      <c r="AS278" s="40"/>
      <c r="AT278" s="15" t="s">
        <v>3840</v>
      </c>
      <c r="AU278" s="15" t="s">
        <v>3841</v>
      </c>
      <c r="AV278" s="15" t="s">
        <v>3841</v>
      </c>
      <c r="AW278" s="15" t="s">
        <v>3842</v>
      </c>
      <c r="AX278" s="15" t="s">
        <v>3843</v>
      </c>
      <c r="AY278" s="15">
        <f t="shared" si="9"/>
        <v>58</v>
      </c>
      <c r="AZ278" s="15" t="s">
        <v>2302</v>
      </c>
      <c r="BA278" s="15" t="s">
        <v>926</v>
      </c>
      <c r="BC278" s="15" t="s">
        <v>3819</v>
      </c>
      <c r="BE278" s="15" t="s">
        <v>3820</v>
      </c>
      <c r="BI278" s="15" t="s">
        <v>3821</v>
      </c>
      <c r="BJ278" s="15" t="s">
        <v>3844</v>
      </c>
      <c r="BR278" s="15" t="s">
        <v>3797</v>
      </c>
      <c r="BS278" s="15" t="s">
        <v>3845</v>
      </c>
      <c r="DH278" s="15" t="s">
        <v>4597</v>
      </c>
      <c r="DI278" s="15" t="s">
        <v>4597</v>
      </c>
    </row>
    <row r="279" spans="1:113" s="15" customFormat="1" ht="12.75" x14ac:dyDescent="0.2">
      <c r="A279" s="15" t="s">
        <v>109</v>
      </c>
      <c r="B279" s="16" t="s">
        <v>2287</v>
      </c>
      <c r="C279" s="15" t="s">
        <v>2288</v>
      </c>
      <c r="D279" s="15" t="s">
        <v>2475</v>
      </c>
      <c r="E279" s="15" t="s">
        <v>113</v>
      </c>
      <c r="F279" s="15" t="s">
        <v>2475</v>
      </c>
      <c r="G279" s="15" t="s">
        <v>114</v>
      </c>
      <c r="H279" s="15" t="s">
        <v>4536</v>
      </c>
      <c r="J279" s="18" t="s">
        <v>115</v>
      </c>
      <c r="W279" s="15">
        <v>327</v>
      </c>
      <c r="X279" s="15">
        <v>143</v>
      </c>
      <c r="Y279" s="15" t="s">
        <v>2458</v>
      </c>
      <c r="Z279" s="15" t="s">
        <v>2458</v>
      </c>
      <c r="AA279" s="34" t="s">
        <v>2476</v>
      </c>
      <c r="AB279" s="15" t="s">
        <v>3846</v>
      </c>
      <c r="AC279" s="15" t="s">
        <v>3846</v>
      </c>
      <c r="AD279" s="15" t="s">
        <v>3847</v>
      </c>
      <c r="AE279" s="15" t="s">
        <v>2311</v>
      </c>
      <c r="AF279" s="15" t="s">
        <v>3847</v>
      </c>
      <c r="AG279" s="33" t="s">
        <v>3846</v>
      </c>
      <c r="AH279" s="15" t="s">
        <v>3848</v>
      </c>
      <c r="AL279" s="15" t="s">
        <v>3849</v>
      </c>
      <c r="AN279" s="15">
        <v>3639</v>
      </c>
      <c r="AO279" s="15" t="s">
        <v>3850</v>
      </c>
      <c r="AQ279" s="15" t="s">
        <v>2437</v>
      </c>
      <c r="AS279" s="40"/>
      <c r="AT279" s="15" t="s">
        <v>3851</v>
      </c>
      <c r="AU279" s="15" t="s">
        <v>3852</v>
      </c>
      <c r="AV279" s="15" t="s">
        <v>3852</v>
      </c>
      <c r="AW279" s="15" t="s">
        <v>3853</v>
      </c>
      <c r="AX279" s="15" t="s">
        <v>3854</v>
      </c>
      <c r="AY279" s="15">
        <f t="shared" si="9"/>
        <v>60</v>
      </c>
      <c r="AZ279" s="15" t="s">
        <v>3855</v>
      </c>
      <c r="BA279" s="15" t="s">
        <v>926</v>
      </c>
      <c r="BB279" s="15" t="s">
        <v>3856</v>
      </c>
      <c r="BC279" s="15" t="s">
        <v>3857</v>
      </c>
      <c r="BE279" s="15" t="s">
        <v>3858</v>
      </c>
      <c r="BF279" s="15" t="s">
        <v>3859</v>
      </c>
      <c r="BJ279" s="15" t="s">
        <v>3860</v>
      </c>
      <c r="BN279" s="15" t="s">
        <v>511</v>
      </c>
      <c r="BP279" s="15" t="s">
        <v>346</v>
      </c>
      <c r="BR279" s="15" t="s">
        <v>3861</v>
      </c>
      <c r="BS279" s="15" t="s">
        <v>3862</v>
      </c>
      <c r="DH279" s="15" t="s">
        <v>4597</v>
      </c>
      <c r="DI279" s="15" t="s">
        <v>4597</v>
      </c>
    </row>
    <row r="280" spans="1:113" s="15" customFormat="1" ht="12.75" x14ac:dyDescent="0.2">
      <c r="A280" s="15" t="s">
        <v>109</v>
      </c>
      <c r="B280" s="16" t="s">
        <v>2287</v>
      </c>
      <c r="C280" s="15" t="s">
        <v>2288</v>
      </c>
      <c r="D280" s="15" t="s">
        <v>2475</v>
      </c>
      <c r="E280" s="15" t="s">
        <v>113</v>
      </c>
      <c r="F280" s="15" t="s">
        <v>2475</v>
      </c>
      <c r="G280" s="15" t="s">
        <v>114</v>
      </c>
      <c r="H280" s="15" t="s">
        <v>4536</v>
      </c>
      <c r="J280" s="18" t="s">
        <v>115</v>
      </c>
      <c r="W280" s="15">
        <v>328</v>
      </c>
      <c r="X280" s="15">
        <v>144</v>
      </c>
      <c r="Y280" s="15" t="s">
        <v>2458</v>
      </c>
      <c r="Z280" s="15" t="s">
        <v>2458</v>
      </c>
      <c r="AA280" s="34" t="s">
        <v>2476</v>
      </c>
      <c r="AB280" s="15" t="s">
        <v>3863</v>
      </c>
      <c r="AC280" s="15" t="s">
        <v>3863</v>
      </c>
      <c r="AD280" s="15" t="s">
        <v>3864</v>
      </c>
      <c r="AE280" s="15" t="s">
        <v>2311</v>
      </c>
      <c r="AF280" s="15" t="s">
        <v>3864</v>
      </c>
      <c r="AG280" s="33" t="s">
        <v>3863</v>
      </c>
      <c r="AH280" s="15" t="s">
        <v>3865</v>
      </c>
      <c r="AL280" s="15" t="s">
        <v>3866</v>
      </c>
      <c r="AN280" s="15">
        <v>3639</v>
      </c>
      <c r="AO280" s="15" t="s">
        <v>3867</v>
      </c>
      <c r="AQ280" s="15" t="s">
        <v>2437</v>
      </c>
      <c r="AS280" s="40"/>
      <c r="AT280" s="15" t="s">
        <v>3868</v>
      </c>
      <c r="AU280" s="15" t="s">
        <v>3869</v>
      </c>
      <c r="AV280" s="15" t="s">
        <v>3869</v>
      </c>
      <c r="AW280" s="15" t="s">
        <v>3870</v>
      </c>
      <c r="AX280" s="15" t="s">
        <v>3871</v>
      </c>
      <c r="AY280" s="15">
        <f t="shared" si="9"/>
        <v>60</v>
      </c>
      <c r="AZ280" s="15" t="s">
        <v>3855</v>
      </c>
      <c r="BA280" s="15" t="s">
        <v>926</v>
      </c>
      <c r="BB280" s="15" t="s">
        <v>3856</v>
      </c>
      <c r="BC280" s="15" t="s">
        <v>3872</v>
      </c>
      <c r="BE280" s="15" t="s">
        <v>3858</v>
      </c>
      <c r="BF280" s="15" t="s">
        <v>3859</v>
      </c>
      <c r="BJ280" s="15" t="s">
        <v>3860</v>
      </c>
      <c r="BN280" s="15" t="s">
        <v>511</v>
      </c>
      <c r="BP280" s="15" t="s">
        <v>346</v>
      </c>
      <c r="BR280" s="15" t="s">
        <v>3861</v>
      </c>
      <c r="BS280" s="15" t="s">
        <v>3873</v>
      </c>
      <c r="BT280" s="16"/>
      <c r="DH280" s="15" t="s">
        <v>4597</v>
      </c>
      <c r="DI280" s="15" t="s">
        <v>4597</v>
      </c>
    </row>
    <row r="281" spans="1:113" s="15" customFormat="1" ht="12.75" x14ac:dyDescent="0.2">
      <c r="A281" s="15" t="s">
        <v>109</v>
      </c>
      <c r="B281" s="16" t="s">
        <v>2287</v>
      </c>
      <c r="C281" s="15" t="s">
        <v>2288</v>
      </c>
      <c r="D281" s="15" t="s">
        <v>2475</v>
      </c>
      <c r="E281" s="15" t="s">
        <v>113</v>
      </c>
      <c r="F281" s="15" t="s">
        <v>2475</v>
      </c>
      <c r="G281" s="15" t="s">
        <v>114</v>
      </c>
      <c r="H281" s="15" t="s">
        <v>4536</v>
      </c>
      <c r="J281" s="18" t="s">
        <v>115</v>
      </c>
      <c r="W281" s="15">
        <v>330</v>
      </c>
      <c r="X281" s="15">
        <v>146</v>
      </c>
      <c r="Y281" s="15" t="s">
        <v>2458</v>
      </c>
      <c r="Z281" s="15" t="s">
        <v>2458</v>
      </c>
      <c r="AA281" s="34" t="s">
        <v>2476</v>
      </c>
      <c r="AB281" s="15" t="s">
        <v>3887</v>
      </c>
      <c r="AC281" s="15" t="s">
        <v>3887</v>
      </c>
      <c r="AD281" s="15" t="s">
        <v>3888</v>
      </c>
      <c r="AE281" s="15" t="s">
        <v>2311</v>
      </c>
      <c r="AF281" s="15" t="s">
        <v>3888</v>
      </c>
      <c r="AG281" s="33" t="s">
        <v>3887</v>
      </c>
      <c r="AH281" s="15" t="s">
        <v>3889</v>
      </c>
      <c r="AL281" s="15" t="s">
        <v>3890</v>
      </c>
      <c r="AN281" s="15">
        <v>3639</v>
      </c>
      <c r="AO281" s="15" t="s">
        <v>3891</v>
      </c>
      <c r="AQ281" s="15" t="s">
        <v>3396</v>
      </c>
      <c r="AS281" s="40"/>
      <c r="AT281" s="15" t="s">
        <v>3892</v>
      </c>
      <c r="AU281" s="15" t="s">
        <v>3893</v>
      </c>
      <c r="AV281" s="15" t="s">
        <v>3893</v>
      </c>
      <c r="AW281" s="15" t="s">
        <v>3894</v>
      </c>
      <c r="AX281" s="15" t="s">
        <v>3895</v>
      </c>
      <c r="AY281" s="15">
        <f t="shared" si="9"/>
        <v>54</v>
      </c>
      <c r="AZ281" s="15" t="s">
        <v>3400</v>
      </c>
      <c r="BA281" s="15" t="s">
        <v>926</v>
      </c>
      <c r="BB281" s="16" t="s">
        <v>3485</v>
      </c>
      <c r="BC281" s="15" t="s">
        <v>3896</v>
      </c>
      <c r="BE281" s="15" t="s">
        <v>2453</v>
      </c>
      <c r="BJ281" s="16" t="s">
        <v>3897</v>
      </c>
      <c r="BN281" s="15" t="s">
        <v>511</v>
      </c>
      <c r="BP281" s="15" t="s">
        <v>346</v>
      </c>
      <c r="BR281" s="15" t="s">
        <v>3797</v>
      </c>
      <c r="BS281" s="15" t="s">
        <v>3898</v>
      </c>
      <c r="DH281" s="15" t="s">
        <v>4597</v>
      </c>
      <c r="DI281" s="15" t="s">
        <v>4597</v>
      </c>
    </row>
    <row r="282" spans="1:113" s="15" customFormat="1" ht="12.75" x14ac:dyDescent="0.2">
      <c r="A282" s="15" t="s">
        <v>109</v>
      </c>
      <c r="B282" s="16" t="s">
        <v>2287</v>
      </c>
      <c r="C282" s="15" t="s">
        <v>2288</v>
      </c>
      <c r="D282" s="15" t="s">
        <v>2475</v>
      </c>
      <c r="E282" s="15" t="s">
        <v>113</v>
      </c>
      <c r="F282" s="15" t="s">
        <v>2475</v>
      </c>
      <c r="G282" s="15" t="s">
        <v>114</v>
      </c>
      <c r="H282" s="15" t="s">
        <v>4536</v>
      </c>
      <c r="J282" s="18" t="s">
        <v>115</v>
      </c>
      <c r="W282" s="15">
        <v>331</v>
      </c>
      <c r="X282" s="15">
        <v>147</v>
      </c>
      <c r="Y282" s="15" t="s">
        <v>2458</v>
      </c>
      <c r="Z282" s="15" t="s">
        <v>2458</v>
      </c>
      <c r="AA282" s="34" t="s">
        <v>2476</v>
      </c>
      <c r="AB282" s="15" t="s">
        <v>3899</v>
      </c>
      <c r="AC282" s="15" t="s">
        <v>3899</v>
      </c>
      <c r="AD282" s="15" t="s">
        <v>3900</v>
      </c>
      <c r="AE282" s="15" t="s">
        <v>2311</v>
      </c>
      <c r="AF282" s="15" t="s">
        <v>3900</v>
      </c>
      <c r="AG282" s="33" t="s">
        <v>3899</v>
      </c>
      <c r="AH282" s="15" t="s">
        <v>3901</v>
      </c>
      <c r="AL282" s="15" t="s">
        <v>3902</v>
      </c>
      <c r="AN282" s="15">
        <v>3639</v>
      </c>
      <c r="AO282" s="15" t="s">
        <v>3903</v>
      </c>
      <c r="AQ282" s="15" t="s">
        <v>3396</v>
      </c>
      <c r="AS282" s="40"/>
      <c r="AT282" s="15" t="s">
        <v>3904</v>
      </c>
      <c r="AU282" s="15" t="s">
        <v>3905</v>
      </c>
      <c r="AV282" s="15" t="s">
        <v>3905</v>
      </c>
      <c r="AW282" s="15" t="s">
        <v>3906</v>
      </c>
      <c r="AX282" s="15" t="s">
        <v>3907</v>
      </c>
      <c r="AY282" s="15">
        <f t="shared" si="9"/>
        <v>60</v>
      </c>
      <c r="AZ282" s="15" t="s">
        <v>3400</v>
      </c>
      <c r="BA282" s="15" t="s">
        <v>926</v>
      </c>
      <c r="BB282" s="16" t="s">
        <v>3485</v>
      </c>
      <c r="BC282" s="15" t="s">
        <v>3896</v>
      </c>
      <c r="BE282" s="15" t="s">
        <v>2453</v>
      </c>
      <c r="BJ282" s="16" t="s">
        <v>3908</v>
      </c>
      <c r="BN282" s="15" t="s">
        <v>511</v>
      </c>
      <c r="BP282" s="15" t="s">
        <v>346</v>
      </c>
      <c r="BR282" s="15" t="s">
        <v>3797</v>
      </c>
      <c r="BS282" s="15" t="s">
        <v>3909</v>
      </c>
      <c r="DH282" s="15" t="s">
        <v>4597</v>
      </c>
      <c r="DI282" s="15" t="s">
        <v>4597</v>
      </c>
    </row>
    <row r="283" spans="1:113" s="15" customFormat="1" ht="12.75" x14ac:dyDescent="0.2">
      <c r="A283" s="15" t="s">
        <v>109</v>
      </c>
      <c r="B283" s="16" t="s">
        <v>2287</v>
      </c>
      <c r="C283" s="15" t="s">
        <v>2288</v>
      </c>
      <c r="D283" s="15" t="s">
        <v>2475</v>
      </c>
      <c r="E283" s="15" t="s">
        <v>113</v>
      </c>
      <c r="F283" s="15" t="s">
        <v>2475</v>
      </c>
      <c r="G283" s="15" t="s">
        <v>114</v>
      </c>
      <c r="H283" s="15" t="s">
        <v>4536</v>
      </c>
      <c r="J283" s="18" t="s">
        <v>115</v>
      </c>
      <c r="W283" s="15">
        <v>332</v>
      </c>
      <c r="X283" s="15">
        <v>148</v>
      </c>
      <c r="Y283" s="15" t="s">
        <v>2458</v>
      </c>
      <c r="Z283" s="15" t="s">
        <v>2458</v>
      </c>
      <c r="AA283" s="34" t="s">
        <v>2476</v>
      </c>
      <c r="AB283" s="15" t="s">
        <v>3910</v>
      </c>
      <c r="AC283" s="15" t="s">
        <v>3910</v>
      </c>
      <c r="AD283" s="15" t="s">
        <v>3911</v>
      </c>
      <c r="AE283" s="15" t="s">
        <v>2311</v>
      </c>
      <c r="AF283" s="15" t="s">
        <v>3911</v>
      </c>
      <c r="AG283" s="33" t="s">
        <v>3910</v>
      </c>
      <c r="AH283" s="15" t="s">
        <v>3912</v>
      </c>
      <c r="AL283" s="15" t="s">
        <v>3913</v>
      </c>
      <c r="AN283" s="15">
        <v>3639</v>
      </c>
      <c r="AO283" s="15" t="s">
        <v>3914</v>
      </c>
      <c r="AQ283" s="15" t="s">
        <v>3396</v>
      </c>
      <c r="AS283" s="40"/>
      <c r="AT283" s="15" t="s">
        <v>3915</v>
      </c>
      <c r="AU283" s="15" t="s">
        <v>3916</v>
      </c>
      <c r="AV283" s="15" t="s">
        <v>3916</v>
      </c>
      <c r="AW283" s="15" t="s">
        <v>3917</v>
      </c>
      <c r="AX283" s="15" t="s">
        <v>3918</v>
      </c>
      <c r="AY283" s="15">
        <f t="shared" si="9"/>
        <v>60</v>
      </c>
      <c r="AZ283" s="15" t="s">
        <v>3400</v>
      </c>
      <c r="BA283" s="15" t="s">
        <v>926</v>
      </c>
      <c r="BB283" s="16" t="s">
        <v>3485</v>
      </c>
      <c r="BC283" s="15" t="s">
        <v>3896</v>
      </c>
      <c r="BE283" s="15" t="s">
        <v>2453</v>
      </c>
      <c r="BJ283" s="16" t="s">
        <v>3919</v>
      </c>
      <c r="BN283" s="15" t="s">
        <v>511</v>
      </c>
      <c r="BP283" s="15" t="s">
        <v>346</v>
      </c>
      <c r="BR283" s="15" t="s">
        <v>3797</v>
      </c>
      <c r="BS283" s="15" t="s">
        <v>3920</v>
      </c>
      <c r="DH283" s="15" t="s">
        <v>4597</v>
      </c>
      <c r="DI283" s="15" t="s">
        <v>4597</v>
      </c>
    </row>
    <row r="284" spans="1:113" s="15" customFormat="1" ht="12.75" x14ac:dyDescent="0.2">
      <c r="A284" s="15" t="s">
        <v>109</v>
      </c>
      <c r="B284" s="16" t="s">
        <v>2287</v>
      </c>
      <c r="C284" s="15" t="s">
        <v>2288</v>
      </c>
      <c r="D284" s="15" t="s">
        <v>2475</v>
      </c>
      <c r="E284" s="15" t="s">
        <v>113</v>
      </c>
      <c r="F284" s="15" t="s">
        <v>2475</v>
      </c>
      <c r="G284" s="15" t="s">
        <v>114</v>
      </c>
      <c r="H284" s="15" t="s">
        <v>4536</v>
      </c>
      <c r="J284" s="18" t="s">
        <v>115</v>
      </c>
      <c r="W284" s="15">
        <v>333</v>
      </c>
      <c r="X284" s="15">
        <v>149</v>
      </c>
      <c r="Y284" s="15" t="s">
        <v>2458</v>
      </c>
      <c r="Z284" s="15" t="s">
        <v>2458</v>
      </c>
      <c r="AA284" s="34" t="s">
        <v>2476</v>
      </c>
      <c r="AB284" s="15" t="s">
        <v>3921</v>
      </c>
      <c r="AC284" s="15" t="s">
        <v>3921</v>
      </c>
      <c r="AD284" s="15" t="s">
        <v>3922</v>
      </c>
      <c r="AE284" s="15" t="s">
        <v>2311</v>
      </c>
      <c r="AF284" s="15" t="s">
        <v>3922</v>
      </c>
      <c r="AG284" s="33" t="s">
        <v>3921</v>
      </c>
      <c r="AH284" s="15" t="s">
        <v>3923</v>
      </c>
      <c r="AL284" s="15" t="s">
        <v>3924</v>
      </c>
      <c r="AN284" s="15">
        <v>3639</v>
      </c>
      <c r="AO284" s="15" t="s">
        <v>3925</v>
      </c>
      <c r="AQ284" s="15" t="s">
        <v>2901</v>
      </c>
      <c r="AT284" s="16" t="s">
        <v>3926</v>
      </c>
      <c r="AU284" s="15" t="s">
        <v>3927</v>
      </c>
      <c r="AV284" s="15" t="s">
        <v>3927</v>
      </c>
      <c r="AW284" s="15" t="s">
        <v>3928</v>
      </c>
      <c r="AX284" s="15" t="s">
        <v>3929</v>
      </c>
      <c r="AY284" s="15">
        <f t="shared" si="9"/>
        <v>59</v>
      </c>
      <c r="AZ284" s="15" t="s">
        <v>2904</v>
      </c>
      <c r="BA284" s="15" t="s">
        <v>2427</v>
      </c>
      <c r="BB284" s="15" t="s">
        <v>3930</v>
      </c>
      <c r="BE284" s="15" t="s">
        <v>3931</v>
      </c>
      <c r="BI284" s="15" t="s">
        <v>3932</v>
      </c>
      <c r="BJ284" s="15" t="s">
        <v>3933</v>
      </c>
      <c r="BN284" s="15" t="s">
        <v>511</v>
      </c>
      <c r="BO284" s="16" t="s">
        <v>3934</v>
      </c>
      <c r="BP284" s="15" t="s">
        <v>346</v>
      </c>
      <c r="BS284" s="15" t="s">
        <v>3935</v>
      </c>
      <c r="DH284" s="15" t="s">
        <v>4597</v>
      </c>
      <c r="DI284" s="15" t="s">
        <v>4597</v>
      </c>
    </row>
    <row r="285" spans="1:113" s="15" customFormat="1" ht="12.75" x14ac:dyDescent="0.2">
      <c r="A285" s="15" t="s">
        <v>109</v>
      </c>
      <c r="B285" s="16" t="s">
        <v>2287</v>
      </c>
      <c r="C285" s="15" t="s">
        <v>2288</v>
      </c>
      <c r="D285" s="15" t="s">
        <v>2475</v>
      </c>
      <c r="E285" s="15" t="s">
        <v>113</v>
      </c>
      <c r="F285" s="15" t="s">
        <v>2475</v>
      </c>
      <c r="G285" s="15" t="s">
        <v>114</v>
      </c>
      <c r="H285" s="15" t="s">
        <v>4536</v>
      </c>
      <c r="J285" s="18" t="s">
        <v>115</v>
      </c>
      <c r="W285" s="15">
        <v>334</v>
      </c>
      <c r="X285" s="15">
        <v>150</v>
      </c>
      <c r="Y285" s="15" t="s">
        <v>2458</v>
      </c>
      <c r="Z285" s="15" t="s">
        <v>2458</v>
      </c>
      <c r="AA285" s="34" t="s">
        <v>2476</v>
      </c>
      <c r="AB285" s="15" t="s">
        <v>3936</v>
      </c>
      <c r="AC285" s="15" t="s">
        <v>3936</v>
      </c>
      <c r="AD285" s="15" t="s">
        <v>3937</v>
      </c>
      <c r="AE285" s="15" t="s">
        <v>2311</v>
      </c>
      <c r="AF285" s="15" t="s">
        <v>3937</v>
      </c>
      <c r="AG285" s="33" t="s">
        <v>3936</v>
      </c>
      <c r="AH285" s="15" t="s">
        <v>3938</v>
      </c>
      <c r="AL285" s="15" t="s">
        <v>3939</v>
      </c>
      <c r="AN285" s="15">
        <v>3639</v>
      </c>
      <c r="AO285" s="15" t="s">
        <v>3940</v>
      </c>
      <c r="AQ285" s="15" t="s">
        <v>2901</v>
      </c>
      <c r="AT285" s="16" t="s">
        <v>3941</v>
      </c>
      <c r="AU285" s="15" t="s">
        <v>3942</v>
      </c>
      <c r="AV285" s="15" t="s">
        <v>3942</v>
      </c>
      <c r="AW285" s="15" t="s">
        <v>3943</v>
      </c>
      <c r="AX285" s="15" t="s">
        <v>3944</v>
      </c>
      <c r="AY285" s="15">
        <f t="shared" si="9"/>
        <v>59</v>
      </c>
      <c r="AZ285" s="15" t="s">
        <v>2904</v>
      </c>
      <c r="BA285" s="15" t="s">
        <v>2427</v>
      </c>
      <c r="BB285" s="15" t="s">
        <v>3930</v>
      </c>
      <c r="BE285" s="15" t="s">
        <v>3945</v>
      </c>
      <c r="BI285" s="15" t="s">
        <v>3932</v>
      </c>
      <c r="BJ285" s="15" t="s">
        <v>3933</v>
      </c>
      <c r="BN285" s="15" t="s">
        <v>511</v>
      </c>
      <c r="BO285" s="16" t="s">
        <v>3934</v>
      </c>
      <c r="BP285" s="15" t="s">
        <v>346</v>
      </c>
      <c r="BS285" s="15" t="s">
        <v>3946</v>
      </c>
      <c r="DH285" s="15" t="s">
        <v>4597</v>
      </c>
      <c r="DI285" s="15" t="s">
        <v>4597</v>
      </c>
    </row>
    <row r="286" spans="1:113" s="15" customFormat="1" ht="12.75" x14ac:dyDescent="0.2">
      <c r="A286" s="15" t="s">
        <v>109</v>
      </c>
      <c r="B286" s="16" t="s">
        <v>2287</v>
      </c>
      <c r="C286" s="15" t="s">
        <v>2288</v>
      </c>
      <c r="D286" s="15" t="s">
        <v>2475</v>
      </c>
      <c r="E286" s="15" t="s">
        <v>113</v>
      </c>
      <c r="F286" s="15" t="s">
        <v>2475</v>
      </c>
      <c r="G286" s="15" t="s">
        <v>114</v>
      </c>
      <c r="H286" s="15" t="s">
        <v>4536</v>
      </c>
      <c r="J286" s="18" t="s">
        <v>115</v>
      </c>
      <c r="W286" s="15">
        <v>335</v>
      </c>
      <c r="X286" s="15">
        <v>151</v>
      </c>
      <c r="Y286" s="15" t="s">
        <v>2458</v>
      </c>
      <c r="Z286" s="15" t="s">
        <v>2458</v>
      </c>
      <c r="AA286" s="34" t="s">
        <v>2476</v>
      </c>
      <c r="AB286" s="15" t="s">
        <v>3947</v>
      </c>
      <c r="AC286" s="15" t="s">
        <v>3947</v>
      </c>
      <c r="AD286" s="15" t="s">
        <v>3948</v>
      </c>
      <c r="AE286" s="15" t="s">
        <v>2311</v>
      </c>
      <c r="AF286" s="15" t="s">
        <v>3948</v>
      </c>
      <c r="AG286" s="33" t="s">
        <v>3947</v>
      </c>
      <c r="AH286" s="15" t="s">
        <v>3949</v>
      </c>
      <c r="AL286" s="15" t="s">
        <v>3950</v>
      </c>
      <c r="AN286" s="15">
        <v>3639</v>
      </c>
      <c r="AO286" s="15" t="s">
        <v>3951</v>
      </c>
      <c r="AQ286" s="15" t="s">
        <v>2437</v>
      </c>
      <c r="AT286" s="15" t="s">
        <v>3952</v>
      </c>
      <c r="AU286" s="15" t="s">
        <v>3953</v>
      </c>
      <c r="AV286" s="15" t="s">
        <v>3953</v>
      </c>
      <c r="AW286" s="15" t="s">
        <v>3954</v>
      </c>
      <c r="AX286" s="15" t="s">
        <v>3954</v>
      </c>
      <c r="AY286" s="15">
        <f t="shared" si="9"/>
        <v>46</v>
      </c>
      <c r="AZ286" s="15" t="s">
        <v>2441</v>
      </c>
      <c r="BA286" s="15" t="s">
        <v>926</v>
      </c>
      <c r="BB286" s="15" t="s">
        <v>3955</v>
      </c>
      <c r="BC286" s="15" t="s">
        <v>3956</v>
      </c>
      <c r="BE286" s="15" t="s">
        <v>1364</v>
      </c>
      <c r="BJ286" s="15" t="s">
        <v>3361</v>
      </c>
      <c r="BN286" s="15" t="s">
        <v>511</v>
      </c>
      <c r="BP286" s="15" t="s">
        <v>346</v>
      </c>
      <c r="BR286" s="15" t="s">
        <v>3797</v>
      </c>
      <c r="BS286" s="15" t="s">
        <v>3957</v>
      </c>
      <c r="DH286" s="15" t="s">
        <v>4597</v>
      </c>
      <c r="DI286" s="15" t="s">
        <v>4597</v>
      </c>
    </row>
    <row r="287" spans="1:113" s="15" customFormat="1" ht="12.75" x14ac:dyDescent="0.2">
      <c r="A287" s="15" t="s">
        <v>109</v>
      </c>
      <c r="B287" s="16" t="s">
        <v>2287</v>
      </c>
      <c r="C287" s="15" t="s">
        <v>2288</v>
      </c>
      <c r="D287" s="15" t="s">
        <v>2475</v>
      </c>
      <c r="E287" s="15" t="s">
        <v>113</v>
      </c>
      <c r="F287" s="15" t="s">
        <v>2475</v>
      </c>
      <c r="G287" s="15" t="s">
        <v>114</v>
      </c>
      <c r="H287" s="15" t="s">
        <v>4536</v>
      </c>
      <c r="J287" s="18" t="s">
        <v>115</v>
      </c>
      <c r="W287" s="15">
        <v>336</v>
      </c>
      <c r="X287" s="15">
        <v>152</v>
      </c>
      <c r="Y287" s="15" t="s">
        <v>2458</v>
      </c>
      <c r="Z287" s="15" t="s">
        <v>2458</v>
      </c>
      <c r="AA287" s="34" t="s">
        <v>2476</v>
      </c>
      <c r="AB287" s="15" t="s">
        <v>3958</v>
      </c>
      <c r="AC287" s="15" t="s">
        <v>3958</v>
      </c>
      <c r="AD287" s="15" t="s">
        <v>3959</v>
      </c>
      <c r="AE287" s="15" t="s">
        <v>2311</v>
      </c>
      <c r="AF287" s="15" t="s">
        <v>3959</v>
      </c>
      <c r="AG287" s="33" t="s">
        <v>3958</v>
      </c>
      <c r="AH287" s="15" t="s">
        <v>3960</v>
      </c>
      <c r="AL287" s="15" t="s">
        <v>3961</v>
      </c>
      <c r="AN287" s="15">
        <v>3639</v>
      </c>
      <c r="AO287" s="15" t="s">
        <v>3962</v>
      </c>
      <c r="AQ287" s="15" t="s">
        <v>3963</v>
      </c>
      <c r="AS287" s="40"/>
      <c r="AT287" s="15" t="s">
        <v>3964</v>
      </c>
      <c r="AU287" s="15" t="s">
        <v>3965</v>
      </c>
      <c r="AV287" s="15" t="s">
        <v>3965</v>
      </c>
      <c r="AW287" s="15" t="s">
        <v>3966</v>
      </c>
      <c r="AX287" s="15" t="s">
        <v>3966</v>
      </c>
      <c r="AY287" s="15">
        <f t="shared" si="9"/>
        <v>55</v>
      </c>
      <c r="AZ287" s="15" t="s">
        <v>3967</v>
      </c>
      <c r="BA287" s="15" t="s">
        <v>3968</v>
      </c>
      <c r="BB287" s="15" t="s">
        <v>3969</v>
      </c>
      <c r="BE287" s="15" t="s">
        <v>3970</v>
      </c>
      <c r="BJ287" s="15" t="s">
        <v>3971</v>
      </c>
      <c r="BN287" s="15" t="s">
        <v>511</v>
      </c>
      <c r="BP287" s="15" t="s">
        <v>346</v>
      </c>
      <c r="BR287" s="15" t="s">
        <v>3797</v>
      </c>
      <c r="BS287" s="15" t="s">
        <v>3972</v>
      </c>
      <c r="DH287" s="15" t="s">
        <v>4597</v>
      </c>
      <c r="DI287" s="15" t="s">
        <v>4597</v>
      </c>
    </row>
    <row r="288" spans="1:113" s="15" customFormat="1" ht="12.75" x14ac:dyDescent="0.2">
      <c r="A288" s="15" t="s">
        <v>109</v>
      </c>
      <c r="B288" s="16" t="s">
        <v>2287</v>
      </c>
      <c r="C288" s="15" t="s">
        <v>2288</v>
      </c>
      <c r="D288" s="15" t="s">
        <v>2475</v>
      </c>
      <c r="E288" s="15" t="s">
        <v>113</v>
      </c>
      <c r="F288" s="15" t="s">
        <v>2475</v>
      </c>
      <c r="G288" s="15" t="s">
        <v>114</v>
      </c>
      <c r="H288" s="15" t="s">
        <v>4536</v>
      </c>
      <c r="J288" s="18" t="s">
        <v>115</v>
      </c>
      <c r="W288" s="15">
        <v>337</v>
      </c>
      <c r="X288" s="15">
        <v>153</v>
      </c>
      <c r="Y288" s="15" t="s">
        <v>2458</v>
      </c>
      <c r="Z288" s="15" t="s">
        <v>2458</v>
      </c>
      <c r="AA288" s="34" t="s">
        <v>2476</v>
      </c>
      <c r="AB288" s="15" t="s">
        <v>3973</v>
      </c>
      <c r="AC288" s="15" t="s">
        <v>3973</v>
      </c>
      <c r="AD288" s="15" t="s">
        <v>3974</v>
      </c>
      <c r="AE288" s="15" t="s">
        <v>2311</v>
      </c>
      <c r="AF288" s="15" t="s">
        <v>3974</v>
      </c>
      <c r="AG288" s="33" t="s">
        <v>3973</v>
      </c>
      <c r="AH288" s="15" t="s">
        <v>3975</v>
      </c>
      <c r="AL288" s="15" t="s">
        <v>3976</v>
      </c>
      <c r="AN288" s="15">
        <v>3639</v>
      </c>
      <c r="AO288" s="15" t="s">
        <v>3977</v>
      </c>
      <c r="AQ288" s="15" t="s">
        <v>3963</v>
      </c>
      <c r="AS288" s="40"/>
      <c r="AT288" s="15" t="s">
        <v>3978</v>
      </c>
      <c r="AU288" s="15" t="s">
        <v>3979</v>
      </c>
      <c r="AV288" s="15" t="s">
        <v>3979</v>
      </c>
      <c r="AW288" s="15" t="s">
        <v>3980</v>
      </c>
      <c r="AX288" s="15" t="s">
        <v>3980</v>
      </c>
      <c r="AY288" s="15">
        <f t="shared" si="9"/>
        <v>55</v>
      </c>
      <c r="AZ288" s="15" t="s">
        <v>3967</v>
      </c>
      <c r="BA288" s="15" t="s">
        <v>3968</v>
      </c>
      <c r="BB288" s="15" t="s">
        <v>3969</v>
      </c>
      <c r="BE288" s="15" t="s">
        <v>3981</v>
      </c>
      <c r="BJ288" s="15" t="s">
        <v>3971</v>
      </c>
      <c r="BN288" s="15" t="s">
        <v>511</v>
      </c>
      <c r="BP288" s="15" t="s">
        <v>346</v>
      </c>
      <c r="BR288" s="15" t="s">
        <v>3797</v>
      </c>
      <c r="BS288" s="15" t="s">
        <v>3982</v>
      </c>
      <c r="DH288" s="15" t="s">
        <v>4597</v>
      </c>
      <c r="DI288" s="15" t="s">
        <v>4597</v>
      </c>
    </row>
    <row r="289" spans="1:113" s="15" customFormat="1" ht="12.75" x14ac:dyDescent="0.2">
      <c r="A289" s="15" t="s">
        <v>109</v>
      </c>
      <c r="B289" s="16" t="s">
        <v>2287</v>
      </c>
      <c r="C289" s="15" t="s">
        <v>2288</v>
      </c>
      <c r="D289" s="15" t="s">
        <v>2475</v>
      </c>
      <c r="E289" s="15" t="s">
        <v>113</v>
      </c>
      <c r="F289" s="15" t="s">
        <v>2475</v>
      </c>
      <c r="G289" s="15" t="s">
        <v>114</v>
      </c>
      <c r="H289" s="15" t="s">
        <v>4536</v>
      </c>
      <c r="J289" s="18" t="s">
        <v>115</v>
      </c>
      <c r="W289" s="15">
        <v>338</v>
      </c>
      <c r="X289" s="15">
        <v>154</v>
      </c>
      <c r="Y289" s="15" t="s">
        <v>2458</v>
      </c>
      <c r="Z289" s="15" t="s">
        <v>2458</v>
      </c>
      <c r="AA289" s="34" t="s">
        <v>2476</v>
      </c>
      <c r="AB289" s="15" t="s">
        <v>3983</v>
      </c>
      <c r="AC289" s="15" t="s">
        <v>3983</v>
      </c>
      <c r="AD289" s="15" t="s">
        <v>3984</v>
      </c>
      <c r="AE289" s="15" t="s">
        <v>2311</v>
      </c>
      <c r="AF289" s="15" t="s">
        <v>3984</v>
      </c>
      <c r="AG289" s="33" t="s">
        <v>3983</v>
      </c>
      <c r="AH289" s="15" t="s">
        <v>3985</v>
      </c>
      <c r="AL289" s="15" t="s">
        <v>3986</v>
      </c>
      <c r="AN289" s="15">
        <v>3639</v>
      </c>
      <c r="AO289" s="15" t="s">
        <v>3987</v>
      </c>
      <c r="AQ289" s="15" t="s">
        <v>3963</v>
      </c>
      <c r="AS289" s="40"/>
      <c r="AT289" s="15" t="s">
        <v>3988</v>
      </c>
      <c r="AU289" s="15" t="s">
        <v>3989</v>
      </c>
      <c r="AV289" s="15" t="s">
        <v>3989</v>
      </c>
      <c r="AW289" s="15" t="s">
        <v>3990</v>
      </c>
      <c r="AX289" s="15" t="s">
        <v>3990</v>
      </c>
      <c r="AY289" s="15">
        <f t="shared" si="9"/>
        <v>55</v>
      </c>
      <c r="AZ289" s="15" t="s">
        <v>3967</v>
      </c>
      <c r="BA289" s="15" t="s">
        <v>3968</v>
      </c>
      <c r="BB289" s="15" t="s">
        <v>3969</v>
      </c>
      <c r="BE289" s="15" t="s">
        <v>3991</v>
      </c>
      <c r="BJ289" s="15" t="s">
        <v>3971</v>
      </c>
      <c r="BN289" s="15" t="s">
        <v>511</v>
      </c>
      <c r="BP289" s="15" t="s">
        <v>346</v>
      </c>
      <c r="BR289" s="15" t="s">
        <v>3797</v>
      </c>
      <c r="BS289" s="15" t="s">
        <v>3992</v>
      </c>
      <c r="DH289" s="15" t="s">
        <v>4597</v>
      </c>
      <c r="DI289" s="15" t="s">
        <v>4597</v>
      </c>
    </row>
    <row r="290" spans="1:113" s="15" customFormat="1" ht="12.75" x14ac:dyDescent="0.2">
      <c r="A290" s="15" t="s">
        <v>109</v>
      </c>
      <c r="B290" s="16" t="s">
        <v>2287</v>
      </c>
      <c r="C290" s="15" t="s">
        <v>2288</v>
      </c>
      <c r="D290" s="15" t="s">
        <v>2475</v>
      </c>
      <c r="E290" s="15" t="s">
        <v>113</v>
      </c>
      <c r="F290" s="15" t="s">
        <v>2475</v>
      </c>
      <c r="G290" s="15" t="s">
        <v>114</v>
      </c>
      <c r="H290" s="15" t="s">
        <v>4536</v>
      </c>
      <c r="J290" s="18" t="s">
        <v>115</v>
      </c>
      <c r="W290" s="15">
        <v>339</v>
      </c>
      <c r="X290" s="15">
        <v>155</v>
      </c>
      <c r="Y290" s="15" t="s">
        <v>2458</v>
      </c>
      <c r="Z290" s="15" t="s">
        <v>2458</v>
      </c>
      <c r="AA290" s="34" t="s">
        <v>2476</v>
      </c>
      <c r="AB290" s="15" t="s">
        <v>3993</v>
      </c>
      <c r="AC290" s="15" t="s">
        <v>3993</v>
      </c>
      <c r="AD290" s="15" t="s">
        <v>3994</v>
      </c>
      <c r="AE290" s="15" t="s">
        <v>2311</v>
      </c>
      <c r="AF290" s="15" t="s">
        <v>3994</v>
      </c>
      <c r="AG290" s="33" t="s">
        <v>3993</v>
      </c>
      <c r="AH290" s="15" t="s">
        <v>3995</v>
      </c>
      <c r="AL290" s="15" t="s">
        <v>3996</v>
      </c>
      <c r="AN290" s="15">
        <v>3639</v>
      </c>
      <c r="AO290" s="15" t="s">
        <v>3997</v>
      </c>
      <c r="AQ290" s="15" t="s">
        <v>3963</v>
      </c>
      <c r="AT290" s="15" t="s">
        <v>3998</v>
      </c>
      <c r="AU290" s="15" t="s">
        <v>3999</v>
      </c>
      <c r="AV290" s="15" t="s">
        <v>3999</v>
      </c>
      <c r="AW290" s="15" t="s">
        <v>4000</v>
      </c>
      <c r="AX290" s="15" t="s">
        <v>4000</v>
      </c>
      <c r="AY290" s="15">
        <f t="shared" si="9"/>
        <v>55</v>
      </c>
      <c r="AZ290" s="15" t="s">
        <v>3967</v>
      </c>
      <c r="BA290" s="15" t="s">
        <v>3968</v>
      </c>
      <c r="BB290" s="15" t="s">
        <v>3969</v>
      </c>
      <c r="BE290" s="15" t="s">
        <v>4001</v>
      </c>
      <c r="BJ290" s="15" t="s">
        <v>3971</v>
      </c>
      <c r="BN290" s="15" t="s">
        <v>511</v>
      </c>
      <c r="BP290" s="15" t="s">
        <v>346</v>
      </c>
      <c r="BR290" s="15" t="s">
        <v>3797</v>
      </c>
      <c r="BS290" s="15" t="s">
        <v>4002</v>
      </c>
      <c r="DH290" s="15" t="s">
        <v>4597</v>
      </c>
      <c r="DI290" s="15" t="s">
        <v>4597</v>
      </c>
    </row>
    <row r="291" spans="1:113" s="15" customFormat="1" ht="12.75" x14ac:dyDescent="0.2">
      <c r="A291" s="15" t="s">
        <v>109</v>
      </c>
      <c r="B291" s="16" t="s">
        <v>2287</v>
      </c>
      <c r="C291" s="15" t="s">
        <v>2288</v>
      </c>
      <c r="D291" s="15" t="s">
        <v>2475</v>
      </c>
      <c r="E291" s="15" t="s">
        <v>113</v>
      </c>
      <c r="F291" s="15" t="s">
        <v>2475</v>
      </c>
      <c r="G291" s="15" t="s">
        <v>114</v>
      </c>
      <c r="H291" s="15" t="s">
        <v>4536</v>
      </c>
      <c r="J291" s="18" t="s">
        <v>115</v>
      </c>
      <c r="W291" s="15">
        <v>340</v>
      </c>
      <c r="X291" s="15">
        <v>156</v>
      </c>
      <c r="Y291" s="15" t="s">
        <v>2458</v>
      </c>
      <c r="Z291" s="15" t="s">
        <v>2458</v>
      </c>
      <c r="AA291" s="34" t="s">
        <v>2476</v>
      </c>
      <c r="AB291" s="15" t="s">
        <v>4003</v>
      </c>
      <c r="AC291" s="15" t="s">
        <v>4003</v>
      </c>
      <c r="AD291" s="15" t="s">
        <v>4004</v>
      </c>
      <c r="AE291" s="15" t="s">
        <v>2311</v>
      </c>
      <c r="AF291" s="15" t="s">
        <v>4004</v>
      </c>
      <c r="AG291" s="33" t="s">
        <v>4003</v>
      </c>
      <c r="AH291" s="15" t="s">
        <v>4005</v>
      </c>
      <c r="AL291" s="15" t="s">
        <v>4006</v>
      </c>
      <c r="AN291" s="15">
        <v>3639</v>
      </c>
      <c r="AO291" s="15" t="s">
        <v>4007</v>
      </c>
      <c r="AQ291" s="15" t="s">
        <v>3963</v>
      </c>
      <c r="AT291" s="15" t="s">
        <v>4008</v>
      </c>
      <c r="AU291" s="15" t="s">
        <v>4009</v>
      </c>
      <c r="AV291" s="15" t="s">
        <v>4009</v>
      </c>
      <c r="AW291" s="15" t="s">
        <v>4010</v>
      </c>
      <c r="AX291" s="15" t="s">
        <v>4010</v>
      </c>
      <c r="AY291" s="15">
        <f t="shared" si="9"/>
        <v>55</v>
      </c>
      <c r="AZ291" s="15" t="s">
        <v>3967</v>
      </c>
      <c r="BA291" s="15" t="s">
        <v>3968</v>
      </c>
      <c r="BB291" s="15" t="s">
        <v>3969</v>
      </c>
      <c r="BE291" s="15" t="s">
        <v>4011</v>
      </c>
      <c r="BJ291" s="15" t="s">
        <v>3971</v>
      </c>
      <c r="BN291" s="15" t="s">
        <v>511</v>
      </c>
      <c r="BP291" s="15" t="s">
        <v>346</v>
      </c>
      <c r="BR291" s="15" t="s">
        <v>3797</v>
      </c>
      <c r="BS291" s="15" t="s">
        <v>4012</v>
      </c>
      <c r="DH291" s="15" t="s">
        <v>4597</v>
      </c>
      <c r="DI291" s="15" t="s">
        <v>4597</v>
      </c>
    </row>
    <row r="292" spans="1:113" s="15" customFormat="1" ht="12.75" x14ac:dyDescent="0.2">
      <c r="A292" s="15" t="s">
        <v>109</v>
      </c>
      <c r="B292" s="16" t="s">
        <v>2287</v>
      </c>
      <c r="C292" s="15" t="s">
        <v>2288</v>
      </c>
      <c r="D292" s="15" t="s">
        <v>2475</v>
      </c>
      <c r="E292" s="15" t="s">
        <v>113</v>
      </c>
      <c r="F292" s="15" t="s">
        <v>2475</v>
      </c>
      <c r="G292" s="15" t="s">
        <v>114</v>
      </c>
      <c r="H292" s="15" t="s">
        <v>4536</v>
      </c>
      <c r="J292" s="18" t="s">
        <v>115</v>
      </c>
      <c r="W292" s="15">
        <v>341</v>
      </c>
      <c r="X292" s="15">
        <v>157</v>
      </c>
      <c r="Y292" s="15" t="s">
        <v>2458</v>
      </c>
      <c r="Z292" s="15" t="s">
        <v>2458</v>
      </c>
      <c r="AA292" s="34" t="s">
        <v>2476</v>
      </c>
      <c r="AB292" s="15" t="s">
        <v>4013</v>
      </c>
      <c r="AC292" s="15" t="s">
        <v>4013</v>
      </c>
      <c r="AD292" s="15" t="s">
        <v>4014</v>
      </c>
      <c r="AE292" s="15" t="s">
        <v>2311</v>
      </c>
      <c r="AF292" s="15" t="s">
        <v>4014</v>
      </c>
      <c r="AG292" s="33" t="s">
        <v>4013</v>
      </c>
      <c r="AH292" s="15" t="s">
        <v>4015</v>
      </c>
      <c r="AL292" s="15" t="s">
        <v>4016</v>
      </c>
      <c r="AN292" s="15">
        <v>3639</v>
      </c>
      <c r="AO292" s="15" t="s">
        <v>4017</v>
      </c>
      <c r="AQ292" s="15" t="s">
        <v>3963</v>
      </c>
      <c r="AT292" s="15" t="s">
        <v>4018</v>
      </c>
      <c r="AU292" s="15" t="s">
        <v>4019</v>
      </c>
      <c r="AV292" s="15" t="s">
        <v>4019</v>
      </c>
      <c r="AW292" s="15" t="s">
        <v>4020</v>
      </c>
      <c r="AX292" s="15" t="s">
        <v>4020</v>
      </c>
      <c r="AY292" s="15">
        <f t="shared" si="9"/>
        <v>55</v>
      </c>
      <c r="AZ292" s="15" t="s">
        <v>3967</v>
      </c>
      <c r="BA292" s="15" t="s">
        <v>3968</v>
      </c>
      <c r="BB292" s="15" t="s">
        <v>3969</v>
      </c>
      <c r="BE292" s="15" t="s">
        <v>4021</v>
      </c>
      <c r="BJ292" s="15" t="s">
        <v>3971</v>
      </c>
      <c r="BN292" s="15" t="s">
        <v>511</v>
      </c>
      <c r="BP292" s="15" t="s">
        <v>346</v>
      </c>
      <c r="BR292" s="15" t="s">
        <v>3797</v>
      </c>
      <c r="BS292" s="15" t="s">
        <v>4022</v>
      </c>
      <c r="DH292" s="15" t="s">
        <v>4597</v>
      </c>
      <c r="DI292" s="15" t="s">
        <v>4597</v>
      </c>
    </row>
    <row r="293" spans="1:113" s="15" customFormat="1" ht="12.75" x14ac:dyDescent="0.2">
      <c r="A293" s="15" t="s">
        <v>109</v>
      </c>
      <c r="B293" s="16" t="s">
        <v>2287</v>
      </c>
      <c r="C293" s="15" t="s">
        <v>2288</v>
      </c>
      <c r="D293" s="15" t="s">
        <v>2475</v>
      </c>
      <c r="E293" s="15" t="s">
        <v>113</v>
      </c>
      <c r="F293" s="15" t="s">
        <v>2475</v>
      </c>
      <c r="G293" s="15" t="s">
        <v>114</v>
      </c>
      <c r="H293" s="15" t="s">
        <v>4536</v>
      </c>
      <c r="J293" s="18" t="s">
        <v>115</v>
      </c>
      <c r="W293" s="15">
        <v>342</v>
      </c>
      <c r="X293" s="15">
        <v>158</v>
      </c>
      <c r="Y293" s="15" t="s">
        <v>2458</v>
      </c>
      <c r="Z293" s="15" t="s">
        <v>2458</v>
      </c>
      <c r="AA293" s="34" t="s">
        <v>2476</v>
      </c>
      <c r="AB293" s="15" t="s">
        <v>4023</v>
      </c>
      <c r="AC293" s="15" t="s">
        <v>4023</v>
      </c>
      <c r="AD293" s="15" t="s">
        <v>4024</v>
      </c>
      <c r="AE293" s="15" t="s">
        <v>2311</v>
      </c>
      <c r="AF293" s="15" t="s">
        <v>4024</v>
      </c>
      <c r="AG293" s="33" t="s">
        <v>4023</v>
      </c>
      <c r="AH293" s="15" t="s">
        <v>4025</v>
      </c>
      <c r="AL293" s="15" t="s">
        <v>4026</v>
      </c>
      <c r="AN293" s="15">
        <v>3639</v>
      </c>
      <c r="AO293" s="15" t="s">
        <v>4027</v>
      </c>
      <c r="AQ293" s="15" t="s">
        <v>3963</v>
      </c>
      <c r="AT293" s="15" t="s">
        <v>4028</v>
      </c>
      <c r="AU293" s="15" t="s">
        <v>4029</v>
      </c>
      <c r="AV293" s="15" t="s">
        <v>4029</v>
      </c>
      <c r="AW293" s="15" t="s">
        <v>4030</v>
      </c>
      <c r="AX293" s="15" t="s">
        <v>4030</v>
      </c>
      <c r="AY293" s="15">
        <f t="shared" si="9"/>
        <v>55</v>
      </c>
      <c r="AZ293" s="15" t="s">
        <v>3967</v>
      </c>
      <c r="BA293" s="15" t="s">
        <v>3968</v>
      </c>
      <c r="BB293" s="15" t="s">
        <v>3969</v>
      </c>
      <c r="BE293" s="15" t="s">
        <v>4031</v>
      </c>
      <c r="BJ293" s="15" t="s">
        <v>3971</v>
      </c>
      <c r="BN293" s="15" t="s">
        <v>511</v>
      </c>
      <c r="BP293" s="15" t="s">
        <v>346</v>
      </c>
      <c r="BR293" s="15" t="s">
        <v>3797</v>
      </c>
      <c r="BS293" s="15" t="s">
        <v>4032</v>
      </c>
      <c r="DH293" s="15" t="s">
        <v>4597</v>
      </c>
      <c r="DI293" s="15" t="s">
        <v>4597</v>
      </c>
    </row>
    <row r="294" spans="1:113" s="15" customFormat="1" ht="12.75" x14ac:dyDescent="0.2">
      <c r="A294" s="15" t="s">
        <v>109</v>
      </c>
      <c r="B294" s="16" t="s">
        <v>2287</v>
      </c>
      <c r="C294" s="15" t="s">
        <v>2288</v>
      </c>
      <c r="D294" s="15" t="s">
        <v>2475</v>
      </c>
      <c r="E294" s="15" t="s">
        <v>113</v>
      </c>
      <c r="F294" s="15" t="s">
        <v>2475</v>
      </c>
      <c r="G294" s="15" t="s">
        <v>114</v>
      </c>
      <c r="H294" s="15" t="s">
        <v>4536</v>
      </c>
      <c r="J294" s="18" t="s">
        <v>115</v>
      </c>
      <c r="W294" s="15">
        <v>343</v>
      </c>
      <c r="X294" s="15">
        <v>159</v>
      </c>
      <c r="Y294" s="15" t="s">
        <v>2458</v>
      </c>
      <c r="Z294" s="15" t="s">
        <v>2458</v>
      </c>
      <c r="AA294" s="34" t="s">
        <v>2476</v>
      </c>
      <c r="AB294" s="15" t="s">
        <v>4033</v>
      </c>
      <c r="AC294" s="15" t="s">
        <v>4033</v>
      </c>
      <c r="AD294" s="15" t="s">
        <v>4034</v>
      </c>
      <c r="AE294" s="15" t="s">
        <v>2311</v>
      </c>
      <c r="AF294" s="15" t="s">
        <v>4034</v>
      </c>
      <c r="AG294" s="33" t="s">
        <v>4033</v>
      </c>
      <c r="AH294" s="15" t="s">
        <v>4035</v>
      </c>
      <c r="AL294" s="15" t="s">
        <v>4036</v>
      </c>
      <c r="AN294" s="15">
        <v>3639</v>
      </c>
      <c r="AO294" s="15" t="s">
        <v>4037</v>
      </c>
      <c r="AQ294" s="15" t="s">
        <v>3963</v>
      </c>
      <c r="AT294" s="15" t="s">
        <v>4038</v>
      </c>
      <c r="AU294" s="15" t="s">
        <v>4039</v>
      </c>
      <c r="AV294" s="15" t="s">
        <v>4039</v>
      </c>
      <c r="AW294" s="15" t="s">
        <v>4040</v>
      </c>
      <c r="AX294" s="15" t="s">
        <v>4040</v>
      </c>
      <c r="AY294" s="15">
        <f t="shared" si="9"/>
        <v>55</v>
      </c>
      <c r="AZ294" s="15" t="s">
        <v>3967</v>
      </c>
      <c r="BA294" s="15" t="s">
        <v>3968</v>
      </c>
      <c r="BB294" s="15" t="s">
        <v>3969</v>
      </c>
      <c r="BE294" s="15" t="s">
        <v>4041</v>
      </c>
      <c r="BJ294" s="15" t="s">
        <v>3971</v>
      </c>
      <c r="BN294" s="15" t="s">
        <v>511</v>
      </c>
      <c r="BP294" s="15" t="s">
        <v>346</v>
      </c>
      <c r="BR294" s="15" t="s">
        <v>3797</v>
      </c>
      <c r="BS294" s="15" t="s">
        <v>4042</v>
      </c>
      <c r="DH294" s="15" t="s">
        <v>4597</v>
      </c>
      <c r="DI294" s="15" t="s">
        <v>4597</v>
      </c>
    </row>
    <row r="295" spans="1:113" s="15" customFormat="1" ht="12.75" x14ac:dyDescent="0.2">
      <c r="A295" s="15" t="s">
        <v>109</v>
      </c>
      <c r="B295" s="16" t="s">
        <v>2287</v>
      </c>
      <c r="C295" s="15" t="s">
        <v>2288</v>
      </c>
      <c r="D295" s="15" t="s">
        <v>2475</v>
      </c>
      <c r="E295" s="15" t="s">
        <v>113</v>
      </c>
      <c r="F295" s="15" t="s">
        <v>2475</v>
      </c>
      <c r="G295" s="15" t="s">
        <v>114</v>
      </c>
      <c r="H295" s="15" t="s">
        <v>4536</v>
      </c>
      <c r="J295" s="18" t="s">
        <v>115</v>
      </c>
      <c r="W295" s="15">
        <v>344</v>
      </c>
      <c r="X295" s="15">
        <v>160</v>
      </c>
      <c r="Y295" s="15" t="s">
        <v>2458</v>
      </c>
      <c r="Z295" s="15" t="s">
        <v>2458</v>
      </c>
      <c r="AA295" s="34" t="s">
        <v>2476</v>
      </c>
      <c r="AB295" s="15" t="s">
        <v>4043</v>
      </c>
      <c r="AC295" s="15" t="s">
        <v>4043</v>
      </c>
      <c r="AD295" s="15" t="s">
        <v>4044</v>
      </c>
      <c r="AE295" s="15" t="s">
        <v>2311</v>
      </c>
      <c r="AF295" s="15" t="s">
        <v>4044</v>
      </c>
      <c r="AG295" s="33" t="s">
        <v>4043</v>
      </c>
      <c r="AH295" s="15" t="s">
        <v>4045</v>
      </c>
      <c r="AL295" s="15" t="s">
        <v>4046</v>
      </c>
      <c r="AN295" s="15">
        <v>3639</v>
      </c>
      <c r="AO295" s="15" t="s">
        <v>4047</v>
      </c>
      <c r="AQ295" s="15" t="s">
        <v>3963</v>
      </c>
      <c r="AT295" s="15" t="s">
        <v>4048</v>
      </c>
      <c r="AU295" s="15" t="s">
        <v>4049</v>
      </c>
      <c r="AV295" s="15" t="s">
        <v>4049</v>
      </c>
      <c r="AW295" s="15" t="s">
        <v>4050</v>
      </c>
      <c r="AX295" s="15" t="s">
        <v>4050</v>
      </c>
      <c r="AY295" s="15">
        <f t="shared" si="9"/>
        <v>55</v>
      </c>
      <c r="AZ295" s="15" t="s">
        <v>3967</v>
      </c>
      <c r="BA295" s="15" t="s">
        <v>3968</v>
      </c>
      <c r="BB295" s="15" t="s">
        <v>3969</v>
      </c>
      <c r="BE295" s="15" t="s">
        <v>4051</v>
      </c>
      <c r="BJ295" s="15" t="s">
        <v>3971</v>
      </c>
      <c r="BN295" s="15" t="s">
        <v>511</v>
      </c>
      <c r="BP295" s="15" t="s">
        <v>346</v>
      </c>
      <c r="BR295" s="15" t="s">
        <v>3797</v>
      </c>
      <c r="BS295" s="15" t="s">
        <v>4052</v>
      </c>
      <c r="DH295" s="15" t="s">
        <v>4597</v>
      </c>
      <c r="DI295" s="15" t="s">
        <v>4597</v>
      </c>
    </row>
    <row r="296" spans="1:113" s="15" customFormat="1" ht="12.75" x14ac:dyDescent="0.2">
      <c r="A296" s="15" t="s">
        <v>109</v>
      </c>
      <c r="B296" s="16" t="s">
        <v>2287</v>
      </c>
      <c r="C296" s="15" t="s">
        <v>2288</v>
      </c>
      <c r="D296" s="15" t="s">
        <v>2475</v>
      </c>
      <c r="E296" s="15" t="s">
        <v>113</v>
      </c>
      <c r="F296" s="15" t="s">
        <v>2475</v>
      </c>
      <c r="G296" s="15" t="s">
        <v>114</v>
      </c>
      <c r="H296" s="15" t="s">
        <v>4536</v>
      </c>
      <c r="J296" s="18" t="s">
        <v>115</v>
      </c>
      <c r="W296" s="15">
        <v>345</v>
      </c>
      <c r="X296" s="15">
        <v>161</v>
      </c>
      <c r="Y296" s="15" t="s">
        <v>2458</v>
      </c>
      <c r="Z296" s="15" t="s">
        <v>2458</v>
      </c>
      <c r="AA296" s="34" t="s">
        <v>2476</v>
      </c>
      <c r="AB296" s="15" t="s">
        <v>4053</v>
      </c>
      <c r="AC296" s="15" t="s">
        <v>4053</v>
      </c>
      <c r="AD296" s="15" t="s">
        <v>4054</v>
      </c>
      <c r="AE296" s="15" t="s">
        <v>2311</v>
      </c>
      <c r="AF296" s="15" t="s">
        <v>4054</v>
      </c>
      <c r="AG296" s="33" t="s">
        <v>4053</v>
      </c>
      <c r="AH296" s="15" t="s">
        <v>4055</v>
      </c>
      <c r="AL296" s="15" t="s">
        <v>4056</v>
      </c>
      <c r="AN296" s="15">
        <v>3639</v>
      </c>
      <c r="AO296" s="15" t="s">
        <v>4057</v>
      </c>
      <c r="AQ296" s="15" t="s">
        <v>3963</v>
      </c>
      <c r="AT296" s="15" t="s">
        <v>4058</v>
      </c>
      <c r="AU296" s="15" t="s">
        <v>4059</v>
      </c>
      <c r="AV296" s="15" t="s">
        <v>4059</v>
      </c>
      <c r="AW296" s="15" t="s">
        <v>4060</v>
      </c>
      <c r="AX296" s="15" t="s">
        <v>4060</v>
      </c>
      <c r="AY296" s="15">
        <f t="shared" si="9"/>
        <v>55</v>
      </c>
      <c r="AZ296" s="15" t="s">
        <v>3967</v>
      </c>
      <c r="BA296" s="15" t="s">
        <v>3968</v>
      </c>
      <c r="BB296" s="15" t="s">
        <v>3969</v>
      </c>
      <c r="BE296" s="15" t="s">
        <v>4061</v>
      </c>
      <c r="BJ296" s="15" t="s">
        <v>3971</v>
      </c>
      <c r="BN296" s="15" t="s">
        <v>511</v>
      </c>
      <c r="BP296" s="15" t="s">
        <v>346</v>
      </c>
      <c r="BR296" s="15" t="s">
        <v>3797</v>
      </c>
      <c r="BS296" s="15" t="s">
        <v>4062</v>
      </c>
      <c r="DH296" s="15" t="s">
        <v>4597</v>
      </c>
      <c r="DI296" s="15" t="s">
        <v>4597</v>
      </c>
    </row>
    <row r="297" spans="1:113" s="15" customFormat="1" ht="12.75" x14ac:dyDescent="0.2">
      <c r="A297" s="15" t="s">
        <v>109</v>
      </c>
      <c r="B297" s="16" t="s">
        <v>2287</v>
      </c>
      <c r="C297" s="15" t="s">
        <v>2288</v>
      </c>
      <c r="D297" s="15" t="s">
        <v>2475</v>
      </c>
      <c r="E297" s="15" t="s">
        <v>113</v>
      </c>
      <c r="F297" s="15" t="s">
        <v>2475</v>
      </c>
      <c r="G297" s="15" t="s">
        <v>114</v>
      </c>
      <c r="H297" s="15" t="s">
        <v>4536</v>
      </c>
      <c r="J297" s="18" t="s">
        <v>115</v>
      </c>
      <c r="W297" s="15">
        <v>346</v>
      </c>
      <c r="X297" s="15">
        <v>162</v>
      </c>
      <c r="Y297" s="15" t="s">
        <v>2458</v>
      </c>
      <c r="Z297" s="15" t="s">
        <v>2458</v>
      </c>
      <c r="AA297" s="34" t="s">
        <v>2476</v>
      </c>
      <c r="AB297" s="15" t="s">
        <v>4063</v>
      </c>
      <c r="AC297" s="15" t="s">
        <v>4063</v>
      </c>
      <c r="AD297" s="15" t="s">
        <v>4064</v>
      </c>
      <c r="AE297" s="15" t="s">
        <v>2311</v>
      </c>
      <c r="AF297" s="15" t="s">
        <v>4064</v>
      </c>
      <c r="AG297" s="33" t="s">
        <v>4063</v>
      </c>
      <c r="AH297" s="15" t="s">
        <v>4065</v>
      </c>
      <c r="AL297" s="15" t="s">
        <v>4066</v>
      </c>
      <c r="AN297" s="15">
        <v>3639</v>
      </c>
      <c r="AO297" s="15" t="s">
        <v>4067</v>
      </c>
      <c r="AQ297" s="15" t="s">
        <v>3963</v>
      </c>
      <c r="AT297" s="15" t="s">
        <v>4068</v>
      </c>
      <c r="AU297" s="15" t="s">
        <v>4069</v>
      </c>
      <c r="AV297" s="15" t="s">
        <v>4069</v>
      </c>
      <c r="AW297" s="15" t="s">
        <v>4070</v>
      </c>
      <c r="AX297" s="15" t="s">
        <v>4070</v>
      </c>
      <c r="AY297" s="15">
        <f t="shared" si="9"/>
        <v>55</v>
      </c>
      <c r="AZ297" s="15" t="s">
        <v>3967</v>
      </c>
      <c r="BA297" s="15" t="s">
        <v>3968</v>
      </c>
      <c r="BB297" s="15" t="s">
        <v>3969</v>
      </c>
      <c r="BE297" s="15" t="s">
        <v>4071</v>
      </c>
      <c r="BJ297" s="15" t="s">
        <v>3971</v>
      </c>
      <c r="BN297" s="15" t="s">
        <v>511</v>
      </c>
      <c r="BP297" s="15" t="s">
        <v>346</v>
      </c>
      <c r="BR297" s="15" t="s">
        <v>3797</v>
      </c>
      <c r="BS297" s="15" t="s">
        <v>4072</v>
      </c>
      <c r="DH297" s="15" t="s">
        <v>4597</v>
      </c>
      <c r="DI297" s="15" t="s">
        <v>4597</v>
      </c>
    </row>
    <row r="298" spans="1:113" s="15" customFormat="1" ht="12.75" x14ac:dyDescent="0.2">
      <c r="A298" s="15" t="s">
        <v>109</v>
      </c>
      <c r="B298" s="16" t="s">
        <v>2287</v>
      </c>
      <c r="C298" s="15" t="s">
        <v>2288</v>
      </c>
      <c r="D298" s="15" t="s">
        <v>2475</v>
      </c>
      <c r="E298" s="15" t="s">
        <v>113</v>
      </c>
      <c r="F298" s="15" t="s">
        <v>2475</v>
      </c>
      <c r="G298" s="15" t="s">
        <v>114</v>
      </c>
      <c r="H298" s="15" t="s">
        <v>4536</v>
      </c>
      <c r="J298" s="18" t="s">
        <v>115</v>
      </c>
      <c r="W298" s="15">
        <v>347</v>
      </c>
      <c r="X298" s="15">
        <v>163</v>
      </c>
      <c r="Y298" s="15" t="s">
        <v>2458</v>
      </c>
      <c r="Z298" s="15" t="s">
        <v>2458</v>
      </c>
      <c r="AA298" s="34" t="s">
        <v>2476</v>
      </c>
      <c r="AB298" s="15" t="s">
        <v>4073</v>
      </c>
      <c r="AC298" s="15" t="s">
        <v>4073</v>
      </c>
      <c r="AD298" s="15" t="s">
        <v>4074</v>
      </c>
      <c r="AE298" s="15" t="s">
        <v>2311</v>
      </c>
      <c r="AF298" s="15" t="s">
        <v>4074</v>
      </c>
      <c r="AG298" s="33" t="s">
        <v>4073</v>
      </c>
      <c r="AH298" s="15" t="s">
        <v>4075</v>
      </c>
      <c r="AL298" s="15" t="s">
        <v>4076</v>
      </c>
      <c r="AN298" s="15">
        <v>3639</v>
      </c>
      <c r="AO298" s="15" t="s">
        <v>4077</v>
      </c>
      <c r="AQ298" s="15" t="s">
        <v>2796</v>
      </c>
      <c r="AT298" s="15" t="s">
        <v>4078</v>
      </c>
      <c r="AU298" s="16" t="s">
        <v>4079</v>
      </c>
      <c r="AV298" s="16" t="s">
        <v>4079</v>
      </c>
      <c r="AW298" s="16" t="s">
        <v>4080</v>
      </c>
      <c r="AX298" s="16" t="s">
        <v>4080</v>
      </c>
      <c r="AY298" s="15">
        <f t="shared" si="9"/>
        <v>41</v>
      </c>
      <c r="AZ298" s="16" t="s">
        <v>4081</v>
      </c>
      <c r="BA298" s="15" t="s">
        <v>926</v>
      </c>
      <c r="BB298" s="16" t="s">
        <v>4082</v>
      </c>
      <c r="BC298" s="16" t="s">
        <v>4083</v>
      </c>
      <c r="BE298" s="15" t="s">
        <v>4084</v>
      </c>
      <c r="BN298" s="15" t="s">
        <v>511</v>
      </c>
      <c r="BP298" s="15" t="s">
        <v>346</v>
      </c>
      <c r="BR298" s="15" t="s">
        <v>3797</v>
      </c>
      <c r="BS298" s="15" t="s">
        <v>4085</v>
      </c>
      <c r="DH298" s="15" t="s">
        <v>4597</v>
      </c>
      <c r="DI298" s="15" t="s">
        <v>4597</v>
      </c>
    </row>
    <row r="299" spans="1:113" s="15" customFormat="1" ht="12.75" x14ac:dyDescent="0.2">
      <c r="A299" s="15" t="s">
        <v>109</v>
      </c>
      <c r="B299" s="16" t="s">
        <v>2287</v>
      </c>
      <c r="C299" s="15" t="s">
        <v>2288</v>
      </c>
      <c r="D299" s="15" t="s">
        <v>2475</v>
      </c>
      <c r="E299" s="15" t="s">
        <v>113</v>
      </c>
      <c r="F299" s="15" t="s">
        <v>2475</v>
      </c>
      <c r="G299" s="15" t="s">
        <v>114</v>
      </c>
      <c r="H299" s="15" t="s">
        <v>4536</v>
      </c>
      <c r="J299" s="18" t="s">
        <v>115</v>
      </c>
      <c r="W299" s="15">
        <v>348</v>
      </c>
      <c r="X299" s="15">
        <v>164</v>
      </c>
      <c r="Y299" s="15" t="s">
        <v>2458</v>
      </c>
      <c r="Z299" s="15" t="s">
        <v>2458</v>
      </c>
      <c r="AA299" s="34" t="s">
        <v>2476</v>
      </c>
      <c r="AB299" s="15" t="s">
        <v>4086</v>
      </c>
      <c r="AC299" s="15" t="s">
        <v>4086</v>
      </c>
      <c r="AD299" s="15" t="s">
        <v>4087</v>
      </c>
      <c r="AE299" s="15" t="s">
        <v>2311</v>
      </c>
      <c r="AF299" s="15" t="s">
        <v>4087</v>
      </c>
      <c r="AG299" s="33" t="s">
        <v>4086</v>
      </c>
      <c r="AH299" s="15" t="s">
        <v>4088</v>
      </c>
      <c r="AL299" s="15" t="s">
        <v>4089</v>
      </c>
      <c r="AN299" s="15">
        <v>3639</v>
      </c>
      <c r="AO299" s="15" t="s">
        <v>4090</v>
      </c>
      <c r="AQ299" s="15" t="s">
        <v>2796</v>
      </c>
      <c r="AT299" s="15" t="s">
        <v>4091</v>
      </c>
      <c r="AU299" s="16" t="s">
        <v>4092</v>
      </c>
      <c r="AV299" s="16" t="s">
        <v>4092</v>
      </c>
      <c r="AW299" s="16" t="s">
        <v>4093</v>
      </c>
      <c r="AX299" s="16" t="s">
        <v>4093</v>
      </c>
      <c r="AY299" s="15">
        <f t="shared" si="9"/>
        <v>40</v>
      </c>
      <c r="AZ299" s="16" t="s">
        <v>4081</v>
      </c>
      <c r="BA299" s="15" t="s">
        <v>926</v>
      </c>
      <c r="BB299" s="16" t="s">
        <v>4082</v>
      </c>
      <c r="BC299" s="16" t="s">
        <v>4094</v>
      </c>
      <c r="BE299" s="15" t="s">
        <v>4095</v>
      </c>
      <c r="BN299" s="15" t="s">
        <v>511</v>
      </c>
      <c r="BP299" s="15" t="s">
        <v>346</v>
      </c>
      <c r="BR299" s="15" t="s">
        <v>3797</v>
      </c>
      <c r="BS299" s="15" t="s">
        <v>4096</v>
      </c>
      <c r="DH299" s="15" t="s">
        <v>4597</v>
      </c>
      <c r="DI299" s="15" t="s">
        <v>4597</v>
      </c>
    </row>
    <row r="300" spans="1:113" s="15" customFormat="1" ht="12.75" x14ac:dyDescent="0.2">
      <c r="A300" s="15" t="s">
        <v>109</v>
      </c>
      <c r="B300" s="16" t="s">
        <v>2287</v>
      </c>
      <c r="C300" s="15" t="s">
        <v>2288</v>
      </c>
      <c r="D300" s="15" t="s">
        <v>2475</v>
      </c>
      <c r="E300" s="15" t="s">
        <v>113</v>
      </c>
      <c r="F300" s="15" t="s">
        <v>2475</v>
      </c>
      <c r="G300" s="15" t="s">
        <v>114</v>
      </c>
      <c r="H300" s="15" t="s">
        <v>4536</v>
      </c>
      <c r="J300" s="18" t="s">
        <v>115</v>
      </c>
      <c r="W300" s="15">
        <v>349</v>
      </c>
      <c r="X300" s="15">
        <v>165</v>
      </c>
      <c r="Y300" s="15" t="s">
        <v>2458</v>
      </c>
      <c r="Z300" s="15" t="s">
        <v>2458</v>
      </c>
      <c r="AA300" s="34" t="s">
        <v>2476</v>
      </c>
      <c r="AB300" s="15" t="s">
        <v>4097</v>
      </c>
      <c r="AC300" s="15" t="s">
        <v>4097</v>
      </c>
      <c r="AD300" s="15" t="s">
        <v>4098</v>
      </c>
      <c r="AE300" s="15" t="s">
        <v>2311</v>
      </c>
      <c r="AF300" s="15" t="s">
        <v>4098</v>
      </c>
      <c r="AG300" s="33" t="s">
        <v>4097</v>
      </c>
      <c r="AH300" s="15" t="s">
        <v>4099</v>
      </c>
      <c r="AL300" s="15" t="s">
        <v>4100</v>
      </c>
      <c r="AN300" s="15">
        <v>3639</v>
      </c>
      <c r="AO300" s="15" t="s">
        <v>4101</v>
      </c>
      <c r="AQ300" s="15" t="s">
        <v>2796</v>
      </c>
      <c r="AT300" s="15" t="s">
        <v>4102</v>
      </c>
      <c r="AU300" s="16" t="s">
        <v>4103</v>
      </c>
      <c r="AV300" s="16" t="s">
        <v>4103</v>
      </c>
      <c r="AW300" s="16" t="s">
        <v>4104</v>
      </c>
      <c r="AX300" s="16" t="s">
        <v>4104</v>
      </c>
      <c r="AY300" s="15">
        <f t="shared" si="9"/>
        <v>34</v>
      </c>
      <c r="AZ300" s="16" t="s">
        <v>4081</v>
      </c>
      <c r="BA300" s="15" t="s">
        <v>926</v>
      </c>
      <c r="BB300" s="15" t="s">
        <v>4105</v>
      </c>
      <c r="BC300" s="15" t="s">
        <v>170</v>
      </c>
      <c r="BN300" s="15" t="s">
        <v>511</v>
      </c>
      <c r="BP300" s="15" t="s">
        <v>346</v>
      </c>
      <c r="BR300" s="15" t="s">
        <v>3797</v>
      </c>
      <c r="BS300" s="15" t="s">
        <v>4106</v>
      </c>
      <c r="DH300" s="15" t="s">
        <v>4597</v>
      </c>
      <c r="DI300" s="15" t="s">
        <v>4597</v>
      </c>
    </row>
    <row r="301" spans="1:113" s="15" customFormat="1" ht="12.75" x14ac:dyDescent="0.2">
      <c r="A301" s="15" t="s">
        <v>109</v>
      </c>
      <c r="B301" s="16" t="s">
        <v>2287</v>
      </c>
      <c r="C301" s="15" t="s">
        <v>2288</v>
      </c>
      <c r="D301" s="15" t="s">
        <v>2475</v>
      </c>
      <c r="E301" s="15" t="s">
        <v>113</v>
      </c>
      <c r="F301" s="15" t="s">
        <v>2475</v>
      </c>
      <c r="G301" s="15" t="s">
        <v>114</v>
      </c>
      <c r="H301" s="15" t="s">
        <v>4536</v>
      </c>
      <c r="J301" s="18" t="s">
        <v>115</v>
      </c>
      <c r="W301" s="15">
        <v>350</v>
      </c>
      <c r="X301" s="15">
        <v>166</v>
      </c>
      <c r="Y301" s="15" t="s">
        <v>2458</v>
      </c>
      <c r="Z301" s="15" t="s">
        <v>2458</v>
      </c>
      <c r="AA301" s="34" t="s">
        <v>2476</v>
      </c>
      <c r="AB301" s="15" t="s">
        <v>4107</v>
      </c>
      <c r="AC301" s="15" t="s">
        <v>4107</v>
      </c>
      <c r="AD301" s="15" t="s">
        <v>4108</v>
      </c>
      <c r="AE301" s="15" t="s">
        <v>2311</v>
      </c>
      <c r="AF301" s="15" t="s">
        <v>4108</v>
      </c>
      <c r="AG301" s="33" t="s">
        <v>4107</v>
      </c>
      <c r="AH301" s="15" t="s">
        <v>4109</v>
      </c>
      <c r="AL301" s="15" t="s">
        <v>4110</v>
      </c>
      <c r="AN301" s="15">
        <v>3639</v>
      </c>
      <c r="AO301" s="15" t="s">
        <v>4111</v>
      </c>
      <c r="AQ301" s="15" t="s">
        <v>3814</v>
      </c>
      <c r="AT301" s="15" t="s">
        <v>4112</v>
      </c>
      <c r="AU301" s="15" t="s">
        <v>4113</v>
      </c>
      <c r="AV301" s="15" t="s">
        <v>4113</v>
      </c>
      <c r="AW301" s="15" t="s">
        <v>4114</v>
      </c>
      <c r="AX301" s="15" t="s">
        <v>4114</v>
      </c>
      <c r="AY301" s="15">
        <f t="shared" si="9"/>
        <v>36</v>
      </c>
      <c r="AZ301" s="15" t="s">
        <v>2302</v>
      </c>
      <c r="BA301" s="15" t="s">
        <v>926</v>
      </c>
      <c r="BB301" s="15" t="s">
        <v>4115</v>
      </c>
      <c r="BE301" s="15" t="s">
        <v>4116</v>
      </c>
      <c r="BJ301" s="15" t="s">
        <v>4117</v>
      </c>
      <c r="BO301" s="15" t="s">
        <v>4118</v>
      </c>
      <c r="BS301" s="15" t="s">
        <v>4119</v>
      </c>
      <c r="DH301" s="15" t="s">
        <v>4597</v>
      </c>
      <c r="DI301" s="15" t="s">
        <v>4597</v>
      </c>
    </row>
    <row r="302" spans="1:113" s="15" customFormat="1" ht="12.75" x14ac:dyDescent="0.2">
      <c r="A302" s="15" t="s">
        <v>109</v>
      </c>
      <c r="B302" s="16" t="s">
        <v>2287</v>
      </c>
      <c r="C302" s="15" t="s">
        <v>2288</v>
      </c>
      <c r="D302" s="15" t="s">
        <v>2475</v>
      </c>
      <c r="E302" s="15" t="s">
        <v>113</v>
      </c>
      <c r="F302" s="15" t="s">
        <v>2475</v>
      </c>
      <c r="G302" s="15" t="s">
        <v>114</v>
      </c>
      <c r="H302" s="15" t="s">
        <v>4536</v>
      </c>
      <c r="J302" s="18" t="s">
        <v>115</v>
      </c>
      <c r="W302" s="15">
        <v>351</v>
      </c>
      <c r="X302" s="15">
        <v>167</v>
      </c>
      <c r="Y302" s="15" t="s">
        <v>2458</v>
      </c>
      <c r="Z302" s="15" t="s">
        <v>2458</v>
      </c>
      <c r="AA302" s="34" t="s">
        <v>2476</v>
      </c>
      <c r="AB302" s="15" t="s">
        <v>4120</v>
      </c>
      <c r="AC302" s="15" t="s">
        <v>4120</v>
      </c>
      <c r="AD302" s="15" t="s">
        <v>4121</v>
      </c>
      <c r="AE302" s="15" t="s">
        <v>2311</v>
      </c>
      <c r="AF302" s="15" t="s">
        <v>4121</v>
      </c>
      <c r="AG302" s="33" t="s">
        <v>4120</v>
      </c>
      <c r="AH302" s="15" t="s">
        <v>4122</v>
      </c>
      <c r="AL302" s="15" t="s">
        <v>4123</v>
      </c>
      <c r="AN302" s="15">
        <v>3639</v>
      </c>
      <c r="AO302" s="15" t="s">
        <v>4124</v>
      </c>
      <c r="AQ302" s="15" t="s">
        <v>3814</v>
      </c>
      <c r="AT302" s="15" t="s">
        <v>4125</v>
      </c>
      <c r="AU302" s="15" t="s">
        <v>4126</v>
      </c>
      <c r="AV302" s="15" t="s">
        <v>4126</v>
      </c>
      <c r="AW302" s="15" t="s">
        <v>4127</v>
      </c>
      <c r="AX302" s="15" t="s">
        <v>4127</v>
      </c>
      <c r="AY302" s="15">
        <f t="shared" si="9"/>
        <v>36</v>
      </c>
      <c r="AZ302" s="15" t="s">
        <v>2302</v>
      </c>
      <c r="BA302" s="15" t="s">
        <v>926</v>
      </c>
      <c r="BB302" s="15" t="s">
        <v>4128</v>
      </c>
      <c r="BE302" s="15" t="s">
        <v>4116</v>
      </c>
      <c r="BJ302" s="15" t="s">
        <v>4117</v>
      </c>
      <c r="BO302" s="15" t="s">
        <v>4118</v>
      </c>
      <c r="BS302" s="15" t="s">
        <v>4129</v>
      </c>
      <c r="DH302" s="15" t="s">
        <v>4597</v>
      </c>
      <c r="DI302" s="15" t="s">
        <v>4597</v>
      </c>
    </row>
    <row r="303" spans="1:113" s="15" customFormat="1" ht="12.75" x14ac:dyDescent="0.2">
      <c r="A303" s="15" t="s">
        <v>109</v>
      </c>
      <c r="B303" s="16" t="s">
        <v>2287</v>
      </c>
      <c r="C303" s="15" t="s">
        <v>2288</v>
      </c>
      <c r="D303" s="15" t="s">
        <v>2475</v>
      </c>
      <c r="E303" s="15" t="s">
        <v>113</v>
      </c>
      <c r="F303" s="15" t="s">
        <v>2475</v>
      </c>
      <c r="G303" s="15" t="s">
        <v>114</v>
      </c>
      <c r="H303" s="15" t="s">
        <v>4536</v>
      </c>
      <c r="J303" s="18" t="s">
        <v>115</v>
      </c>
      <c r="W303" s="15">
        <v>352</v>
      </c>
      <c r="X303" s="15">
        <v>168</v>
      </c>
      <c r="Y303" s="15" t="s">
        <v>2458</v>
      </c>
      <c r="Z303" s="15" t="s">
        <v>2458</v>
      </c>
      <c r="AA303" s="34" t="s">
        <v>2476</v>
      </c>
      <c r="AB303" s="15" t="s">
        <v>4130</v>
      </c>
      <c r="AC303" s="15" t="s">
        <v>4130</v>
      </c>
      <c r="AD303" s="15" t="s">
        <v>4131</v>
      </c>
      <c r="AE303" s="15" t="s">
        <v>2311</v>
      </c>
      <c r="AF303" s="15" t="s">
        <v>4131</v>
      </c>
      <c r="AG303" s="33" t="s">
        <v>4130</v>
      </c>
      <c r="AH303" s="15" t="s">
        <v>4132</v>
      </c>
      <c r="AL303" s="15" t="s">
        <v>4133</v>
      </c>
      <c r="AN303" s="15">
        <v>3639</v>
      </c>
      <c r="AO303" s="15" t="s">
        <v>4134</v>
      </c>
      <c r="AQ303" s="15" t="s">
        <v>4135</v>
      </c>
      <c r="AT303" s="15" t="s">
        <v>4136</v>
      </c>
      <c r="AU303" s="15" t="s">
        <v>4137</v>
      </c>
      <c r="AV303" s="15" t="s">
        <v>4137</v>
      </c>
      <c r="AW303" s="15" t="s">
        <v>4138</v>
      </c>
      <c r="AX303" s="15" t="s">
        <v>4138</v>
      </c>
      <c r="AY303" s="15">
        <f t="shared" si="9"/>
        <v>45</v>
      </c>
      <c r="AZ303" s="15" t="s">
        <v>4139</v>
      </c>
      <c r="BA303" s="15" t="s">
        <v>4140</v>
      </c>
      <c r="BB303" s="15" t="s">
        <v>4115</v>
      </c>
      <c r="BE303" s="15" t="s">
        <v>2813</v>
      </c>
      <c r="BJ303" s="15" t="s">
        <v>4141</v>
      </c>
      <c r="BN303" s="15" t="s">
        <v>511</v>
      </c>
      <c r="BO303" s="15" t="s">
        <v>4118</v>
      </c>
      <c r="BP303" s="15" t="s">
        <v>346</v>
      </c>
      <c r="BS303" s="15" t="s">
        <v>4142</v>
      </c>
      <c r="DH303" s="15" t="s">
        <v>4597</v>
      </c>
      <c r="DI303" s="15" t="s">
        <v>4597</v>
      </c>
    </row>
    <row r="304" spans="1:113" s="15" customFormat="1" ht="12.75" x14ac:dyDescent="0.2">
      <c r="A304" s="15" t="s">
        <v>109</v>
      </c>
      <c r="B304" s="16" t="s">
        <v>2287</v>
      </c>
      <c r="C304" s="15" t="s">
        <v>2288</v>
      </c>
      <c r="D304" s="15" t="s">
        <v>2475</v>
      </c>
      <c r="E304" s="15" t="s">
        <v>113</v>
      </c>
      <c r="F304" s="15" t="s">
        <v>2475</v>
      </c>
      <c r="G304" s="15" t="s">
        <v>114</v>
      </c>
      <c r="H304" s="15" t="s">
        <v>4536</v>
      </c>
      <c r="J304" s="18" t="s">
        <v>115</v>
      </c>
      <c r="W304" s="15">
        <v>353</v>
      </c>
      <c r="X304" s="15">
        <v>169</v>
      </c>
      <c r="Y304" s="15" t="s">
        <v>2458</v>
      </c>
      <c r="Z304" s="15" t="s">
        <v>2458</v>
      </c>
      <c r="AA304" s="34" t="s">
        <v>2476</v>
      </c>
      <c r="AB304" s="15" t="s">
        <v>4143</v>
      </c>
      <c r="AC304" s="15" t="s">
        <v>4143</v>
      </c>
      <c r="AD304" s="15" t="s">
        <v>4144</v>
      </c>
      <c r="AE304" s="15" t="s">
        <v>2311</v>
      </c>
      <c r="AF304" s="15" t="s">
        <v>4144</v>
      </c>
      <c r="AG304" s="33" t="s">
        <v>4143</v>
      </c>
      <c r="AH304" s="15" t="s">
        <v>4145</v>
      </c>
      <c r="AL304" s="15" t="s">
        <v>4146</v>
      </c>
      <c r="AN304" s="15">
        <v>3639</v>
      </c>
      <c r="AO304" s="15" t="s">
        <v>4147</v>
      </c>
      <c r="AQ304" s="15" t="s">
        <v>4135</v>
      </c>
      <c r="AT304" s="15" t="s">
        <v>4148</v>
      </c>
      <c r="AU304" s="15" t="s">
        <v>4149</v>
      </c>
      <c r="AV304" s="15" t="s">
        <v>4149</v>
      </c>
      <c r="AW304" s="15" t="s">
        <v>4150</v>
      </c>
      <c r="AX304" s="15" t="s">
        <v>4150</v>
      </c>
      <c r="AY304" s="15">
        <f t="shared" si="9"/>
        <v>45</v>
      </c>
      <c r="AZ304" s="15" t="s">
        <v>4139</v>
      </c>
      <c r="BA304" s="15" t="s">
        <v>4140</v>
      </c>
      <c r="BB304" s="15" t="s">
        <v>4128</v>
      </c>
      <c r="BE304" s="15" t="s">
        <v>2813</v>
      </c>
      <c r="BJ304" s="15" t="s">
        <v>4141</v>
      </c>
      <c r="BN304" s="15" t="s">
        <v>511</v>
      </c>
      <c r="BO304" s="15" t="s">
        <v>4118</v>
      </c>
      <c r="BP304" s="15" t="s">
        <v>346</v>
      </c>
      <c r="BS304" s="15" t="s">
        <v>4151</v>
      </c>
      <c r="DH304" s="15" t="s">
        <v>4597</v>
      </c>
      <c r="DI304" s="15" t="s">
        <v>4597</v>
      </c>
    </row>
    <row r="305" spans="1:113" s="15" customFormat="1" ht="12.75" x14ac:dyDescent="0.2">
      <c r="A305" s="15" t="s">
        <v>109</v>
      </c>
      <c r="B305" s="16" t="s">
        <v>2287</v>
      </c>
      <c r="C305" s="15" t="s">
        <v>2288</v>
      </c>
      <c r="D305" s="15" t="s">
        <v>2475</v>
      </c>
      <c r="E305" s="15" t="s">
        <v>113</v>
      </c>
      <c r="F305" s="15" t="s">
        <v>2475</v>
      </c>
      <c r="G305" s="15" t="s">
        <v>114</v>
      </c>
      <c r="H305" s="15" t="s">
        <v>4536</v>
      </c>
      <c r="J305" s="18" t="s">
        <v>115</v>
      </c>
      <c r="W305" s="15">
        <v>354</v>
      </c>
      <c r="X305" s="15">
        <v>170</v>
      </c>
      <c r="Y305" s="15" t="s">
        <v>2458</v>
      </c>
      <c r="Z305" s="15" t="s">
        <v>2458</v>
      </c>
      <c r="AA305" s="34" t="s">
        <v>2476</v>
      </c>
      <c r="AB305" s="15" t="s">
        <v>4152</v>
      </c>
      <c r="AC305" s="15" t="s">
        <v>4152</v>
      </c>
      <c r="AD305" s="15" t="s">
        <v>4153</v>
      </c>
      <c r="AE305" s="15" t="s">
        <v>2311</v>
      </c>
      <c r="AF305" s="15" t="s">
        <v>4153</v>
      </c>
      <c r="AG305" s="33" t="s">
        <v>4152</v>
      </c>
      <c r="AH305" s="15" t="s">
        <v>4154</v>
      </c>
      <c r="AL305" s="15" t="s">
        <v>4155</v>
      </c>
      <c r="AN305" s="15">
        <v>3639</v>
      </c>
      <c r="AO305" s="15" t="s">
        <v>4156</v>
      </c>
      <c r="AQ305" s="15" t="s">
        <v>2437</v>
      </c>
      <c r="AT305" s="15" t="s">
        <v>4157</v>
      </c>
      <c r="AU305" s="15" t="s">
        <v>4158</v>
      </c>
      <c r="AV305" s="15" t="s">
        <v>4158</v>
      </c>
      <c r="AW305" s="15" t="s">
        <v>4159</v>
      </c>
      <c r="AX305" s="15" t="s">
        <v>4159</v>
      </c>
      <c r="AY305" s="15">
        <f t="shared" si="9"/>
        <v>44</v>
      </c>
      <c r="AZ305" s="15" t="s">
        <v>2441</v>
      </c>
      <c r="BA305" s="15" t="s">
        <v>926</v>
      </c>
      <c r="BC305" s="15" t="s">
        <v>4160</v>
      </c>
      <c r="BE305" s="15" t="s">
        <v>4161</v>
      </c>
      <c r="BJ305" s="15" t="s">
        <v>4162</v>
      </c>
      <c r="BR305" s="15" t="s">
        <v>3797</v>
      </c>
      <c r="BS305" s="15" t="s">
        <v>4163</v>
      </c>
      <c r="DH305" s="15" t="s">
        <v>4597</v>
      </c>
      <c r="DI305" s="15" t="s">
        <v>4597</v>
      </c>
    </row>
    <row r="306" spans="1:113" s="15" customFormat="1" ht="12.75" x14ac:dyDescent="0.2">
      <c r="A306" s="15" t="s">
        <v>109</v>
      </c>
      <c r="B306" s="16" t="s">
        <v>2287</v>
      </c>
      <c r="C306" s="15" t="s">
        <v>2288</v>
      </c>
      <c r="D306" s="15" t="s">
        <v>2475</v>
      </c>
      <c r="E306" s="15" t="s">
        <v>113</v>
      </c>
      <c r="F306" s="15" t="s">
        <v>2475</v>
      </c>
      <c r="G306" s="15" t="s">
        <v>114</v>
      </c>
      <c r="H306" s="15" t="s">
        <v>4536</v>
      </c>
      <c r="J306" s="18" t="s">
        <v>115</v>
      </c>
      <c r="W306" s="15">
        <v>355</v>
      </c>
      <c r="X306" s="15">
        <v>171</v>
      </c>
      <c r="Y306" s="15" t="s">
        <v>2458</v>
      </c>
      <c r="Z306" s="15" t="s">
        <v>2458</v>
      </c>
      <c r="AA306" s="34" t="s">
        <v>2476</v>
      </c>
      <c r="AB306" s="15" t="s">
        <v>4164</v>
      </c>
      <c r="AC306" s="15" t="s">
        <v>4164</v>
      </c>
      <c r="AD306" s="15" t="s">
        <v>4165</v>
      </c>
      <c r="AE306" s="15" t="s">
        <v>2311</v>
      </c>
      <c r="AF306" s="15" t="s">
        <v>4165</v>
      </c>
      <c r="AG306" s="33" t="s">
        <v>4164</v>
      </c>
      <c r="AH306" s="15" t="s">
        <v>4166</v>
      </c>
      <c r="AL306" s="15" t="s">
        <v>4167</v>
      </c>
      <c r="AN306" s="15">
        <v>3639</v>
      </c>
      <c r="AO306" s="15" t="s">
        <v>4168</v>
      </c>
      <c r="AQ306" s="15" t="s">
        <v>3814</v>
      </c>
      <c r="AT306" s="15" t="s">
        <v>4169</v>
      </c>
      <c r="AU306" s="15" t="s">
        <v>4170</v>
      </c>
      <c r="AV306" s="15" t="s">
        <v>4170</v>
      </c>
      <c r="AW306" s="15" t="s">
        <v>4171</v>
      </c>
      <c r="AX306" s="15" t="s">
        <v>4171</v>
      </c>
      <c r="AY306" s="15">
        <f t="shared" si="9"/>
        <v>39</v>
      </c>
      <c r="AZ306" s="15" t="s">
        <v>2302</v>
      </c>
      <c r="BA306" s="15" t="s">
        <v>926</v>
      </c>
      <c r="BC306" s="15" t="s">
        <v>3819</v>
      </c>
      <c r="BE306" s="15" t="s">
        <v>4161</v>
      </c>
      <c r="BJ306" s="15" t="s">
        <v>4172</v>
      </c>
      <c r="BR306" s="15" t="s">
        <v>3797</v>
      </c>
      <c r="BS306" s="15" t="s">
        <v>4173</v>
      </c>
      <c r="DH306" s="15" t="s">
        <v>4597</v>
      </c>
      <c r="DI306" s="15" t="s">
        <v>4597</v>
      </c>
    </row>
    <row r="307" spans="1:113" s="15" customFormat="1" ht="12.75" x14ac:dyDescent="0.2">
      <c r="A307" s="15" t="s">
        <v>109</v>
      </c>
      <c r="B307" s="16" t="s">
        <v>2287</v>
      </c>
      <c r="C307" s="15" t="s">
        <v>2288</v>
      </c>
      <c r="D307" s="15" t="s">
        <v>2475</v>
      </c>
      <c r="E307" s="15" t="s">
        <v>113</v>
      </c>
      <c r="F307" s="15" t="s">
        <v>2475</v>
      </c>
      <c r="G307" s="15" t="s">
        <v>114</v>
      </c>
      <c r="H307" s="15" t="s">
        <v>4536</v>
      </c>
      <c r="J307" s="18" t="s">
        <v>115</v>
      </c>
      <c r="W307" s="15">
        <v>356</v>
      </c>
      <c r="X307" s="15">
        <v>172</v>
      </c>
      <c r="Y307" s="15" t="s">
        <v>2458</v>
      </c>
      <c r="Z307" s="15" t="s">
        <v>2458</v>
      </c>
      <c r="AA307" s="34" t="s">
        <v>2476</v>
      </c>
      <c r="AB307" s="15" t="s">
        <v>4174</v>
      </c>
      <c r="AC307" s="15" t="s">
        <v>4174</v>
      </c>
      <c r="AD307" s="15" t="s">
        <v>4175</v>
      </c>
      <c r="AE307" s="15" t="s">
        <v>2311</v>
      </c>
      <c r="AF307" s="15" t="s">
        <v>4175</v>
      </c>
      <c r="AG307" s="33" t="s">
        <v>4174</v>
      </c>
      <c r="AH307" s="15" t="s">
        <v>4176</v>
      </c>
      <c r="AL307" s="15" t="s">
        <v>4177</v>
      </c>
      <c r="AN307" s="15">
        <v>3639</v>
      </c>
      <c r="AO307" s="15" t="s">
        <v>4178</v>
      </c>
      <c r="AQ307" s="15" t="s">
        <v>2437</v>
      </c>
      <c r="AT307" s="15" t="s">
        <v>4179</v>
      </c>
      <c r="AU307" s="15" t="s">
        <v>4180</v>
      </c>
      <c r="AV307" s="15" t="s">
        <v>4180</v>
      </c>
      <c r="AW307" s="15" t="s">
        <v>4181</v>
      </c>
      <c r="AX307" s="15" t="s">
        <v>4181</v>
      </c>
      <c r="AY307" s="15">
        <f t="shared" si="9"/>
        <v>42</v>
      </c>
      <c r="AZ307" s="15" t="s">
        <v>2441</v>
      </c>
      <c r="BA307" s="15" t="s">
        <v>926</v>
      </c>
      <c r="BC307" s="15" t="s">
        <v>4160</v>
      </c>
      <c r="BE307" s="15" t="s">
        <v>3461</v>
      </c>
      <c r="BJ307" s="15" t="s">
        <v>4162</v>
      </c>
      <c r="BR307" s="15" t="s">
        <v>3797</v>
      </c>
      <c r="BS307" s="15" t="s">
        <v>4182</v>
      </c>
      <c r="DH307" s="15" t="s">
        <v>4597</v>
      </c>
      <c r="DI307" s="15" t="s">
        <v>4597</v>
      </c>
    </row>
    <row r="308" spans="1:113" s="15" customFormat="1" ht="12.75" x14ac:dyDescent="0.2">
      <c r="A308" s="15" t="s">
        <v>109</v>
      </c>
      <c r="B308" s="16" t="s">
        <v>2287</v>
      </c>
      <c r="C308" s="15" t="s">
        <v>2288</v>
      </c>
      <c r="D308" s="15" t="s">
        <v>2475</v>
      </c>
      <c r="E308" s="15" t="s">
        <v>113</v>
      </c>
      <c r="F308" s="15" t="s">
        <v>2475</v>
      </c>
      <c r="G308" s="15" t="s">
        <v>114</v>
      </c>
      <c r="H308" s="15" t="s">
        <v>4536</v>
      </c>
      <c r="J308" s="18" t="s">
        <v>115</v>
      </c>
      <c r="W308" s="15">
        <v>357</v>
      </c>
      <c r="X308" s="15">
        <v>173</v>
      </c>
      <c r="Y308" s="15" t="s">
        <v>2458</v>
      </c>
      <c r="Z308" s="15" t="s">
        <v>2458</v>
      </c>
      <c r="AA308" s="34" t="s">
        <v>2476</v>
      </c>
      <c r="AB308" s="15" t="s">
        <v>4183</v>
      </c>
      <c r="AC308" s="15" t="s">
        <v>4183</v>
      </c>
      <c r="AD308" s="15" t="s">
        <v>4184</v>
      </c>
      <c r="AE308" s="15" t="s">
        <v>2311</v>
      </c>
      <c r="AF308" s="15" t="s">
        <v>4184</v>
      </c>
      <c r="AG308" s="33" t="s">
        <v>4183</v>
      </c>
      <c r="AH308" s="15" t="s">
        <v>4185</v>
      </c>
      <c r="AL308" s="15" t="s">
        <v>4186</v>
      </c>
      <c r="AN308" s="15">
        <v>3639</v>
      </c>
      <c r="AO308" s="15" t="s">
        <v>4187</v>
      </c>
      <c r="AQ308" s="15" t="s">
        <v>3814</v>
      </c>
      <c r="AT308" s="15" t="s">
        <v>4188</v>
      </c>
      <c r="AU308" s="15" t="s">
        <v>4189</v>
      </c>
      <c r="AV308" s="15" t="s">
        <v>4189</v>
      </c>
      <c r="AW308" s="15" t="s">
        <v>4190</v>
      </c>
      <c r="AX308" s="15" t="s">
        <v>4190</v>
      </c>
      <c r="AY308" s="15">
        <f t="shared" ref="AY308:AY339" si="10">LEN(SUBSTITUTE(AX308, ", "," "))</f>
        <v>37</v>
      </c>
      <c r="AZ308" s="15" t="s">
        <v>2302</v>
      </c>
      <c r="BA308" s="15" t="s">
        <v>926</v>
      </c>
      <c r="BC308" s="15" t="s">
        <v>3819</v>
      </c>
      <c r="BE308" s="15" t="s">
        <v>3461</v>
      </c>
      <c r="BJ308" s="15" t="s">
        <v>4172</v>
      </c>
      <c r="BR308" s="15" t="s">
        <v>3797</v>
      </c>
      <c r="BS308" s="15" t="s">
        <v>4191</v>
      </c>
      <c r="DH308" s="15" t="s">
        <v>4597</v>
      </c>
      <c r="DI308" s="15" t="s">
        <v>4597</v>
      </c>
    </row>
    <row r="309" spans="1:113" s="15" customFormat="1" ht="12.75" x14ac:dyDescent="0.2">
      <c r="A309" s="15" t="s">
        <v>109</v>
      </c>
      <c r="B309" s="16" t="s">
        <v>2287</v>
      </c>
      <c r="C309" s="15" t="s">
        <v>2288</v>
      </c>
      <c r="D309" s="15" t="s">
        <v>2475</v>
      </c>
      <c r="E309" s="15" t="s">
        <v>113</v>
      </c>
      <c r="F309" s="15" t="s">
        <v>2475</v>
      </c>
      <c r="G309" s="15" t="s">
        <v>114</v>
      </c>
      <c r="H309" s="15" t="s">
        <v>4536</v>
      </c>
      <c r="J309" s="18" t="s">
        <v>115</v>
      </c>
      <c r="W309" s="15">
        <v>358</v>
      </c>
      <c r="X309" s="15">
        <v>174</v>
      </c>
      <c r="Y309" s="15" t="s">
        <v>2458</v>
      </c>
      <c r="Z309" s="15" t="s">
        <v>2458</v>
      </c>
      <c r="AA309" s="34" t="s">
        <v>2476</v>
      </c>
      <c r="AB309" s="15" t="s">
        <v>4192</v>
      </c>
      <c r="AC309" s="15" t="s">
        <v>4192</v>
      </c>
      <c r="AD309" s="15" t="s">
        <v>4193</v>
      </c>
      <c r="AE309" s="15" t="s">
        <v>2311</v>
      </c>
      <c r="AF309" s="15" t="s">
        <v>4193</v>
      </c>
      <c r="AG309" s="33" t="s">
        <v>4192</v>
      </c>
      <c r="AH309" s="15" t="s">
        <v>4194</v>
      </c>
      <c r="AL309" s="15" t="s">
        <v>4195</v>
      </c>
      <c r="AN309" s="15">
        <v>3639</v>
      </c>
      <c r="AO309" s="15" t="s">
        <v>4196</v>
      </c>
      <c r="AQ309" s="15" t="s">
        <v>3814</v>
      </c>
      <c r="AT309" s="15" t="s">
        <v>4197</v>
      </c>
      <c r="AU309" s="15" t="s">
        <v>4198</v>
      </c>
      <c r="AV309" s="15" t="s">
        <v>4198</v>
      </c>
      <c r="AW309" s="15" t="s">
        <v>4199</v>
      </c>
      <c r="AX309" s="15" t="s">
        <v>4200</v>
      </c>
      <c r="AY309" s="15">
        <f t="shared" si="10"/>
        <v>57</v>
      </c>
      <c r="AZ309" s="15" t="s">
        <v>2302</v>
      </c>
      <c r="BA309" s="15" t="s">
        <v>926</v>
      </c>
      <c r="BB309" s="15" t="s">
        <v>4201</v>
      </c>
      <c r="BC309" s="15" t="s">
        <v>3857</v>
      </c>
      <c r="BE309" s="15" t="s">
        <v>3461</v>
      </c>
      <c r="BJ309" s="15" t="s">
        <v>4202</v>
      </c>
      <c r="BM309" s="15" t="s">
        <v>461</v>
      </c>
      <c r="BN309" s="15" t="s">
        <v>511</v>
      </c>
      <c r="BP309" s="15" t="s">
        <v>346</v>
      </c>
      <c r="BR309" s="15" t="s">
        <v>3797</v>
      </c>
      <c r="BS309" s="15" t="s">
        <v>4203</v>
      </c>
      <c r="DH309" s="15" t="s">
        <v>4597</v>
      </c>
      <c r="DI309" s="15" t="s">
        <v>4597</v>
      </c>
    </row>
    <row r="310" spans="1:113" s="15" customFormat="1" ht="12.75" x14ac:dyDescent="0.2">
      <c r="A310" s="15" t="s">
        <v>109</v>
      </c>
      <c r="B310" s="16" t="s">
        <v>2287</v>
      </c>
      <c r="C310" s="15" t="s">
        <v>2288</v>
      </c>
      <c r="D310" s="15" t="s">
        <v>2475</v>
      </c>
      <c r="E310" s="15" t="s">
        <v>113</v>
      </c>
      <c r="F310" s="15" t="s">
        <v>2475</v>
      </c>
      <c r="G310" s="15" t="s">
        <v>114</v>
      </c>
      <c r="H310" s="15" t="s">
        <v>4536</v>
      </c>
      <c r="J310" s="18" t="s">
        <v>115</v>
      </c>
      <c r="W310" s="15">
        <v>359</v>
      </c>
      <c r="X310" s="15">
        <v>175</v>
      </c>
      <c r="Y310" s="15" t="s">
        <v>2458</v>
      </c>
      <c r="Z310" s="15" t="s">
        <v>2458</v>
      </c>
      <c r="AA310" s="34" t="s">
        <v>2476</v>
      </c>
      <c r="AB310" s="15" t="s">
        <v>4204</v>
      </c>
      <c r="AC310" s="15" t="s">
        <v>4204</v>
      </c>
      <c r="AD310" s="15" t="s">
        <v>4205</v>
      </c>
      <c r="AE310" s="15" t="s">
        <v>2311</v>
      </c>
      <c r="AF310" s="15" t="s">
        <v>4205</v>
      </c>
      <c r="AG310" s="33" t="s">
        <v>4204</v>
      </c>
      <c r="AH310" s="15" t="s">
        <v>4206</v>
      </c>
      <c r="AL310" s="15" t="s">
        <v>4207</v>
      </c>
      <c r="AN310" s="15">
        <v>3639</v>
      </c>
      <c r="AO310" s="15" t="s">
        <v>4208</v>
      </c>
      <c r="AQ310" s="15" t="s">
        <v>3814</v>
      </c>
      <c r="AT310" s="15" t="s">
        <v>4209</v>
      </c>
      <c r="AU310" s="15" t="s">
        <v>4210</v>
      </c>
      <c r="AV310" s="15" t="s">
        <v>4210</v>
      </c>
      <c r="AW310" s="15" t="s">
        <v>4211</v>
      </c>
      <c r="AX310" s="15" t="s">
        <v>4212</v>
      </c>
      <c r="AY310" s="15">
        <f t="shared" si="10"/>
        <v>57</v>
      </c>
      <c r="AZ310" s="15" t="s">
        <v>2302</v>
      </c>
      <c r="BA310" s="15" t="s">
        <v>926</v>
      </c>
      <c r="BB310" s="15" t="s">
        <v>4201</v>
      </c>
      <c r="BC310" s="15" t="s">
        <v>4213</v>
      </c>
      <c r="BE310" s="15" t="s">
        <v>3461</v>
      </c>
      <c r="BJ310" s="15" t="s">
        <v>4202</v>
      </c>
      <c r="BM310" s="15" t="s">
        <v>461</v>
      </c>
      <c r="BN310" s="15" t="s">
        <v>511</v>
      </c>
      <c r="BP310" s="15" t="s">
        <v>346</v>
      </c>
      <c r="BR310" s="15" t="s">
        <v>3797</v>
      </c>
      <c r="BS310" s="15" t="s">
        <v>4214</v>
      </c>
      <c r="DH310" s="15" t="s">
        <v>4597</v>
      </c>
      <c r="DI310" s="15" t="s">
        <v>4597</v>
      </c>
    </row>
    <row r="311" spans="1:113" s="15" customFormat="1" ht="12.75" x14ac:dyDescent="0.2">
      <c r="A311" s="15" t="s">
        <v>109</v>
      </c>
      <c r="B311" s="16" t="s">
        <v>2287</v>
      </c>
      <c r="C311" s="15" t="s">
        <v>2288</v>
      </c>
      <c r="D311" s="15" t="s">
        <v>2475</v>
      </c>
      <c r="E311" s="15" t="s">
        <v>113</v>
      </c>
      <c r="F311" s="15" t="s">
        <v>2475</v>
      </c>
      <c r="G311" s="15" t="s">
        <v>114</v>
      </c>
      <c r="H311" s="15" t="s">
        <v>4536</v>
      </c>
      <c r="J311" s="18" t="s">
        <v>115</v>
      </c>
      <c r="W311" s="15">
        <v>371</v>
      </c>
      <c r="X311" s="15">
        <v>187</v>
      </c>
      <c r="Y311" s="15" t="s">
        <v>2458</v>
      </c>
      <c r="Z311" s="15" t="s">
        <v>2458</v>
      </c>
      <c r="AA311" s="34" t="s">
        <v>2476</v>
      </c>
      <c r="AB311" s="15" t="s">
        <v>4341</v>
      </c>
      <c r="AC311" s="15" t="s">
        <v>4341</v>
      </c>
      <c r="AD311" s="15" t="s">
        <v>4342</v>
      </c>
      <c r="AE311" s="15" t="s">
        <v>2311</v>
      </c>
      <c r="AF311" s="15" t="s">
        <v>4342</v>
      </c>
      <c r="AG311" s="33" t="s">
        <v>4341</v>
      </c>
      <c r="AH311" s="15" t="s">
        <v>4343</v>
      </c>
      <c r="AL311" s="15" t="s">
        <v>4344</v>
      </c>
      <c r="AN311" s="15">
        <v>3639</v>
      </c>
      <c r="AO311" s="15" t="s">
        <v>4345</v>
      </c>
      <c r="AQ311" s="15" t="s">
        <v>4346</v>
      </c>
      <c r="AT311" s="15" t="s">
        <v>4347</v>
      </c>
      <c r="AU311" s="15" t="s">
        <v>4348</v>
      </c>
      <c r="AV311" s="15" t="s">
        <v>4348</v>
      </c>
      <c r="AW311" s="15" t="s">
        <v>4349</v>
      </c>
      <c r="AX311" s="15" t="s">
        <v>4349</v>
      </c>
      <c r="AY311" s="15">
        <f t="shared" si="10"/>
        <v>36</v>
      </c>
      <c r="AZ311" s="15" t="s">
        <v>4350</v>
      </c>
      <c r="BA311" s="15" t="s">
        <v>4237</v>
      </c>
      <c r="BE311" s="15" t="s">
        <v>4238</v>
      </c>
      <c r="BJ311" s="15" t="s">
        <v>4351</v>
      </c>
      <c r="BR311" s="15" t="s">
        <v>3797</v>
      </c>
      <c r="BS311" s="15" t="s">
        <v>4352</v>
      </c>
      <c r="DH311" s="15" t="s">
        <v>4597</v>
      </c>
      <c r="DI311" s="15" t="s">
        <v>4597</v>
      </c>
    </row>
    <row r="312" spans="1:113" s="15" customFormat="1" ht="12.75" x14ac:dyDescent="0.2">
      <c r="A312" s="15" t="s">
        <v>109</v>
      </c>
      <c r="B312" s="16" t="s">
        <v>2287</v>
      </c>
      <c r="C312" s="15" t="s">
        <v>2288</v>
      </c>
      <c r="D312" s="15" t="s">
        <v>2475</v>
      </c>
      <c r="E312" s="15" t="s">
        <v>113</v>
      </c>
      <c r="F312" s="15" t="s">
        <v>2475</v>
      </c>
      <c r="G312" s="15" t="s">
        <v>114</v>
      </c>
      <c r="H312" s="15" t="s">
        <v>4536</v>
      </c>
      <c r="J312" s="18" t="s">
        <v>115</v>
      </c>
      <c r="W312" s="15">
        <v>373</v>
      </c>
      <c r="X312" s="15">
        <v>189</v>
      </c>
      <c r="Y312" s="15" t="s">
        <v>2458</v>
      </c>
      <c r="Z312" s="15" t="s">
        <v>2458</v>
      </c>
      <c r="AA312" s="34" t="s">
        <v>2476</v>
      </c>
      <c r="AB312" s="15" t="s">
        <v>4364</v>
      </c>
      <c r="AC312" s="15" t="s">
        <v>4364</v>
      </c>
      <c r="AD312" s="15" t="s">
        <v>4365</v>
      </c>
      <c r="AE312" s="15" t="s">
        <v>2311</v>
      </c>
      <c r="AF312" s="15" t="s">
        <v>4365</v>
      </c>
      <c r="AG312" s="33" t="s">
        <v>4364</v>
      </c>
      <c r="AH312" s="15" t="s">
        <v>4366</v>
      </c>
      <c r="AL312" s="15" t="s">
        <v>4367</v>
      </c>
      <c r="AN312" s="15">
        <v>3639</v>
      </c>
      <c r="AO312" s="15" t="s">
        <v>4368</v>
      </c>
      <c r="AQ312" s="15" t="s">
        <v>4369</v>
      </c>
      <c r="AT312" s="15" t="s">
        <v>4370</v>
      </c>
      <c r="AU312" s="15" t="s">
        <v>4371</v>
      </c>
      <c r="AV312" s="15" t="s">
        <v>4371</v>
      </c>
      <c r="AW312" s="15" t="s">
        <v>4372</v>
      </c>
      <c r="AX312" s="15" t="s">
        <v>4372</v>
      </c>
      <c r="AY312" s="15">
        <f t="shared" si="10"/>
        <v>60</v>
      </c>
      <c r="AZ312" s="15" t="s">
        <v>4140</v>
      </c>
      <c r="BA312" s="15" t="s">
        <v>4237</v>
      </c>
      <c r="BB312" s="15" t="s">
        <v>4373</v>
      </c>
      <c r="BE312" s="15" t="s">
        <v>4374</v>
      </c>
      <c r="BF312" s="15" t="s">
        <v>4375</v>
      </c>
      <c r="BJ312" s="15" t="s">
        <v>4376</v>
      </c>
      <c r="BN312" s="15" t="s">
        <v>511</v>
      </c>
      <c r="BP312" s="15" t="s">
        <v>346</v>
      </c>
      <c r="BR312" s="15" t="s">
        <v>4377</v>
      </c>
      <c r="BS312" s="15" t="s">
        <v>4378</v>
      </c>
      <c r="DH312" s="15" t="s">
        <v>4597</v>
      </c>
      <c r="DI312" s="15" t="s">
        <v>4597</v>
      </c>
    </row>
    <row r="313" spans="1:113" s="15" customFormat="1" ht="12.75" x14ac:dyDescent="0.2">
      <c r="A313" s="15" t="s">
        <v>109</v>
      </c>
      <c r="B313" s="16" t="s">
        <v>2287</v>
      </c>
      <c r="C313" s="15" t="s">
        <v>2288</v>
      </c>
      <c r="D313" s="15" t="s">
        <v>2475</v>
      </c>
      <c r="E313" s="15" t="s">
        <v>113</v>
      </c>
      <c r="F313" s="15" t="s">
        <v>2475</v>
      </c>
      <c r="G313" s="15" t="s">
        <v>114</v>
      </c>
      <c r="H313" s="15" t="s">
        <v>4536</v>
      </c>
      <c r="J313" s="18" t="s">
        <v>115</v>
      </c>
      <c r="W313" s="15">
        <v>375</v>
      </c>
      <c r="X313" s="15">
        <v>191</v>
      </c>
      <c r="Y313" s="15" t="s">
        <v>2458</v>
      </c>
      <c r="Z313" s="15" t="s">
        <v>2458</v>
      </c>
      <c r="AA313" s="34" t="s">
        <v>2476</v>
      </c>
      <c r="AB313" s="15" t="s">
        <v>4389</v>
      </c>
      <c r="AC313" s="15" t="s">
        <v>4389</v>
      </c>
      <c r="AD313" s="15" t="s">
        <v>4390</v>
      </c>
      <c r="AE313" s="15" t="s">
        <v>2311</v>
      </c>
      <c r="AF313" s="15" t="s">
        <v>4390</v>
      </c>
      <c r="AG313" s="33" t="s">
        <v>4389</v>
      </c>
      <c r="AH313" s="15" t="s">
        <v>4391</v>
      </c>
      <c r="AL313" s="15" t="s">
        <v>4392</v>
      </c>
      <c r="AN313" s="15">
        <v>3639</v>
      </c>
      <c r="AO313" s="15" t="s">
        <v>4393</v>
      </c>
      <c r="AQ313" s="15" t="s">
        <v>4394</v>
      </c>
      <c r="AT313" s="15" t="s">
        <v>4395</v>
      </c>
      <c r="AU313" s="15" t="s">
        <v>4396</v>
      </c>
      <c r="AV313" s="15" t="s">
        <v>4396</v>
      </c>
      <c r="AW313" s="15" t="s">
        <v>4397</v>
      </c>
      <c r="AX313" s="15" t="s">
        <v>4397</v>
      </c>
      <c r="AY313" s="15">
        <f t="shared" si="10"/>
        <v>40</v>
      </c>
      <c r="AZ313" s="15" t="s">
        <v>1259</v>
      </c>
      <c r="BA313" s="15" t="s">
        <v>4237</v>
      </c>
      <c r="BB313" s="16" t="s">
        <v>4398</v>
      </c>
      <c r="BE313" s="15" t="s">
        <v>4399</v>
      </c>
      <c r="BN313" s="15" t="s">
        <v>511</v>
      </c>
      <c r="BP313" s="15" t="s">
        <v>346</v>
      </c>
      <c r="BR313" s="15" t="s">
        <v>4400</v>
      </c>
      <c r="BS313" s="15" t="s">
        <v>4401</v>
      </c>
      <c r="DH313" s="15" t="s">
        <v>4597</v>
      </c>
      <c r="DI313" s="15" t="s">
        <v>4597</v>
      </c>
    </row>
    <row r="314" spans="1:113" s="15" customFormat="1" ht="12.75" x14ac:dyDescent="0.2">
      <c r="A314" s="15" t="s">
        <v>109</v>
      </c>
      <c r="B314" s="16" t="s">
        <v>2287</v>
      </c>
      <c r="C314" s="15" t="s">
        <v>2288</v>
      </c>
      <c r="D314" s="15" t="s">
        <v>2475</v>
      </c>
      <c r="E314" s="15" t="s">
        <v>113</v>
      </c>
      <c r="F314" s="15" t="s">
        <v>2475</v>
      </c>
      <c r="G314" s="15" t="s">
        <v>114</v>
      </c>
      <c r="H314" s="15" t="s">
        <v>4536</v>
      </c>
      <c r="J314" s="18" t="s">
        <v>115</v>
      </c>
      <c r="W314" s="15">
        <v>204</v>
      </c>
      <c r="X314" s="15">
        <v>20</v>
      </c>
      <c r="Y314" s="15" t="s">
        <v>2458</v>
      </c>
      <c r="Z314" s="15" t="s">
        <v>2458</v>
      </c>
      <c r="AA314" s="34" t="s">
        <v>2476</v>
      </c>
      <c r="AB314" s="15" t="s">
        <v>2477</v>
      </c>
      <c r="AC314" s="15" t="s">
        <v>2477</v>
      </c>
      <c r="AD314" s="15" t="s">
        <v>2478</v>
      </c>
      <c r="AE314" s="15" t="s">
        <v>2311</v>
      </c>
      <c r="AF314" s="15" t="s">
        <v>2478</v>
      </c>
      <c r="AG314" s="33" t="s">
        <v>2477</v>
      </c>
      <c r="AH314" s="15" t="s">
        <v>2479</v>
      </c>
      <c r="AL314" s="15" t="s">
        <v>2480</v>
      </c>
      <c r="AN314" s="15">
        <v>3639</v>
      </c>
      <c r="AO314" s="15" t="s">
        <v>2481</v>
      </c>
      <c r="AQ314" s="15" t="s">
        <v>2437</v>
      </c>
      <c r="AT314" s="15" t="s">
        <v>2482</v>
      </c>
      <c r="AU314" s="15" t="s">
        <v>2483</v>
      </c>
      <c r="AV314" s="15" t="s">
        <v>2483</v>
      </c>
      <c r="AW314" s="15" t="s">
        <v>2484</v>
      </c>
      <c r="AX314" s="15" t="s">
        <v>2485</v>
      </c>
      <c r="AY314" s="15">
        <f t="shared" si="10"/>
        <v>58</v>
      </c>
      <c r="AZ314" s="15" t="s">
        <v>2486</v>
      </c>
      <c r="BB314" s="15" t="s">
        <v>2487</v>
      </c>
      <c r="BC314" s="15" t="s">
        <v>2488</v>
      </c>
      <c r="BE314" s="15" t="s">
        <v>2489</v>
      </c>
      <c r="BJ314" s="15" t="s">
        <v>2490</v>
      </c>
      <c r="BN314" s="15" t="s">
        <v>138</v>
      </c>
      <c r="BO314" s="15" t="s">
        <v>2491</v>
      </c>
      <c r="BP314" s="15" t="s">
        <v>346</v>
      </c>
      <c r="BQ314" s="15" t="s">
        <v>258</v>
      </c>
      <c r="BR314" s="15" t="s">
        <v>2492</v>
      </c>
      <c r="BS314" s="15" t="s">
        <v>2493</v>
      </c>
      <c r="DH314" s="15" t="s">
        <v>4597</v>
      </c>
      <c r="DI314" s="15" t="s">
        <v>4597</v>
      </c>
    </row>
    <row r="315" spans="1:113" s="15" customFormat="1" ht="12.75" x14ac:dyDescent="0.2">
      <c r="A315" s="15" t="s">
        <v>109</v>
      </c>
      <c r="B315" s="16" t="s">
        <v>2287</v>
      </c>
      <c r="C315" s="15" t="s">
        <v>2288</v>
      </c>
      <c r="D315" s="15" t="s">
        <v>2475</v>
      </c>
      <c r="E315" s="15" t="s">
        <v>113</v>
      </c>
      <c r="F315" s="15" t="s">
        <v>2475</v>
      </c>
      <c r="G315" s="15" t="s">
        <v>114</v>
      </c>
      <c r="H315" s="15" t="s">
        <v>4536</v>
      </c>
      <c r="J315" s="18" t="s">
        <v>115</v>
      </c>
      <c r="W315" s="15">
        <v>205</v>
      </c>
      <c r="X315" s="15">
        <v>21</v>
      </c>
      <c r="Y315" s="15" t="s">
        <v>2458</v>
      </c>
      <c r="Z315" s="15" t="s">
        <v>2458</v>
      </c>
      <c r="AA315" s="34" t="s">
        <v>2476</v>
      </c>
      <c r="AB315" s="15" t="s">
        <v>2494</v>
      </c>
      <c r="AC315" s="15" t="s">
        <v>2494</v>
      </c>
      <c r="AD315" s="15" t="s">
        <v>2495</v>
      </c>
      <c r="AE315" s="15" t="s">
        <v>2311</v>
      </c>
      <c r="AF315" s="15" t="s">
        <v>2495</v>
      </c>
      <c r="AG315" s="33" t="s">
        <v>2494</v>
      </c>
      <c r="AH315" s="15" t="s">
        <v>2496</v>
      </c>
      <c r="AL315" s="15" t="s">
        <v>2497</v>
      </c>
      <c r="AN315" s="15">
        <v>3639</v>
      </c>
      <c r="AO315" s="15" t="s">
        <v>2498</v>
      </c>
      <c r="AQ315" s="15" t="s">
        <v>2437</v>
      </c>
      <c r="AT315" s="15" t="s">
        <v>2499</v>
      </c>
      <c r="AU315" s="15" t="s">
        <v>2500</v>
      </c>
      <c r="AV315" s="15" t="s">
        <v>2500</v>
      </c>
      <c r="AW315" s="15" t="s">
        <v>2501</v>
      </c>
      <c r="AX315" s="15" t="s">
        <v>2502</v>
      </c>
      <c r="AY315" s="15">
        <f t="shared" si="10"/>
        <v>55</v>
      </c>
      <c r="AZ315" s="15" t="s">
        <v>2486</v>
      </c>
      <c r="BB315" s="15" t="s">
        <v>2487</v>
      </c>
      <c r="BC315" s="15" t="s">
        <v>2503</v>
      </c>
      <c r="BE315" s="15" t="s">
        <v>2442</v>
      </c>
      <c r="BJ315" s="15" t="s">
        <v>2490</v>
      </c>
      <c r="BN315" s="15" t="s">
        <v>138</v>
      </c>
      <c r="BO315" s="15" t="s">
        <v>2491</v>
      </c>
      <c r="BP315" s="15" t="s">
        <v>346</v>
      </c>
      <c r="BQ315" s="15" t="s">
        <v>258</v>
      </c>
      <c r="BR315" s="15" t="s">
        <v>2504</v>
      </c>
      <c r="BS315" s="15" t="s">
        <v>2505</v>
      </c>
      <c r="DH315" s="15" t="s">
        <v>4597</v>
      </c>
      <c r="DI315" s="15" t="s">
        <v>4597</v>
      </c>
    </row>
    <row r="316" spans="1:113" s="15" customFormat="1" ht="12.75" x14ac:dyDescent="0.2">
      <c r="A316" s="15" t="s">
        <v>109</v>
      </c>
      <c r="B316" s="16" t="s">
        <v>2287</v>
      </c>
      <c r="C316" s="15" t="s">
        <v>2288</v>
      </c>
      <c r="D316" s="15" t="s">
        <v>2475</v>
      </c>
      <c r="E316" s="15" t="s">
        <v>113</v>
      </c>
      <c r="F316" s="15" t="s">
        <v>2475</v>
      </c>
      <c r="G316" s="15" t="s">
        <v>114</v>
      </c>
      <c r="H316" s="15" t="s">
        <v>4536</v>
      </c>
      <c r="J316" s="18" t="s">
        <v>115</v>
      </c>
      <c r="W316" s="15">
        <v>206</v>
      </c>
      <c r="X316" s="15">
        <v>22</v>
      </c>
      <c r="Y316" s="15" t="s">
        <v>2458</v>
      </c>
      <c r="Z316" s="15" t="s">
        <v>2458</v>
      </c>
      <c r="AA316" s="34" t="s">
        <v>2476</v>
      </c>
      <c r="AB316" s="15" t="s">
        <v>2506</v>
      </c>
      <c r="AC316" s="15" t="s">
        <v>2506</v>
      </c>
      <c r="AD316" s="15" t="s">
        <v>2507</v>
      </c>
      <c r="AE316" s="15" t="s">
        <v>2311</v>
      </c>
      <c r="AF316" s="15" t="s">
        <v>2507</v>
      </c>
      <c r="AG316" s="33" t="s">
        <v>2506</v>
      </c>
      <c r="AH316" s="15" t="s">
        <v>2508</v>
      </c>
      <c r="AL316" s="15" t="s">
        <v>2509</v>
      </c>
      <c r="AN316" s="15">
        <v>3639</v>
      </c>
      <c r="AO316" s="15" t="s">
        <v>2510</v>
      </c>
      <c r="AQ316" s="15" t="s">
        <v>2437</v>
      </c>
      <c r="AT316" s="15" t="s">
        <v>2511</v>
      </c>
      <c r="AU316" s="15" t="s">
        <v>2512</v>
      </c>
      <c r="AV316" s="15" t="s">
        <v>2512</v>
      </c>
      <c r="AW316" s="15" t="s">
        <v>2513</v>
      </c>
      <c r="AX316" s="15" t="s">
        <v>2514</v>
      </c>
      <c r="AY316" s="15">
        <f t="shared" si="10"/>
        <v>56</v>
      </c>
      <c r="AZ316" s="15" t="s">
        <v>2486</v>
      </c>
      <c r="BB316" s="15" t="s">
        <v>2487</v>
      </c>
      <c r="BC316" s="15" t="s">
        <v>2515</v>
      </c>
      <c r="BE316" s="15" t="s">
        <v>2516</v>
      </c>
      <c r="BJ316" s="15" t="s">
        <v>2490</v>
      </c>
      <c r="BN316" s="15" t="s">
        <v>138</v>
      </c>
      <c r="BO316" s="15" t="s">
        <v>2491</v>
      </c>
      <c r="BP316" s="15" t="s">
        <v>346</v>
      </c>
      <c r="BQ316" s="15" t="s">
        <v>258</v>
      </c>
      <c r="BR316" s="15" t="s">
        <v>2517</v>
      </c>
      <c r="BS316" s="15" t="s">
        <v>2518</v>
      </c>
      <c r="DH316" s="15" t="s">
        <v>4597</v>
      </c>
      <c r="DI316" s="15" t="s">
        <v>4597</v>
      </c>
    </row>
    <row r="317" spans="1:113" s="15" customFormat="1" ht="12.75" x14ac:dyDescent="0.2">
      <c r="A317" s="15" t="s">
        <v>109</v>
      </c>
      <c r="B317" s="16" t="s">
        <v>2287</v>
      </c>
      <c r="C317" s="15" t="s">
        <v>2288</v>
      </c>
      <c r="D317" s="15" t="s">
        <v>2475</v>
      </c>
      <c r="E317" s="15" t="s">
        <v>113</v>
      </c>
      <c r="F317" s="15" t="s">
        <v>2475</v>
      </c>
      <c r="G317" s="15" t="s">
        <v>114</v>
      </c>
      <c r="H317" s="15" t="s">
        <v>4536</v>
      </c>
      <c r="J317" s="18" t="s">
        <v>115</v>
      </c>
      <c r="W317" s="15">
        <v>207</v>
      </c>
      <c r="X317" s="15">
        <v>23</v>
      </c>
      <c r="Y317" s="15" t="s">
        <v>2458</v>
      </c>
      <c r="Z317" s="15" t="s">
        <v>2458</v>
      </c>
      <c r="AA317" s="34" t="s">
        <v>2476</v>
      </c>
      <c r="AB317" s="15" t="s">
        <v>2519</v>
      </c>
      <c r="AC317" s="15" t="s">
        <v>2519</v>
      </c>
      <c r="AD317" s="15" t="s">
        <v>2520</v>
      </c>
      <c r="AE317" s="15" t="s">
        <v>2311</v>
      </c>
      <c r="AF317" s="15" t="s">
        <v>2520</v>
      </c>
      <c r="AG317" s="33" t="s">
        <v>2519</v>
      </c>
      <c r="AH317" s="15" t="s">
        <v>2521</v>
      </c>
      <c r="AL317" s="15" t="s">
        <v>2522</v>
      </c>
      <c r="AN317" s="15">
        <v>3639</v>
      </c>
      <c r="AO317" s="15" t="s">
        <v>2523</v>
      </c>
      <c r="AQ317" s="15" t="s">
        <v>2524</v>
      </c>
      <c r="AT317" s="15" t="s">
        <v>2525</v>
      </c>
      <c r="AU317" s="15" t="s">
        <v>2526</v>
      </c>
      <c r="AV317" s="15" t="s">
        <v>2526</v>
      </c>
      <c r="AW317" s="15" t="s">
        <v>2527</v>
      </c>
      <c r="AX317" s="15" t="s">
        <v>2527</v>
      </c>
      <c r="AY317" s="15">
        <f t="shared" si="10"/>
        <v>49</v>
      </c>
      <c r="AZ317" s="15" t="s">
        <v>2528</v>
      </c>
      <c r="BA317" s="15" t="s">
        <v>2529</v>
      </c>
      <c r="BJ317" s="15" t="s">
        <v>2530</v>
      </c>
      <c r="BN317" s="15" t="s">
        <v>511</v>
      </c>
      <c r="BP317" s="15" t="s">
        <v>346</v>
      </c>
      <c r="BR317" s="15" t="s">
        <v>2531</v>
      </c>
      <c r="BS317" s="15" t="s">
        <v>2532</v>
      </c>
      <c r="DH317" s="15" t="s">
        <v>4597</v>
      </c>
      <c r="DI317" s="15" t="s">
        <v>4597</v>
      </c>
    </row>
    <row r="318" spans="1:113" s="15" customFormat="1" ht="12.75" x14ac:dyDescent="0.2">
      <c r="A318" s="15" t="s">
        <v>109</v>
      </c>
      <c r="B318" s="16" t="s">
        <v>2287</v>
      </c>
      <c r="C318" s="15" t="s">
        <v>2288</v>
      </c>
      <c r="D318" s="15" t="s">
        <v>2475</v>
      </c>
      <c r="E318" s="15" t="s">
        <v>113</v>
      </c>
      <c r="F318" s="15" t="s">
        <v>2475</v>
      </c>
      <c r="G318" s="15" t="s">
        <v>114</v>
      </c>
      <c r="H318" s="15" t="s">
        <v>4536</v>
      </c>
      <c r="J318" s="18" t="s">
        <v>115</v>
      </c>
      <c r="W318" s="15">
        <v>322</v>
      </c>
      <c r="X318" s="15">
        <v>138</v>
      </c>
      <c r="Y318" s="15" t="s">
        <v>2458</v>
      </c>
      <c r="Z318" s="15" t="s">
        <v>2458</v>
      </c>
      <c r="AA318" s="34" t="s">
        <v>2476</v>
      </c>
      <c r="AB318" s="15" t="s">
        <v>3787</v>
      </c>
      <c r="AC318" s="15" t="s">
        <v>3787</v>
      </c>
      <c r="AD318" s="15" t="s">
        <v>3788</v>
      </c>
      <c r="AE318" s="15" t="s">
        <v>2311</v>
      </c>
      <c r="AF318" s="15" t="s">
        <v>3788</v>
      </c>
      <c r="AG318" s="33" t="s">
        <v>3787</v>
      </c>
      <c r="AH318" s="15" t="s">
        <v>3789</v>
      </c>
      <c r="AL318" s="15" t="s">
        <v>3790</v>
      </c>
      <c r="AN318" s="15">
        <v>3639</v>
      </c>
      <c r="AO318" s="15" t="s">
        <v>3791</v>
      </c>
      <c r="AQ318" s="15" t="s">
        <v>3396</v>
      </c>
      <c r="AT318" s="15" t="s">
        <v>3792</v>
      </c>
      <c r="AU318" s="15" t="s">
        <v>3793</v>
      </c>
      <c r="AV318" s="15" t="s">
        <v>3793</v>
      </c>
      <c r="AW318" s="15" t="s">
        <v>3794</v>
      </c>
      <c r="AX318" s="15" t="s">
        <v>3794</v>
      </c>
      <c r="AY318" s="15">
        <f t="shared" si="10"/>
        <v>57</v>
      </c>
      <c r="AZ318" s="15" t="s">
        <v>3400</v>
      </c>
      <c r="BA318" s="15" t="s">
        <v>926</v>
      </c>
      <c r="BB318" s="15" t="s">
        <v>3485</v>
      </c>
      <c r="BC318" s="15" t="s">
        <v>3795</v>
      </c>
      <c r="BE318" s="15" t="s">
        <v>3461</v>
      </c>
      <c r="BI318" s="15" t="s">
        <v>3628</v>
      </c>
      <c r="BJ318" s="15" t="s">
        <v>3796</v>
      </c>
      <c r="BN318" s="15" t="s">
        <v>511</v>
      </c>
      <c r="BP318" s="15" t="s">
        <v>346</v>
      </c>
      <c r="BR318" s="15" t="s">
        <v>3797</v>
      </c>
      <c r="BS318" s="15" t="s">
        <v>3798</v>
      </c>
      <c r="DH318" s="15" t="s">
        <v>4597</v>
      </c>
      <c r="DI318" s="15" t="s">
        <v>4597</v>
      </c>
    </row>
    <row r="319" spans="1:113" s="15" customFormat="1" ht="12.75" x14ac:dyDescent="0.2">
      <c r="A319" s="15" t="s">
        <v>109</v>
      </c>
      <c r="B319" s="16" t="s">
        <v>2287</v>
      </c>
      <c r="C319" s="15" t="s">
        <v>2288</v>
      </c>
      <c r="D319" s="15" t="s">
        <v>2475</v>
      </c>
      <c r="E319" s="15" t="s">
        <v>113</v>
      </c>
      <c r="F319" s="15" t="s">
        <v>2475</v>
      </c>
      <c r="G319" s="15" t="s">
        <v>114</v>
      </c>
      <c r="H319" s="15" t="s">
        <v>4536</v>
      </c>
      <c r="J319" s="18" t="s">
        <v>115</v>
      </c>
      <c r="W319" s="15">
        <v>323</v>
      </c>
      <c r="X319" s="15">
        <v>139</v>
      </c>
      <c r="Y319" s="15" t="s">
        <v>2458</v>
      </c>
      <c r="Z319" s="15" t="s">
        <v>2458</v>
      </c>
      <c r="AA319" s="34" t="s">
        <v>2476</v>
      </c>
      <c r="AB319" s="15" t="s">
        <v>3799</v>
      </c>
      <c r="AC319" s="15" t="s">
        <v>3799</v>
      </c>
      <c r="AD319" s="15" t="s">
        <v>3800</v>
      </c>
      <c r="AE319" s="15" t="s">
        <v>2311</v>
      </c>
      <c r="AF319" s="15" t="s">
        <v>3800</v>
      </c>
      <c r="AG319" s="33" t="s">
        <v>3799</v>
      </c>
      <c r="AH319" s="15" t="s">
        <v>3801</v>
      </c>
      <c r="AL319" s="15" t="s">
        <v>3802</v>
      </c>
      <c r="AN319" s="15">
        <v>3639</v>
      </c>
      <c r="AO319" s="15" t="s">
        <v>3803</v>
      </c>
      <c r="AQ319" s="15" t="s">
        <v>3396</v>
      </c>
      <c r="AT319" s="15" t="s">
        <v>3804</v>
      </c>
      <c r="AU319" s="15" t="s">
        <v>3805</v>
      </c>
      <c r="AV319" s="15" t="s">
        <v>3805</v>
      </c>
      <c r="AW319" s="15" t="s">
        <v>3806</v>
      </c>
      <c r="AX319" s="15" t="s">
        <v>3806</v>
      </c>
      <c r="AY319" s="15">
        <f t="shared" si="10"/>
        <v>57</v>
      </c>
      <c r="AZ319" s="15" t="s">
        <v>3400</v>
      </c>
      <c r="BA319" s="15" t="s">
        <v>926</v>
      </c>
      <c r="BB319" s="15" t="s">
        <v>3485</v>
      </c>
      <c r="BC319" s="15" t="s">
        <v>3807</v>
      </c>
      <c r="BE319" s="15" t="s">
        <v>3461</v>
      </c>
      <c r="BI319" s="15" t="s">
        <v>3628</v>
      </c>
      <c r="BJ319" s="15" t="s">
        <v>3796</v>
      </c>
      <c r="BN319" s="15" t="s">
        <v>511</v>
      </c>
      <c r="BP319" s="15" t="s">
        <v>346</v>
      </c>
      <c r="BR319" s="15" t="s">
        <v>3797</v>
      </c>
      <c r="BS319" s="15" t="s">
        <v>3808</v>
      </c>
      <c r="DH319" s="15" t="s">
        <v>4597</v>
      </c>
      <c r="DI319" s="15" t="s">
        <v>4597</v>
      </c>
    </row>
    <row r="320" spans="1:113" s="15" customFormat="1" ht="12.75" x14ac:dyDescent="0.2">
      <c r="A320" s="15" t="s">
        <v>109</v>
      </c>
      <c r="B320" s="16" t="s">
        <v>2287</v>
      </c>
      <c r="C320" s="15" t="s">
        <v>2288</v>
      </c>
      <c r="D320" s="15" t="s">
        <v>2475</v>
      </c>
      <c r="E320" s="15" t="s">
        <v>113</v>
      </c>
      <c r="F320" s="15" t="s">
        <v>2475</v>
      </c>
      <c r="G320" s="15" t="s">
        <v>114</v>
      </c>
      <c r="H320" s="15" t="s">
        <v>4536</v>
      </c>
      <c r="J320" s="18" t="s">
        <v>115</v>
      </c>
      <c r="W320" s="15">
        <v>329</v>
      </c>
      <c r="X320" s="15">
        <v>145</v>
      </c>
      <c r="Y320" s="15" t="s">
        <v>2458</v>
      </c>
      <c r="Z320" s="15" t="s">
        <v>2458</v>
      </c>
      <c r="AA320" s="34" t="s">
        <v>2476</v>
      </c>
      <c r="AB320" s="15" t="s">
        <v>3874</v>
      </c>
      <c r="AC320" s="15" t="s">
        <v>3874</v>
      </c>
      <c r="AD320" s="15" t="s">
        <v>3875</v>
      </c>
      <c r="AE320" s="15" t="s">
        <v>2311</v>
      </c>
      <c r="AF320" s="15" t="s">
        <v>3875</v>
      </c>
      <c r="AG320" s="33" t="s">
        <v>3874</v>
      </c>
      <c r="AH320" s="15" t="s">
        <v>3876</v>
      </c>
      <c r="AL320" s="15" t="s">
        <v>3877</v>
      </c>
      <c r="AN320" s="15">
        <v>3639</v>
      </c>
      <c r="AO320" s="15" t="s">
        <v>3878</v>
      </c>
      <c r="AQ320" s="15" t="s">
        <v>2901</v>
      </c>
      <c r="AT320" s="16" t="s">
        <v>3879</v>
      </c>
      <c r="AU320" s="15" t="s">
        <v>3880</v>
      </c>
      <c r="AV320" s="15" t="s">
        <v>3880</v>
      </c>
      <c r="AW320" s="15" t="s">
        <v>3881</v>
      </c>
      <c r="AX320" s="15" t="s">
        <v>3881</v>
      </c>
      <c r="AY320" s="15">
        <f t="shared" si="10"/>
        <v>58</v>
      </c>
      <c r="AZ320" s="15" t="s">
        <v>2904</v>
      </c>
      <c r="BA320" s="15" t="s">
        <v>2427</v>
      </c>
      <c r="BB320" s="15" t="s">
        <v>3882</v>
      </c>
      <c r="BE320" s="15" t="s">
        <v>3883</v>
      </c>
      <c r="BJ320" s="15" t="s">
        <v>3884</v>
      </c>
      <c r="BN320" s="15" t="s">
        <v>511</v>
      </c>
      <c r="BO320" s="16" t="s">
        <v>3885</v>
      </c>
      <c r="BP320" s="15" t="s">
        <v>346</v>
      </c>
      <c r="BS320" s="15" t="s">
        <v>3886</v>
      </c>
      <c r="DH320" s="15" t="s">
        <v>4597</v>
      </c>
      <c r="DI320" s="15" t="s">
        <v>4597</v>
      </c>
    </row>
    <row r="321" spans="1:113" s="15" customFormat="1" ht="12.75" x14ac:dyDescent="0.2">
      <c r="A321" s="15" t="s">
        <v>109</v>
      </c>
      <c r="B321" s="16" t="s">
        <v>2287</v>
      </c>
      <c r="C321" s="15" t="s">
        <v>2288</v>
      </c>
      <c r="D321" s="15" t="s">
        <v>2475</v>
      </c>
      <c r="E321" s="15" t="s">
        <v>113</v>
      </c>
      <c r="F321" s="15" t="s">
        <v>2475</v>
      </c>
      <c r="G321" s="15" t="s">
        <v>114</v>
      </c>
      <c r="H321" s="15" t="s">
        <v>4536</v>
      </c>
      <c r="J321" s="18" t="s">
        <v>115</v>
      </c>
      <c r="W321" s="15">
        <v>360</v>
      </c>
      <c r="X321" s="15">
        <v>176</v>
      </c>
      <c r="Y321" s="15" t="s">
        <v>2458</v>
      </c>
      <c r="Z321" s="15" t="s">
        <v>2458</v>
      </c>
      <c r="AA321" s="34" t="s">
        <v>2476</v>
      </c>
      <c r="AB321" s="15" t="s">
        <v>4215</v>
      </c>
      <c r="AC321" s="15" t="s">
        <v>4215</v>
      </c>
      <c r="AD321" s="15" t="s">
        <v>4216</v>
      </c>
      <c r="AE321" s="15" t="s">
        <v>2311</v>
      </c>
      <c r="AF321" s="15" t="s">
        <v>4216</v>
      </c>
      <c r="AG321" s="33" t="s">
        <v>4215</v>
      </c>
      <c r="AH321" s="15" t="s">
        <v>4217</v>
      </c>
      <c r="AL321" s="15" t="s">
        <v>4218</v>
      </c>
      <c r="AN321" s="15">
        <v>3639</v>
      </c>
      <c r="AO321" s="15" t="s">
        <v>4219</v>
      </c>
      <c r="AQ321" s="15" t="s">
        <v>4220</v>
      </c>
      <c r="AT321" s="15" t="s">
        <v>4221</v>
      </c>
      <c r="AU321" s="15" t="s">
        <v>4222</v>
      </c>
      <c r="AV321" s="15" t="s">
        <v>4222</v>
      </c>
      <c r="AW321" s="15" t="s">
        <v>4223</v>
      </c>
      <c r="AX321" s="15" t="s">
        <v>4224</v>
      </c>
      <c r="AY321" s="15">
        <f t="shared" si="10"/>
        <v>58</v>
      </c>
      <c r="AZ321" s="15" t="s">
        <v>2301</v>
      </c>
      <c r="BA321" s="15" t="s">
        <v>2441</v>
      </c>
      <c r="BB321" s="16" t="s">
        <v>4225</v>
      </c>
      <c r="BE321" s="15" t="s">
        <v>3497</v>
      </c>
      <c r="BJ321" s="16" t="s">
        <v>4226</v>
      </c>
      <c r="BN321" s="15" t="s">
        <v>511</v>
      </c>
      <c r="BP321" s="15" t="s">
        <v>346</v>
      </c>
      <c r="BR321" s="15" t="s">
        <v>3797</v>
      </c>
      <c r="BS321" s="15" t="s">
        <v>4227</v>
      </c>
      <c r="DH321" s="15" t="s">
        <v>4597</v>
      </c>
      <c r="DI321" s="15" t="s">
        <v>4597</v>
      </c>
    </row>
    <row r="322" spans="1:113" s="15" customFormat="1" ht="12.75" x14ac:dyDescent="0.2">
      <c r="A322" s="15" t="s">
        <v>109</v>
      </c>
      <c r="B322" s="16" t="s">
        <v>2287</v>
      </c>
      <c r="C322" s="15" t="s">
        <v>2288</v>
      </c>
      <c r="D322" s="15" t="s">
        <v>2475</v>
      </c>
      <c r="E322" s="15" t="s">
        <v>113</v>
      </c>
      <c r="F322" s="15" t="s">
        <v>2475</v>
      </c>
      <c r="G322" s="15" t="s">
        <v>114</v>
      </c>
      <c r="H322" s="15" t="s">
        <v>4536</v>
      </c>
      <c r="J322" s="18" t="s">
        <v>115</v>
      </c>
      <c r="W322" s="15">
        <v>361</v>
      </c>
      <c r="X322" s="15">
        <v>177</v>
      </c>
      <c r="Y322" s="15" t="s">
        <v>2458</v>
      </c>
      <c r="Z322" s="15" t="s">
        <v>2458</v>
      </c>
      <c r="AA322" s="34" t="s">
        <v>2476</v>
      </c>
      <c r="AB322" s="15" t="s">
        <v>4228</v>
      </c>
      <c r="AC322" s="15" t="s">
        <v>4228</v>
      </c>
      <c r="AD322" s="15" t="s">
        <v>4229</v>
      </c>
      <c r="AE322" s="15" t="s">
        <v>2311</v>
      </c>
      <c r="AF322" s="15" t="s">
        <v>4229</v>
      </c>
      <c r="AG322" s="33" t="s">
        <v>4228</v>
      </c>
      <c r="AH322" s="15" t="s">
        <v>4230</v>
      </c>
      <c r="AL322" s="15" t="s">
        <v>4231</v>
      </c>
      <c r="AN322" s="15">
        <v>3639</v>
      </c>
      <c r="AO322" s="15" t="s">
        <v>4232</v>
      </c>
      <c r="AQ322" s="15" t="s">
        <v>4220</v>
      </c>
      <c r="AT322" s="15" t="s">
        <v>4233</v>
      </c>
      <c r="AU322" s="15" t="s">
        <v>4234</v>
      </c>
      <c r="AV322" s="15" t="s">
        <v>4234</v>
      </c>
      <c r="AW322" s="15" t="s">
        <v>4235</v>
      </c>
      <c r="AX322" s="15" t="s">
        <v>4236</v>
      </c>
      <c r="AY322" s="15">
        <f t="shared" si="10"/>
        <v>57</v>
      </c>
      <c r="AZ322" s="15" t="s">
        <v>2441</v>
      </c>
      <c r="BA322" s="15" t="s">
        <v>4237</v>
      </c>
      <c r="BB322" s="16" t="s">
        <v>4225</v>
      </c>
      <c r="BE322" s="15" t="s">
        <v>4238</v>
      </c>
      <c r="BJ322" s="16" t="s">
        <v>4239</v>
      </c>
      <c r="BR322" s="15" t="s">
        <v>4240</v>
      </c>
      <c r="BS322" s="15" t="s">
        <v>4241</v>
      </c>
      <c r="DH322" s="15" t="s">
        <v>4597</v>
      </c>
      <c r="DI322" s="15" t="s">
        <v>4597</v>
      </c>
    </row>
    <row r="323" spans="1:113" s="15" customFormat="1" ht="12.75" x14ac:dyDescent="0.2">
      <c r="A323" s="15" t="s">
        <v>109</v>
      </c>
      <c r="B323" s="16" t="s">
        <v>2287</v>
      </c>
      <c r="C323" s="15" t="s">
        <v>2288</v>
      </c>
      <c r="D323" s="15" t="s">
        <v>2475</v>
      </c>
      <c r="E323" s="15" t="s">
        <v>113</v>
      </c>
      <c r="F323" s="15" t="s">
        <v>2475</v>
      </c>
      <c r="G323" s="15" t="s">
        <v>114</v>
      </c>
      <c r="H323" s="15" t="s">
        <v>4536</v>
      </c>
      <c r="J323" s="18" t="s">
        <v>115</v>
      </c>
      <c r="W323" s="15">
        <v>362</v>
      </c>
      <c r="X323" s="15">
        <v>178</v>
      </c>
      <c r="Y323" s="15" t="s">
        <v>2458</v>
      </c>
      <c r="Z323" s="15" t="s">
        <v>2458</v>
      </c>
      <c r="AA323" s="34" t="s">
        <v>2476</v>
      </c>
      <c r="AB323" s="15" t="s">
        <v>4242</v>
      </c>
      <c r="AC323" s="15" t="s">
        <v>4242</v>
      </c>
      <c r="AD323" s="15" t="s">
        <v>4243</v>
      </c>
      <c r="AE323" s="15" t="s">
        <v>2311</v>
      </c>
      <c r="AF323" s="15" t="s">
        <v>4243</v>
      </c>
      <c r="AG323" s="33" t="s">
        <v>4242</v>
      </c>
      <c r="AH323" s="15" t="s">
        <v>4244</v>
      </c>
      <c r="AL323" s="15" t="s">
        <v>4245</v>
      </c>
      <c r="AN323" s="15">
        <v>3639</v>
      </c>
      <c r="AO323" s="15" t="s">
        <v>4246</v>
      </c>
      <c r="AQ323" s="15" t="s">
        <v>4220</v>
      </c>
      <c r="AT323" s="15" t="s">
        <v>4247</v>
      </c>
      <c r="AU323" s="15" t="s">
        <v>4248</v>
      </c>
      <c r="AV323" s="15" t="s">
        <v>4248</v>
      </c>
      <c r="AW323" s="15" t="s">
        <v>4249</v>
      </c>
      <c r="AX323" s="15" t="s">
        <v>4250</v>
      </c>
      <c r="AY323" s="15">
        <f t="shared" si="10"/>
        <v>58</v>
      </c>
      <c r="AZ323" s="15" t="s">
        <v>2441</v>
      </c>
      <c r="BA323" s="15" t="s">
        <v>4237</v>
      </c>
      <c r="BB323" s="15" t="s">
        <v>4251</v>
      </c>
      <c r="BE323" s="15" t="s">
        <v>4238</v>
      </c>
      <c r="BJ323" s="16" t="s">
        <v>4239</v>
      </c>
      <c r="BN323" s="15" t="s">
        <v>511</v>
      </c>
      <c r="BP323" s="15" t="s">
        <v>346</v>
      </c>
      <c r="BR323" s="15" t="s">
        <v>3797</v>
      </c>
      <c r="BS323" s="15" t="s">
        <v>4252</v>
      </c>
      <c r="DH323" s="15" t="s">
        <v>4597</v>
      </c>
      <c r="DI323" s="15" t="s">
        <v>4597</v>
      </c>
    </row>
    <row r="324" spans="1:113" s="15" customFormat="1" ht="12.75" x14ac:dyDescent="0.2">
      <c r="A324" s="15" t="s">
        <v>109</v>
      </c>
      <c r="B324" s="16" t="s">
        <v>2287</v>
      </c>
      <c r="C324" s="15" t="s">
        <v>2288</v>
      </c>
      <c r="D324" s="15" t="s">
        <v>2475</v>
      </c>
      <c r="E324" s="15" t="s">
        <v>113</v>
      </c>
      <c r="F324" s="15" t="s">
        <v>2475</v>
      </c>
      <c r="G324" s="15" t="s">
        <v>114</v>
      </c>
      <c r="H324" s="15" t="s">
        <v>4536</v>
      </c>
      <c r="J324" s="18" t="s">
        <v>115</v>
      </c>
      <c r="W324" s="15">
        <v>363</v>
      </c>
      <c r="X324" s="15">
        <v>179</v>
      </c>
      <c r="Y324" s="15" t="s">
        <v>2458</v>
      </c>
      <c r="Z324" s="15" t="s">
        <v>2458</v>
      </c>
      <c r="AA324" s="34" t="s">
        <v>2476</v>
      </c>
      <c r="AB324" s="15" t="s">
        <v>4253</v>
      </c>
      <c r="AC324" s="15" t="s">
        <v>4253</v>
      </c>
      <c r="AD324" s="15" t="s">
        <v>4254</v>
      </c>
      <c r="AE324" s="15" t="s">
        <v>2311</v>
      </c>
      <c r="AF324" s="15" t="s">
        <v>4254</v>
      </c>
      <c r="AG324" s="33" t="s">
        <v>4253</v>
      </c>
      <c r="AH324" s="15" t="s">
        <v>4255</v>
      </c>
      <c r="AL324" s="15" t="s">
        <v>4256</v>
      </c>
      <c r="AN324" s="15">
        <v>3639</v>
      </c>
      <c r="AO324" s="15" t="s">
        <v>4257</v>
      </c>
      <c r="AQ324" s="15" t="s">
        <v>4220</v>
      </c>
      <c r="AT324" s="15" t="s">
        <v>4258</v>
      </c>
      <c r="AU324" s="15" t="s">
        <v>4259</v>
      </c>
      <c r="AV324" s="15" t="s">
        <v>4259</v>
      </c>
      <c r="AW324" s="15" t="s">
        <v>4260</v>
      </c>
      <c r="AX324" s="15" t="s">
        <v>4260</v>
      </c>
      <c r="AY324" s="15">
        <f t="shared" si="10"/>
        <v>28</v>
      </c>
      <c r="AZ324" s="15" t="s">
        <v>2441</v>
      </c>
      <c r="BA324" s="15" t="s">
        <v>4237</v>
      </c>
      <c r="BB324" s="15" t="s">
        <v>2454</v>
      </c>
      <c r="BE324" s="15" t="s">
        <v>3497</v>
      </c>
      <c r="BR324" s="15" t="s">
        <v>3797</v>
      </c>
      <c r="BS324" s="15" t="s">
        <v>4261</v>
      </c>
      <c r="DH324" s="15" t="s">
        <v>4597</v>
      </c>
      <c r="DI324" s="15" t="s">
        <v>4597</v>
      </c>
    </row>
    <row r="325" spans="1:113" s="15" customFormat="1" ht="12.75" x14ac:dyDescent="0.2">
      <c r="A325" s="15" t="s">
        <v>109</v>
      </c>
      <c r="B325" s="16" t="s">
        <v>2287</v>
      </c>
      <c r="C325" s="15" t="s">
        <v>2288</v>
      </c>
      <c r="D325" s="15" t="s">
        <v>2475</v>
      </c>
      <c r="E325" s="15" t="s">
        <v>113</v>
      </c>
      <c r="F325" s="15" t="s">
        <v>2475</v>
      </c>
      <c r="G325" s="15" t="s">
        <v>114</v>
      </c>
      <c r="H325" s="15" t="s">
        <v>4536</v>
      </c>
      <c r="J325" s="18" t="s">
        <v>115</v>
      </c>
      <c r="W325" s="15">
        <v>364</v>
      </c>
      <c r="X325" s="15">
        <v>180</v>
      </c>
      <c r="Y325" s="15" t="s">
        <v>2458</v>
      </c>
      <c r="Z325" s="15" t="s">
        <v>2458</v>
      </c>
      <c r="AA325" s="34" t="s">
        <v>2476</v>
      </c>
      <c r="AB325" s="15" t="s">
        <v>4262</v>
      </c>
      <c r="AC325" s="15" t="s">
        <v>4262</v>
      </c>
      <c r="AD325" s="15" t="s">
        <v>4263</v>
      </c>
      <c r="AE325" s="15" t="s">
        <v>2311</v>
      </c>
      <c r="AF325" s="15" t="s">
        <v>4263</v>
      </c>
      <c r="AG325" s="33" t="s">
        <v>4262</v>
      </c>
      <c r="AH325" s="15" t="s">
        <v>4264</v>
      </c>
      <c r="AL325" s="15" t="s">
        <v>4265</v>
      </c>
      <c r="AN325" s="15">
        <v>3639</v>
      </c>
      <c r="AO325" s="15" t="s">
        <v>4266</v>
      </c>
      <c r="AQ325" s="15" t="s">
        <v>4220</v>
      </c>
      <c r="AT325" s="15" t="s">
        <v>4267</v>
      </c>
      <c r="AU325" s="15" t="s">
        <v>4268</v>
      </c>
      <c r="AV325" s="15" t="s">
        <v>4268</v>
      </c>
      <c r="AW325" s="15" t="s">
        <v>4269</v>
      </c>
      <c r="AX325" s="15" t="s">
        <v>4270</v>
      </c>
      <c r="AY325" s="15">
        <f t="shared" si="10"/>
        <v>55</v>
      </c>
      <c r="AZ325" s="15" t="s">
        <v>2301</v>
      </c>
      <c r="BA325" s="15" t="s">
        <v>2441</v>
      </c>
      <c r="BB325" s="15" t="s">
        <v>4271</v>
      </c>
      <c r="BE325" s="15" t="s">
        <v>4238</v>
      </c>
      <c r="BJ325" s="16" t="s">
        <v>4272</v>
      </c>
      <c r="BR325" s="15" t="s">
        <v>3797</v>
      </c>
      <c r="BS325" s="15" t="s">
        <v>4273</v>
      </c>
      <c r="DH325" s="15" t="s">
        <v>4597</v>
      </c>
      <c r="DI325" s="15" t="s">
        <v>4597</v>
      </c>
    </row>
    <row r="326" spans="1:113" s="15" customFormat="1" ht="12.75" x14ac:dyDescent="0.2">
      <c r="A326" s="15" t="s">
        <v>109</v>
      </c>
      <c r="B326" s="16" t="s">
        <v>2287</v>
      </c>
      <c r="C326" s="15" t="s">
        <v>2288</v>
      </c>
      <c r="D326" s="15" t="s">
        <v>2475</v>
      </c>
      <c r="E326" s="15" t="s">
        <v>113</v>
      </c>
      <c r="F326" s="15" t="s">
        <v>2475</v>
      </c>
      <c r="G326" s="15" t="s">
        <v>114</v>
      </c>
      <c r="H326" s="15" t="s">
        <v>4536</v>
      </c>
      <c r="J326" s="18" t="s">
        <v>115</v>
      </c>
      <c r="W326" s="15">
        <v>365</v>
      </c>
      <c r="X326" s="15">
        <v>181</v>
      </c>
      <c r="Y326" s="15" t="s">
        <v>2458</v>
      </c>
      <c r="Z326" s="15" t="s">
        <v>2458</v>
      </c>
      <c r="AA326" s="34" t="s">
        <v>2476</v>
      </c>
      <c r="AB326" s="15" t="s">
        <v>4274</v>
      </c>
      <c r="AC326" s="15" t="s">
        <v>4274</v>
      </c>
      <c r="AD326" s="15" t="s">
        <v>4275</v>
      </c>
      <c r="AE326" s="15" t="s">
        <v>2311</v>
      </c>
      <c r="AF326" s="15" t="s">
        <v>4275</v>
      </c>
      <c r="AG326" s="33" t="s">
        <v>4274</v>
      </c>
      <c r="AH326" s="15" t="s">
        <v>4276</v>
      </c>
      <c r="AL326" s="15" t="s">
        <v>4277</v>
      </c>
      <c r="AN326" s="15">
        <v>3639</v>
      </c>
      <c r="AO326" s="15" t="s">
        <v>4278</v>
      </c>
      <c r="AQ326" s="15" t="s">
        <v>4220</v>
      </c>
      <c r="AT326" s="15" t="s">
        <v>4279</v>
      </c>
      <c r="AU326" s="15" t="s">
        <v>4280</v>
      </c>
      <c r="AV326" s="15" t="s">
        <v>4280</v>
      </c>
      <c r="AW326" s="15" t="s">
        <v>4281</v>
      </c>
      <c r="AX326" s="15" t="s">
        <v>4282</v>
      </c>
      <c r="AY326" s="15">
        <f t="shared" si="10"/>
        <v>56</v>
      </c>
      <c r="AZ326" s="15" t="s">
        <v>2441</v>
      </c>
      <c r="BA326" s="15" t="s">
        <v>4237</v>
      </c>
      <c r="BB326" s="15" t="s">
        <v>4271</v>
      </c>
      <c r="BE326" s="15" t="s">
        <v>4238</v>
      </c>
      <c r="BJ326" s="16" t="s">
        <v>4283</v>
      </c>
      <c r="BN326" s="15" t="s">
        <v>511</v>
      </c>
      <c r="BP326" s="15" t="s">
        <v>346</v>
      </c>
      <c r="BR326" s="15" t="s">
        <v>3797</v>
      </c>
      <c r="BS326" s="15" t="s">
        <v>4284</v>
      </c>
      <c r="DH326" s="15" t="s">
        <v>4597</v>
      </c>
      <c r="DI326" s="15" t="s">
        <v>4597</v>
      </c>
    </row>
    <row r="327" spans="1:113" s="15" customFormat="1" ht="12.75" x14ac:dyDescent="0.2">
      <c r="A327" s="15" t="s">
        <v>109</v>
      </c>
      <c r="B327" s="16" t="s">
        <v>2287</v>
      </c>
      <c r="C327" s="15" t="s">
        <v>2288</v>
      </c>
      <c r="D327" s="15" t="s">
        <v>2475</v>
      </c>
      <c r="E327" s="15" t="s">
        <v>113</v>
      </c>
      <c r="F327" s="15" t="s">
        <v>2475</v>
      </c>
      <c r="G327" s="15" t="s">
        <v>114</v>
      </c>
      <c r="H327" s="15" t="s">
        <v>4536</v>
      </c>
      <c r="J327" s="18" t="s">
        <v>115</v>
      </c>
      <c r="W327" s="15">
        <v>366</v>
      </c>
      <c r="X327" s="15">
        <v>182</v>
      </c>
      <c r="Y327" s="15" t="s">
        <v>2458</v>
      </c>
      <c r="Z327" s="15" t="s">
        <v>2458</v>
      </c>
      <c r="AA327" s="34" t="s">
        <v>2476</v>
      </c>
      <c r="AB327" s="15" t="s">
        <v>4285</v>
      </c>
      <c r="AC327" s="15" t="s">
        <v>4285</v>
      </c>
      <c r="AD327" s="15" t="s">
        <v>4286</v>
      </c>
      <c r="AE327" s="15" t="s">
        <v>2311</v>
      </c>
      <c r="AF327" s="15" t="s">
        <v>4286</v>
      </c>
      <c r="AG327" s="33" t="s">
        <v>4285</v>
      </c>
      <c r="AH327" s="15" t="s">
        <v>4287</v>
      </c>
      <c r="AL327" s="15" t="s">
        <v>4288</v>
      </c>
      <c r="AN327" s="15">
        <v>3639</v>
      </c>
      <c r="AO327" s="15" t="s">
        <v>4289</v>
      </c>
      <c r="AQ327" s="15" t="s">
        <v>4220</v>
      </c>
      <c r="AT327" s="15" t="s">
        <v>4290</v>
      </c>
      <c r="AU327" s="15" t="s">
        <v>4291</v>
      </c>
      <c r="AV327" s="15" t="s">
        <v>4291</v>
      </c>
      <c r="AW327" s="15" t="s">
        <v>4292</v>
      </c>
      <c r="AX327" s="15" t="s">
        <v>4293</v>
      </c>
      <c r="AY327" s="15">
        <f t="shared" si="10"/>
        <v>57</v>
      </c>
      <c r="AZ327" s="15" t="s">
        <v>2301</v>
      </c>
      <c r="BA327" s="15" t="s">
        <v>2441</v>
      </c>
      <c r="BB327" s="15" t="s">
        <v>4294</v>
      </c>
      <c r="BE327" s="15" t="s">
        <v>4238</v>
      </c>
      <c r="BJ327" s="15" t="s">
        <v>4295</v>
      </c>
      <c r="BR327" s="15" t="s">
        <v>3797</v>
      </c>
      <c r="BS327" s="15" t="s">
        <v>4296</v>
      </c>
      <c r="DH327" s="15" t="s">
        <v>4597</v>
      </c>
      <c r="DI327" s="15" t="s">
        <v>4597</v>
      </c>
    </row>
    <row r="328" spans="1:113" s="15" customFormat="1" ht="12.75" x14ac:dyDescent="0.2">
      <c r="A328" s="15" t="s">
        <v>109</v>
      </c>
      <c r="B328" s="16" t="s">
        <v>2287</v>
      </c>
      <c r="C328" s="15" t="s">
        <v>2288</v>
      </c>
      <c r="D328" s="15" t="s">
        <v>2475</v>
      </c>
      <c r="E328" s="15" t="s">
        <v>113</v>
      </c>
      <c r="F328" s="15" t="s">
        <v>2475</v>
      </c>
      <c r="G328" s="15" t="s">
        <v>114</v>
      </c>
      <c r="H328" s="15" t="s">
        <v>4536</v>
      </c>
      <c r="J328" s="18" t="s">
        <v>115</v>
      </c>
      <c r="W328" s="15">
        <v>367</v>
      </c>
      <c r="X328" s="15">
        <v>183</v>
      </c>
      <c r="Y328" s="15" t="s">
        <v>2458</v>
      </c>
      <c r="Z328" s="15" t="s">
        <v>2458</v>
      </c>
      <c r="AA328" s="34" t="s">
        <v>2476</v>
      </c>
      <c r="AB328" s="15" t="s">
        <v>4297</v>
      </c>
      <c r="AC328" s="15" t="s">
        <v>4297</v>
      </c>
      <c r="AD328" s="15" t="s">
        <v>4298</v>
      </c>
      <c r="AE328" s="15" t="s">
        <v>2311</v>
      </c>
      <c r="AF328" s="15" t="s">
        <v>4298</v>
      </c>
      <c r="AG328" s="33" t="s">
        <v>4297</v>
      </c>
      <c r="AH328" s="15" t="s">
        <v>4299</v>
      </c>
      <c r="AL328" s="15" t="s">
        <v>4300</v>
      </c>
      <c r="AN328" s="15">
        <v>3639</v>
      </c>
      <c r="AO328" s="15" t="s">
        <v>4301</v>
      </c>
      <c r="AQ328" s="15" t="s">
        <v>4220</v>
      </c>
      <c r="AT328" s="15" t="s">
        <v>4302</v>
      </c>
      <c r="AU328" s="15" t="s">
        <v>4303</v>
      </c>
      <c r="AV328" s="15" t="s">
        <v>4303</v>
      </c>
      <c r="AW328" s="15" t="s">
        <v>4304</v>
      </c>
      <c r="AX328" s="15" t="s">
        <v>4305</v>
      </c>
      <c r="AY328" s="15">
        <f t="shared" si="10"/>
        <v>52</v>
      </c>
      <c r="AZ328" s="15" t="s">
        <v>2441</v>
      </c>
      <c r="BA328" s="15" t="s">
        <v>4237</v>
      </c>
      <c r="BB328" s="15" t="s">
        <v>4294</v>
      </c>
      <c r="BE328" s="15" t="s">
        <v>4238</v>
      </c>
      <c r="BJ328" s="15" t="s">
        <v>4306</v>
      </c>
      <c r="BR328" s="15" t="s">
        <v>3797</v>
      </c>
      <c r="BS328" s="15" t="s">
        <v>4296</v>
      </c>
      <c r="DH328" s="15" t="s">
        <v>4597</v>
      </c>
      <c r="DI328" s="15" t="s">
        <v>4597</v>
      </c>
    </row>
    <row r="329" spans="1:113" s="15" customFormat="1" ht="12.75" x14ac:dyDescent="0.2">
      <c r="A329" s="15" t="s">
        <v>109</v>
      </c>
      <c r="B329" s="16" t="s">
        <v>2287</v>
      </c>
      <c r="C329" s="15" t="s">
        <v>2288</v>
      </c>
      <c r="D329" s="15" t="s">
        <v>2475</v>
      </c>
      <c r="E329" s="15" t="s">
        <v>113</v>
      </c>
      <c r="F329" s="15" t="s">
        <v>2475</v>
      </c>
      <c r="G329" s="15" t="s">
        <v>114</v>
      </c>
      <c r="H329" s="15" t="s">
        <v>4536</v>
      </c>
      <c r="J329" s="18" t="s">
        <v>115</v>
      </c>
      <c r="W329" s="15">
        <v>368</v>
      </c>
      <c r="X329" s="15">
        <v>184</v>
      </c>
      <c r="Y329" s="15" t="s">
        <v>2458</v>
      </c>
      <c r="Z329" s="15" t="s">
        <v>2458</v>
      </c>
      <c r="AA329" s="34" t="s">
        <v>2476</v>
      </c>
      <c r="AB329" s="15" t="s">
        <v>4307</v>
      </c>
      <c r="AC329" s="15" t="s">
        <v>4307</v>
      </c>
      <c r="AD329" s="15" t="s">
        <v>4308</v>
      </c>
      <c r="AE329" s="15" t="s">
        <v>2311</v>
      </c>
      <c r="AF329" s="15" t="s">
        <v>4308</v>
      </c>
      <c r="AG329" s="33" t="s">
        <v>4307</v>
      </c>
      <c r="AH329" s="15" t="s">
        <v>4309</v>
      </c>
      <c r="AL329" s="15" t="s">
        <v>4310</v>
      </c>
      <c r="AN329" s="15">
        <v>3639</v>
      </c>
      <c r="AO329" s="15" t="s">
        <v>4311</v>
      </c>
      <c r="AQ329" s="15" t="s">
        <v>4220</v>
      </c>
      <c r="AT329" s="15" t="s">
        <v>4312</v>
      </c>
      <c r="AU329" s="15" t="s">
        <v>4313</v>
      </c>
      <c r="AV329" s="15" t="s">
        <v>4313</v>
      </c>
      <c r="AW329" s="15" t="s">
        <v>4314</v>
      </c>
      <c r="AX329" s="15" t="s">
        <v>4315</v>
      </c>
      <c r="AY329" s="15">
        <f t="shared" si="10"/>
        <v>58</v>
      </c>
      <c r="AZ329" s="15" t="s">
        <v>2441</v>
      </c>
      <c r="BA329" s="15" t="s">
        <v>4237</v>
      </c>
      <c r="BB329" s="16" t="s">
        <v>4316</v>
      </c>
      <c r="BE329" s="15" t="s">
        <v>4317</v>
      </c>
      <c r="BJ329" s="15" t="s">
        <v>4318</v>
      </c>
      <c r="BN329" s="15" t="s">
        <v>511</v>
      </c>
      <c r="BP329" s="15" t="s">
        <v>346</v>
      </c>
      <c r="BR329" s="15" t="s">
        <v>3797</v>
      </c>
      <c r="BS329" s="15" t="s">
        <v>4319</v>
      </c>
      <c r="DH329" s="15" t="s">
        <v>4597</v>
      </c>
      <c r="DI329" s="15" t="s">
        <v>4597</v>
      </c>
    </row>
    <row r="330" spans="1:113" s="15" customFormat="1" ht="12.75" x14ac:dyDescent="0.2">
      <c r="A330" s="15" t="s">
        <v>109</v>
      </c>
      <c r="B330" s="16" t="s">
        <v>2287</v>
      </c>
      <c r="C330" s="15" t="s">
        <v>2288</v>
      </c>
      <c r="D330" s="15" t="s">
        <v>2475</v>
      </c>
      <c r="E330" s="15" t="s">
        <v>113</v>
      </c>
      <c r="F330" s="15" t="s">
        <v>2475</v>
      </c>
      <c r="G330" s="15" t="s">
        <v>114</v>
      </c>
      <c r="H330" s="15" t="s">
        <v>4536</v>
      </c>
      <c r="J330" s="18" t="s">
        <v>115</v>
      </c>
      <c r="W330" s="15">
        <v>369</v>
      </c>
      <c r="X330" s="15">
        <v>185</v>
      </c>
      <c r="Y330" s="15" t="s">
        <v>2458</v>
      </c>
      <c r="Z330" s="15" t="s">
        <v>2458</v>
      </c>
      <c r="AA330" s="34" t="s">
        <v>2476</v>
      </c>
      <c r="AB330" s="15" t="s">
        <v>4320</v>
      </c>
      <c r="AC330" s="15" t="s">
        <v>4320</v>
      </c>
      <c r="AD330" s="15" t="s">
        <v>4321</v>
      </c>
      <c r="AE330" s="15" t="s">
        <v>2311</v>
      </c>
      <c r="AF330" s="15" t="s">
        <v>4321</v>
      </c>
      <c r="AG330" s="33" t="s">
        <v>4320</v>
      </c>
      <c r="AH330" s="15" t="s">
        <v>4322</v>
      </c>
      <c r="AL330" s="15" t="s">
        <v>4323</v>
      </c>
      <c r="AN330" s="15">
        <v>3639</v>
      </c>
      <c r="AO330" s="15" t="s">
        <v>4324</v>
      </c>
      <c r="AQ330" s="15" t="s">
        <v>4220</v>
      </c>
      <c r="AT330" s="15" t="s">
        <v>4325</v>
      </c>
      <c r="AU330" s="15" t="s">
        <v>4326</v>
      </c>
      <c r="AV330" s="15" t="s">
        <v>4326</v>
      </c>
      <c r="AW330" s="15" t="s">
        <v>4327</v>
      </c>
      <c r="AX330" s="15" t="s">
        <v>4328</v>
      </c>
      <c r="AY330" s="15">
        <f t="shared" si="10"/>
        <v>53</v>
      </c>
      <c r="AZ330" s="15" t="s">
        <v>2301</v>
      </c>
      <c r="BA330" s="15" t="s">
        <v>2441</v>
      </c>
      <c r="BB330" s="15" t="s">
        <v>4329</v>
      </c>
      <c r="BE330" s="15" t="s">
        <v>4238</v>
      </c>
      <c r="BJ330" s="15" t="s">
        <v>4330</v>
      </c>
      <c r="BR330" s="15" t="s">
        <v>3797</v>
      </c>
      <c r="BS330" s="15" t="s">
        <v>4296</v>
      </c>
      <c r="DH330" s="15" t="s">
        <v>4597</v>
      </c>
      <c r="DI330" s="15" t="s">
        <v>4597</v>
      </c>
    </row>
    <row r="331" spans="1:113" s="15" customFormat="1" ht="12.75" x14ac:dyDescent="0.2">
      <c r="A331" s="15" t="s">
        <v>109</v>
      </c>
      <c r="B331" s="16" t="s">
        <v>2287</v>
      </c>
      <c r="C331" s="15" t="s">
        <v>2288</v>
      </c>
      <c r="D331" s="15" t="s">
        <v>2475</v>
      </c>
      <c r="E331" s="15" t="s">
        <v>113</v>
      </c>
      <c r="F331" s="15" t="s">
        <v>2475</v>
      </c>
      <c r="G331" s="15" t="s">
        <v>114</v>
      </c>
      <c r="H331" s="15" t="s">
        <v>4536</v>
      </c>
      <c r="J331" s="18" t="s">
        <v>115</v>
      </c>
      <c r="W331" s="15">
        <v>370</v>
      </c>
      <c r="X331" s="15">
        <v>186</v>
      </c>
      <c r="Y331" s="15" t="s">
        <v>2458</v>
      </c>
      <c r="Z331" s="15" t="s">
        <v>2458</v>
      </c>
      <c r="AA331" s="34" t="s">
        <v>2476</v>
      </c>
      <c r="AB331" s="15" t="s">
        <v>4331</v>
      </c>
      <c r="AC331" s="15" t="s">
        <v>4331</v>
      </c>
      <c r="AD331" s="15" t="s">
        <v>4332</v>
      </c>
      <c r="AE331" s="15" t="s">
        <v>2311</v>
      </c>
      <c r="AF331" s="15" t="s">
        <v>4332</v>
      </c>
      <c r="AG331" s="33" t="s">
        <v>4331</v>
      </c>
      <c r="AH331" s="15" t="s">
        <v>4333</v>
      </c>
      <c r="AL331" s="15" t="s">
        <v>4334</v>
      </c>
      <c r="AN331" s="15">
        <v>3639</v>
      </c>
      <c r="AO331" s="15" t="s">
        <v>4335</v>
      </c>
      <c r="AQ331" s="15" t="s">
        <v>4220</v>
      </c>
      <c r="AT331" s="15" t="s">
        <v>4336</v>
      </c>
      <c r="AU331" s="15" t="s">
        <v>4337</v>
      </c>
      <c r="AV331" s="15" t="s">
        <v>4337</v>
      </c>
      <c r="AW331" s="15" t="s">
        <v>4338</v>
      </c>
      <c r="AX331" s="15" t="s">
        <v>4339</v>
      </c>
      <c r="AY331" s="15">
        <f t="shared" si="10"/>
        <v>54</v>
      </c>
      <c r="AZ331" s="15" t="s">
        <v>2441</v>
      </c>
      <c r="BA331" s="15" t="s">
        <v>4237</v>
      </c>
      <c r="BB331" s="15" t="s">
        <v>4329</v>
      </c>
      <c r="BE331" s="15" t="s">
        <v>4238</v>
      </c>
      <c r="BJ331" s="15" t="s">
        <v>4340</v>
      </c>
      <c r="BR331" s="15" t="s">
        <v>3797</v>
      </c>
      <c r="BS331" s="15" t="s">
        <v>4296</v>
      </c>
      <c r="DH331" s="15" t="s">
        <v>4597</v>
      </c>
      <c r="DI331" s="15" t="s">
        <v>4597</v>
      </c>
    </row>
    <row r="332" spans="1:113" s="15" customFormat="1" ht="12.75" x14ac:dyDescent="0.2">
      <c r="A332" s="15" t="s">
        <v>109</v>
      </c>
      <c r="B332" s="16" t="s">
        <v>2287</v>
      </c>
      <c r="C332" s="15" t="s">
        <v>2288</v>
      </c>
      <c r="D332" s="15" t="s">
        <v>2475</v>
      </c>
      <c r="E332" s="15" t="s">
        <v>113</v>
      </c>
      <c r="F332" s="15" t="s">
        <v>2475</v>
      </c>
      <c r="G332" s="15" t="s">
        <v>114</v>
      </c>
      <c r="H332" s="15" t="s">
        <v>4536</v>
      </c>
      <c r="J332" s="18" t="s">
        <v>115</v>
      </c>
      <c r="W332" s="15">
        <v>372</v>
      </c>
      <c r="X332" s="15">
        <v>188</v>
      </c>
      <c r="Y332" s="15" t="s">
        <v>2458</v>
      </c>
      <c r="Z332" s="15" t="s">
        <v>2458</v>
      </c>
      <c r="AA332" s="34" t="s">
        <v>2476</v>
      </c>
      <c r="AB332" s="15" t="s">
        <v>4353</v>
      </c>
      <c r="AC332" s="15" t="s">
        <v>4353</v>
      </c>
      <c r="AD332" s="15" t="s">
        <v>4354</v>
      </c>
      <c r="AE332" s="15" t="s">
        <v>2311</v>
      </c>
      <c r="AF332" s="15" t="s">
        <v>4354</v>
      </c>
      <c r="AG332" s="33" t="s">
        <v>4353</v>
      </c>
      <c r="AH332" s="15" t="s">
        <v>4355</v>
      </c>
      <c r="AL332" s="15" t="s">
        <v>4356</v>
      </c>
      <c r="AN332" s="15">
        <v>3639</v>
      </c>
      <c r="AO332" s="15" t="s">
        <v>4357</v>
      </c>
      <c r="AQ332" s="15" t="s">
        <v>4346</v>
      </c>
      <c r="AT332" s="15" t="s">
        <v>4358</v>
      </c>
      <c r="AU332" s="15" t="s">
        <v>4359</v>
      </c>
      <c r="AV332" s="15" t="s">
        <v>4359</v>
      </c>
      <c r="AW332" s="15" t="s">
        <v>4360</v>
      </c>
      <c r="AX332" s="15" t="s">
        <v>4360</v>
      </c>
      <c r="AY332" s="15">
        <f t="shared" si="10"/>
        <v>48</v>
      </c>
      <c r="AZ332" s="15" t="s">
        <v>4350</v>
      </c>
      <c r="BA332" s="15" t="s">
        <v>4237</v>
      </c>
      <c r="BB332" s="15" t="s">
        <v>4361</v>
      </c>
      <c r="BE332" s="15" t="s">
        <v>4362</v>
      </c>
      <c r="BJ332" s="16" t="s">
        <v>4363</v>
      </c>
      <c r="BR332" s="15" t="s">
        <v>3797</v>
      </c>
      <c r="BS332" s="15" t="s">
        <v>4296</v>
      </c>
      <c r="DH332" s="15" t="s">
        <v>4597</v>
      </c>
      <c r="DI332" s="15" t="s">
        <v>4597</v>
      </c>
    </row>
    <row r="333" spans="1:113" s="15" customFormat="1" ht="12.75" x14ac:dyDescent="0.2">
      <c r="A333" s="15" t="s">
        <v>109</v>
      </c>
      <c r="B333" s="16" t="s">
        <v>2287</v>
      </c>
      <c r="C333" s="15" t="s">
        <v>2288</v>
      </c>
      <c r="D333" s="15" t="s">
        <v>2475</v>
      </c>
      <c r="E333" s="15" t="s">
        <v>113</v>
      </c>
      <c r="F333" s="15" t="s">
        <v>2475</v>
      </c>
      <c r="G333" s="15" t="s">
        <v>114</v>
      </c>
      <c r="H333" s="15" t="s">
        <v>4536</v>
      </c>
      <c r="J333" s="18" t="s">
        <v>115</v>
      </c>
      <c r="W333" s="15">
        <v>374</v>
      </c>
      <c r="X333" s="15">
        <v>190</v>
      </c>
      <c r="Y333" s="15" t="s">
        <v>2458</v>
      </c>
      <c r="Z333" s="15" t="s">
        <v>2458</v>
      </c>
      <c r="AA333" s="34" t="s">
        <v>2476</v>
      </c>
      <c r="AB333" s="15" t="s">
        <v>4379</v>
      </c>
      <c r="AC333" s="15" t="s">
        <v>4379</v>
      </c>
      <c r="AD333" s="15" t="s">
        <v>4380</v>
      </c>
      <c r="AE333" s="15" t="s">
        <v>2311</v>
      </c>
      <c r="AF333" s="15" t="s">
        <v>4380</v>
      </c>
      <c r="AG333" s="33" t="s">
        <v>4379</v>
      </c>
      <c r="AH333" s="15" t="s">
        <v>4381</v>
      </c>
      <c r="AL333" s="15" t="s">
        <v>4382</v>
      </c>
      <c r="AN333" s="15">
        <v>3639</v>
      </c>
      <c r="AO333" s="15" t="s">
        <v>4383</v>
      </c>
      <c r="AQ333" s="15" t="s">
        <v>4369</v>
      </c>
      <c r="AT333" s="15" t="s">
        <v>4384</v>
      </c>
      <c r="AU333" s="15" t="s">
        <v>4385</v>
      </c>
      <c r="AV333" s="15" t="s">
        <v>4385</v>
      </c>
      <c r="AW333" s="15" t="s">
        <v>4386</v>
      </c>
      <c r="AX333" s="15" t="s">
        <v>4386</v>
      </c>
      <c r="AY333" s="15">
        <f t="shared" si="10"/>
        <v>60</v>
      </c>
      <c r="AZ333" s="15" t="s">
        <v>4140</v>
      </c>
      <c r="BA333" s="15" t="s">
        <v>4237</v>
      </c>
      <c r="BB333" s="15" t="s">
        <v>4373</v>
      </c>
      <c r="BE333" s="15" t="s">
        <v>4387</v>
      </c>
      <c r="BF333" s="15" t="s">
        <v>4375</v>
      </c>
      <c r="BJ333" s="15" t="s">
        <v>4376</v>
      </c>
      <c r="BN333" s="15" t="s">
        <v>511</v>
      </c>
      <c r="BP333" s="15" t="s">
        <v>346</v>
      </c>
      <c r="BR333" s="15" t="s">
        <v>3797</v>
      </c>
      <c r="BS333" s="15" t="s">
        <v>4388</v>
      </c>
      <c r="DH333" s="15" t="s">
        <v>4597</v>
      </c>
      <c r="DI333" s="15" t="s">
        <v>4597</v>
      </c>
    </row>
    <row r="334" spans="1:113" s="15" customFormat="1" ht="12.75" x14ac:dyDescent="0.2">
      <c r="A334" s="15" t="s">
        <v>109</v>
      </c>
      <c r="B334" s="16" t="s">
        <v>2287</v>
      </c>
      <c r="C334" s="15" t="s">
        <v>2288</v>
      </c>
      <c r="D334" s="15" t="s">
        <v>2475</v>
      </c>
      <c r="E334" s="15" t="s">
        <v>113</v>
      </c>
      <c r="F334" s="15" t="s">
        <v>2475</v>
      </c>
      <c r="G334" s="15" t="s">
        <v>114</v>
      </c>
      <c r="H334" s="15" t="s">
        <v>4536</v>
      </c>
      <c r="J334" s="18" t="s">
        <v>115</v>
      </c>
      <c r="W334" s="15">
        <v>376</v>
      </c>
      <c r="X334" s="15">
        <v>192</v>
      </c>
      <c r="Y334" s="15" t="s">
        <v>2458</v>
      </c>
      <c r="Z334" s="15" t="s">
        <v>2458</v>
      </c>
      <c r="AA334" s="34" t="s">
        <v>2476</v>
      </c>
      <c r="AB334" s="15" t="s">
        <v>4402</v>
      </c>
      <c r="AC334" s="15" t="s">
        <v>4402</v>
      </c>
      <c r="AD334" s="15" t="s">
        <v>4403</v>
      </c>
      <c r="AE334" s="15" t="s">
        <v>2311</v>
      </c>
      <c r="AF334" s="15" t="s">
        <v>4403</v>
      </c>
      <c r="AG334" s="33" t="s">
        <v>4402</v>
      </c>
      <c r="AH334" s="15" t="s">
        <v>4404</v>
      </c>
      <c r="AL334" s="15" t="s">
        <v>4405</v>
      </c>
      <c r="AN334" s="15">
        <v>3639</v>
      </c>
      <c r="AO334" s="15" t="s">
        <v>4406</v>
      </c>
      <c r="AQ334" s="15" t="s">
        <v>4394</v>
      </c>
      <c r="AT334" s="15" t="s">
        <v>4407</v>
      </c>
      <c r="AU334" s="15" t="s">
        <v>4408</v>
      </c>
      <c r="AV334" s="15" t="s">
        <v>4408</v>
      </c>
      <c r="AW334" s="15" t="s">
        <v>4409</v>
      </c>
      <c r="AX334" s="15" t="s">
        <v>4409</v>
      </c>
      <c r="AY334" s="15">
        <f t="shared" si="10"/>
        <v>59</v>
      </c>
      <c r="AZ334" s="15" t="s">
        <v>1259</v>
      </c>
      <c r="BA334" s="15" t="s">
        <v>4237</v>
      </c>
      <c r="BB334" s="16" t="s">
        <v>4398</v>
      </c>
      <c r="BE334" s="15" t="s">
        <v>4387</v>
      </c>
      <c r="BJ334" s="16" t="s">
        <v>4410</v>
      </c>
      <c r="BN334" s="15" t="s">
        <v>511</v>
      </c>
      <c r="BP334" s="15" t="s">
        <v>346</v>
      </c>
      <c r="BR334" s="15" t="s">
        <v>4411</v>
      </c>
      <c r="BS334" s="15" t="s">
        <v>4412</v>
      </c>
      <c r="DH334" s="15" t="s">
        <v>4597</v>
      </c>
      <c r="DI334" s="15" t="s">
        <v>4597</v>
      </c>
    </row>
    <row r="335" spans="1:113" s="15" customFormat="1" ht="12.75" x14ac:dyDescent="0.2">
      <c r="A335" s="15" t="s">
        <v>109</v>
      </c>
      <c r="B335" s="16" t="s">
        <v>2287</v>
      </c>
      <c r="C335" s="15" t="s">
        <v>2288</v>
      </c>
      <c r="D335" s="15" t="s">
        <v>2475</v>
      </c>
      <c r="E335" s="15" t="s">
        <v>113</v>
      </c>
      <c r="F335" s="15" t="s">
        <v>2475</v>
      </c>
      <c r="G335" s="15" t="s">
        <v>114</v>
      </c>
      <c r="H335" s="15" t="s">
        <v>4536</v>
      </c>
      <c r="J335" s="18" t="s">
        <v>115</v>
      </c>
      <c r="W335" s="15">
        <v>377</v>
      </c>
      <c r="X335" s="15">
        <v>193</v>
      </c>
      <c r="Y335" s="15" t="s">
        <v>2458</v>
      </c>
      <c r="Z335" s="15" t="s">
        <v>2458</v>
      </c>
      <c r="AA335" s="34" t="s">
        <v>2476</v>
      </c>
      <c r="AB335" s="15" t="s">
        <v>4413</v>
      </c>
      <c r="AC335" s="15" t="s">
        <v>4413</v>
      </c>
      <c r="AD335" s="15" t="s">
        <v>4414</v>
      </c>
      <c r="AE335" s="15" t="s">
        <v>2311</v>
      </c>
      <c r="AF335" s="15" t="s">
        <v>4414</v>
      </c>
      <c r="AG335" s="33" t="s">
        <v>4413</v>
      </c>
      <c r="AH335" s="15" t="s">
        <v>4415</v>
      </c>
      <c r="AL335" s="15" t="s">
        <v>4416</v>
      </c>
      <c r="AN335" s="15">
        <v>3639</v>
      </c>
      <c r="AO335" s="15" t="s">
        <v>4417</v>
      </c>
      <c r="AQ335" s="15" t="s">
        <v>4220</v>
      </c>
      <c r="AT335" s="15" t="s">
        <v>4418</v>
      </c>
      <c r="AU335" s="15" t="s">
        <v>4419</v>
      </c>
      <c r="AV335" s="15" t="s">
        <v>4419</v>
      </c>
      <c r="AW335" s="15" t="s">
        <v>4420</v>
      </c>
      <c r="AX335" s="15" t="s">
        <v>4420</v>
      </c>
      <c r="AY335" s="15">
        <f t="shared" si="10"/>
        <v>57</v>
      </c>
      <c r="AZ335" s="15" t="s">
        <v>4421</v>
      </c>
      <c r="BA335" s="15" t="s">
        <v>4237</v>
      </c>
      <c r="BE335" s="15" t="s">
        <v>4422</v>
      </c>
      <c r="BJ335" s="15" t="s">
        <v>4423</v>
      </c>
      <c r="BR335" s="15" t="s">
        <v>3797</v>
      </c>
      <c r="BS335" s="15" t="s">
        <v>4424</v>
      </c>
      <c r="DH335" s="15" t="s">
        <v>4597</v>
      </c>
      <c r="DI335" s="15" t="s">
        <v>4597</v>
      </c>
    </row>
    <row r="336" spans="1:113" s="15" customFormat="1" ht="12.75" x14ac:dyDescent="0.2">
      <c r="A336" s="15" t="s">
        <v>109</v>
      </c>
      <c r="B336" s="16" t="s">
        <v>2287</v>
      </c>
      <c r="C336" s="15" t="s">
        <v>2288</v>
      </c>
      <c r="D336" s="15" t="s">
        <v>2475</v>
      </c>
      <c r="E336" s="15" t="s">
        <v>113</v>
      </c>
      <c r="F336" s="15" t="s">
        <v>2475</v>
      </c>
      <c r="G336" s="15" t="s">
        <v>114</v>
      </c>
      <c r="H336" s="15" t="s">
        <v>4536</v>
      </c>
      <c r="J336" s="18" t="s">
        <v>115</v>
      </c>
      <c r="W336" s="15">
        <v>378</v>
      </c>
      <c r="X336" s="15">
        <v>194</v>
      </c>
      <c r="Y336" s="15" t="s">
        <v>2458</v>
      </c>
      <c r="Z336" s="15" t="s">
        <v>2458</v>
      </c>
      <c r="AA336" s="34" t="s">
        <v>2476</v>
      </c>
      <c r="AB336" s="15" t="s">
        <v>4425</v>
      </c>
      <c r="AC336" s="15" t="s">
        <v>4425</v>
      </c>
      <c r="AD336" s="15" t="s">
        <v>4426</v>
      </c>
      <c r="AE336" s="15" t="s">
        <v>2311</v>
      </c>
      <c r="AF336" s="15" t="s">
        <v>4426</v>
      </c>
      <c r="AG336" s="33" t="s">
        <v>4425</v>
      </c>
      <c r="AH336" s="15" t="s">
        <v>4427</v>
      </c>
      <c r="AL336" s="15" t="s">
        <v>4428</v>
      </c>
      <c r="AN336" s="15">
        <v>3639</v>
      </c>
      <c r="AO336" s="15" t="s">
        <v>4429</v>
      </c>
      <c r="AQ336" s="15" t="s">
        <v>4220</v>
      </c>
      <c r="AT336" s="15" t="s">
        <v>4430</v>
      </c>
      <c r="AU336" s="15" t="s">
        <v>4431</v>
      </c>
      <c r="AV336" s="15" t="s">
        <v>4431</v>
      </c>
      <c r="AW336" s="15" t="s">
        <v>4432</v>
      </c>
      <c r="AX336" s="15" t="s">
        <v>4433</v>
      </c>
      <c r="AY336" s="15">
        <f t="shared" si="10"/>
        <v>56</v>
      </c>
      <c r="AZ336" s="15" t="s">
        <v>4421</v>
      </c>
      <c r="BA336" s="15" t="s">
        <v>4237</v>
      </c>
      <c r="BB336" s="15" t="s">
        <v>2452</v>
      </c>
      <c r="BE336" s="15" t="s">
        <v>4434</v>
      </c>
      <c r="BJ336" s="15" t="s">
        <v>4435</v>
      </c>
      <c r="BN336" s="15" t="s">
        <v>511</v>
      </c>
      <c r="BO336" s="15" t="s">
        <v>4436</v>
      </c>
      <c r="BP336" s="15" t="s">
        <v>346</v>
      </c>
      <c r="BS336" s="15" t="s">
        <v>4437</v>
      </c>
      <c r="DH336" s="15" t="s">
        <v>4597</v>
      </c>
      <c r="DI336" s="15" t="s">
        <v>4597</v>
      </c>
    </row>
    <row r="337" spans="1:113" s="15" customFormat="1" ht="12.75" x14ac:dyDescent="0.2">
      <c r="A337" s="15" t="s">
        <v>109</v>
      </c>
      <c r="B337" s="16" t="s">
        <v>2287</v>
      </c>
      <c r="C337" s="15" t="s">
        <v>2288</v>
      </c>
      <c r="D337" s="15" t="s">
        <v>2475</v>
      </c>
      <c r="E337" s="15" t="s">
        <v>113</v>
      </c>
      <c r="F337" s="15" t="s">
        <v>2475</v>
      </c>
      <c r="G337" s="15" t="s">
        <v>114</v>
      </c>
      <c r="H337" s="15" t="s">
        <v>4536</v>
      </c>
      <c r="J337" s="18" t="s">
        <v>115</v>
      </c>
      <c r="W337" s="15">
        <v>379</v>
      </c>
      <c r="X337" s="15">
        <v>195</v>
      </c>
      <c r="Y337" s="15" t="s">
        <v>2458</v>
      </c>
      <c r="Z337" s="15" t="s">
        <v>2458</v>
      </c>
      <c r="AA337" s="34" t="s">
        <v>2476</v>
      </c>
      <c r="AB337" s="15" t="s">
        <v>4438</v>
      </c>
      <c r="AC337" s="15" t="s">
        <v>4438</v>
      </c>
      <c r="AD337" s="15" t="s">
        <v>4439</v>
      </c>
      <c r="AE337" s="15" t="s">
        <v>2311</v>
      </c>
      <c r="AF337" s="15" t="s">
        <v>4439</v>
      </c>
      <c r="AG337" s="33" t="s">
        <v>4438</v>
      </c>
      <c r="AH337" s="15" t="s">
        <v>4440</v>
      </c>
      <c r="AL337" s="15" t="s">
        <v>4441</v>
      </c>
      <c r="AN337" s="15">
        <v>3639</v>
      </c>
      <c r="AO337" s="15" t="s">
        <v>4442</v>
      </c>
      <c r="AQ337" s="15" t="s">
        <v>4220</v>
      </c>
      <c r="AT337" s="15" t="s">
        <v>4443</v>
      </c>
      <c r="AU337" s="15" t="s">
        <v>4444</v>
      </c>
      <c r="AV337" s="15" t="s">
        <v>4444</v>
      </c>
      <c r="AW337" s="15" t="s">
        <v>4445</v>
      </c>
      <c r="AX337" s="15" t="s">
        <v>4446</v>
      </c>
      <c r="AY337" s="15">
        <f t="shared" si="10"/>
        <v>55</v>
      </c>
      <c r="AZ337" s="15" t="s">
        <v>4421</v>
      </c>
      <c r="BA337" s="15" t="s">
        <v>4237</v>
      </c>
      <c r="BB337" s="15" t="s">
        <v>2452</v>
      </c>
      <c r="BE337" s="15" t="s">
        <v>4362</v>
      </c>
      <c r="BJ337" s="15" t="s">
        <v>4435</v>
      </c>
      <c r="BN337" s="15" t="s">
        <v>511</v>
      </c>
      <c r="BO337" s="15" t="s">
        <v>4436</v>
      </c>
      <c r="BP337" s="15" t="s">
        <v>346</v>
      </c>
      <c r="BS337" s="15" t="s">
        <v>4447</v>
      </c>
      <c r="DH337" s="15" t="s">
        <v>4597</v>
      </c>
      <c r="DI337" s="15" t="s">
        <v>4597</v>
      </c>
    </row>
    <row r="338" spans="1:113" s="15" customFormat="1" ht="12.75" x14ac:dyDescent="0.2">
      <c r="A338" s="15" t="s">
        <v>109</v>
      </c>
      <c r="B338" s="16" t="s">
        <v>2287</v>
      </c>
      <c r="C338" s="15" t="s">
        <v>2288</v>
      </c>
      <c r="D338" s="15" t="s">
        <v>2475</v>
      </c>
      <c r="E338" s="15" t="s">
        <v>113</v>
      </c>
      <c r="F338" s="15" t="s">
        <v>2475</v>
      </c>
      <c r="G338" s="15" t="s">
        <v>114</v>
      </c>
      <c r="H338" s="15" t="s">
        <v>4536</v>
      </c>
      <c r="J338" s="18" t="s">
        <v>115</v>
      </c>
      <c r="W338" s="15">
        <v>380</v>
      </c>
      <c r="X338" s="15">
        <v>196</v>
      </c>
      <c r="Y338" s="15" t="s">
        <v>2458</v>
      </c>
      <c r="Z338" s="15" t="s">
        <v>2458</v>
      </c>
      <c r="AA338" s="34" t="s">
        <v>2476</v>
      </c>
      <c r="AB338" s="15" t="s">
        <v>4448</v>
      </c>
      <c r="AC338" s="15" t="s">
        <v>4448</v>
      </c>
      <c r="AD338" s="15" t="s">
        <v>4449</v>
      </c>
      <c r="AE338" s="15" t="s">
        <v>2311</v>
      </c>
      <c r="AF338" s="15" t="s">
        <v>4449</v>
      </c>
      <c r="AG338" s="33" t="s">
        <v>4448</v>
      </c>
      <c r="AH338" s="15" t="s">
        <v>4450</v>
      </c>
      <c r="AL338" s="15" t="s">
        <v>4451</v>
      </c>
      <c r="AN338" s="15">
        <v>3639</v>
      </c>
      <c r="AO338" s="15" t="s">
        <v>4452</v>
      </c>
      <c r="AQ338" s="15" t="s">
        <v>4220</v>
      </c>
      <c r="AT338" s="15" t="s">
        <v>4453</v>
      </c>
      <c r="AU338" s="15" t="s">
        <v>4454</v>
      </c>
      <c r="AV338" s="15" t="s">
        <v>4454</v>
      </c>
      <c r="AW338" s="15" t="s">
        <v>4455</v>
      </c>
      <c r="AX338" s="15" t="s">
        <v>4456</v>
      </c>
      <c r="AY338" s="15">
        <f t="shared" si="10"/>
        <v>52</v>
      </c>
      <c r="AZ338" s="15" t="s">
        <v>2441</v>
      </c>
      <c r="BA338" s="15" t="s">
        <v>4237</v>
      </c>
      <c r="BB338" s="15" t="s">
        <v>4251</v>
      </c>
      <c r="BE338" s="15" t="s">
        <v>4457</v>
      </c>
      <c r="BJ338" s="15" t="s">
        <v>4458</v>
      </c>
      <c r="BN338" s="15" t="s">
        <v>511</v>
      </c>
      <c r="BP338" s="15" t="s">
        <v>346</v>
      </c>
      <c r="BR338" s="15" t="s">
        <v>3797</v>
      </c>
      <c r="BS338" s="15" t="s">
        <v>4459</v>
      </c>
      <c r="DH338" s="15" t="s">
        <v>4597</v>
      </c>
      <c r="DI338" s="15" t="s">
        <v>4597</v>
      </c>
    </row>
    <row r="339" spans="1:113" s="15" customFormat="1" ht="12.75" x14ac:dyDescent="0.2">
      <c r="A339" s="15" t="s">
        <v>109</v>
      </c>
      <c r="B339" s="16" t="s">
        <v>2287</v>
      </c>
      <c r="C339" s="15" t="s">
        <v>2288</v>
      </c>
      <c r="D339" s="15" t="s">
        <v>2475</v>
      </c>
      <c r="E339" s="15" t="s">
        <v>113</v>
      </c>
      <c r="F339" s="15" t="s">
        <v>2475</v>
      </c>
      <c r="G339" s="15" t="s">
        <v>114</v>
      </c>
      <c r="H339" s="15" t="s">
        <v>4536</v>
      </c>
      <c r="J339" s="18" t="s">
        <v>115</v>
      </c>
      <c r="W339" s="15">
        <v>381</v>
      </c>
      <c r="X339" s="15">
        <v>197</v>
      </c>
      <c r="Y339" s="15" t="s">
        <v>2458</v>
      </c>
      <c r="Z339" s="15" t="s">
        <v>2458</v>
      </c>
      <c r="AA339" s="34" t="s">
        <v>2476</v>
      </c>
      <c r="AB339" s="15" t="s">
        <v>4460</v>
      </c>
      <c r="AC339" s="15" t="s">
        <v>4460</v>
      </c>
      <c r="AD339" s="15" t="s">
        <v>4461</v>
      </c>
      <c r="AE339" s="15" t="s">
        <v>2311</v>
      </c>
      <c r="AF339" s="15" t="s">
        <v>4461</v>
      </c>
      <c r="AG339" s="33" t="s">
        <v>4460</v>
      </c>
      <c r="AH339" s="15" t="s">
        <v>4462</v>
      </c>
      <c r="AL339" s="15" t="s">
        <v>4463</v>
      </c>
      <c r="AN339" s="15">
        <v>3639</v>
      </c>
      <c r="AO339" s="15" t="s">
        <v>4464</v>
      </c>
      <c r="AQ339" s="15" t="s">
        <v>4220</v>
      </c>
      <c r="AT339" s="15" t="s">
        <v>4465</v>
      </c>
      <c r="AU339" s="15" t="s">
        <v>4466</v>
      </c>
      <c r="AV339" s="15" t="s">
        <v>4466</v>
      </c>
      <c r="AW339" s="15" t="s">
        <v>4467</v>
      </c>
      <c r="AX339" s="15" t="s">
        <v>4467</v>
      </c>
      <c r="AY339" s="15">
        <f t="shared" si="10"/>
        <v>36</v>
      </c>
      <c r="AZ339" s="15" t="s">
        <v>4421</v>
      </c>
      <c r="BA339" s="15" t="s">
        <v>4237</v>
      </c>
      <c r="BB339" s="15" t="s">
        <v>4294</v>
      </c>
      <c r="BE339" s="15" t="s">
        <v>4468</v>
      </c>
      <c r="BN339" s="15" t="s">
        <v>511</v>
      </c>
      <c r="BP339" s="15" t="s">
        <v>346</v>
      </c>
      <c r="BR339" s="15" t="s">
        <v>3797</v>
      </c>
      <c r="BS339" s="15" t="s">
        <v>4469</v>
      </c>
      <c r="DH339" s="15" t="s">
        <v>4597</v>
      </c>
      <c r="DI339" s="15" t="s">
        <v>4597</v>
      </c>
    </row>
    <row r="340" spans="1:113" s="15" customFormat="1" ht="12.75" x14ac:dyDescent="0.2">
      <c r="A340" s="15" t="s">
        <v>109</v>
      </c>
      <c r="B340" s="16" t="s">
        <v>2287</v>
      </c>
      <c r="C340" s="15" t="s">
        <v>2288</v>
      </c>
      <c r="D340" s="15" t="s">
        <v>2475</v>
      </c>
      <c r="E340" s="15" t="s">
        <v>113</v>
      </c>
      <c r="F340" s="15" t="s">
        <v>2475</v>
      </c>
      <c r="G340" s="15" t="s">
        <v>114</v>
      </c>
      <c r="H340" s="15" t="s">
        <v>4536</v>
      </c>
      <c r="J340" s="18" t="s">
        <v>115</v>
      </c>
      <c r="W340" s="15">
        <v>382</v>
      </c>
      <c r="X340" s="15">
        <v>198</v>
      </c>
      <c r="Y340" s="15" t="s">
        <v>2458</v>
      </c>
      <c r="Z340" s="15" t="s">
        <v>2458</v>
      </c>
      <c r="AA340" s="34" t="s">
        <v>2476</v>
      </c>
      <c r="AB340" s="15" t="s">
        <v>4470</v>
      </c>
      <c r="AC340" s="15" t="s">
        <v>4470</v>
      </c>
      <c r="AD340" s="15" t="s">
        <v>4471</v>
      </c>
      <c r="AE340" s="15" t="s">
        <v>2311</v>
      </c>
      <c r="AF340" s="15" t="s">
        <v>4471</v>
      </c>
      <c r="AG340" s="33" t="s">
        <v>4470</v>
      </c>
      <c r="AH340" s="15" t="s">
        <v>4472</v>
      </c>
      <c r="AL340" s="15" t="s">
        <v>4473</v>
      </c>
      <c r="AN340" s="15">
        <v>3639</v>
      </c>
      <c r="AO340" s="15" t="s">
        <v>4474</v>
      </c>
      <c r="AQ340" s="15" t="s">
        <v>4220</v>
      </c>
      <c r="AT340" s="15" t="s">
        <v>4475</v>
      </c>
      <c r="AU340" s="15" t="s">
        <v>4476</v>
      </c>
      <c r="AV340" s="15" t="s">
        <v>4476</v>
      </c>
      <c r="AW340" s="15" t="s">
        <v>4477</v>
      </c>
      <c r="AX340" s="15" t="s">
        <v>4478</v>
      </c>
      <c r="AY340" s="15">
        <f t="shared" ref="AY340:AY359" si="11">LEN(SUBSTITUTE(AX340, ", "," "))</f>
        <v>54</v>
      </c>
      <c r="AZ340" s="15" t="s">
        <v>2441</v>
      </c>
      <c r="BA340" s="15" t="s">
        <v>4237</v>
      </c>
      <c r="BB340" s="15" t="s">
        <v>4251</v>
      </c>
      <c r="BE340" s="15" t="s">
        <v>4238</v>
      </c>
      <c r="BJ340" s="15" t="s">
        <v>4479</v>
      </c>
      <c r="BN340" s="15" t="s">
        <v>511</v>
      </c>
      <c r="BP340" s="15" t="s">
        <v>346</v>
      </c>
      <c r="BR340" s="15" t="s">
        <v>3797</v>
      </c>
      <c r="BS340" s="15" t="s">
        <v>4480</v>
      </c>
      <c r="DH340" s="15" t="s">
        <v>4597</v>
      </c>
      <c r="DI340" s="15" t="s">
        <v>4597</v>
      </c>
    </row>
    <row r="341" spans="1:113" s="15" customFormat="1" ht="12.75" x14ac:dyDescent="0.2">
      <c r="A341" s="15" t="s">
        <v>109</v>
      </c>
      <c r="B341" s="16" t="s">
        <v>2287</v>
      </c>
      <c r="C341" s="15" t="s">
        <v>2288</v>
      </c>
      <c r="D341" s="15" t="s">
        <v>2475</v>
      </c>
      <c r="E341" s="15" t="s">
        <v>113</v>
      </c>
      <c r="F341" s="15" t="s">
        <v>2475</v>
      </c>
      <c r="G341" s="15" t="s">
        <v>114</v>
      </c>
      <c r="H341" s="15" t="s">
        <v>4536</v>
      </c>
      <c r="J341" s="18" t="s">
        <v>115</v>
      </c>
      <c r="W341" s="15">
        <v>383</v>
      </c>
      <c r="X341" s="15">
        <v>199</v>
      </c>
      <c r="Y341" s="15" t="s">
        <v>2458</v>
      </c>
      <c r="Z341" s="15" t="s">
        <v>2458</v>
      </c>
      <c r="AA341" s="34" t="s">
        <v>2476</v>
      </c>
      <c r="AB341" s="15" t="s">
        <v>4481</v>
      </c>
      <c r="AC341" s="15" t="s">
        <v>4481</v>
      </c>
      <c r="AD341" s="15" t="s">
        <v>4482</v>
      </c>
      <c r="AE341" s="15" t="s">
        <v>2311</v>
      </c>
      <c r="AF341" s="15" t="s">
        <v>4482</v>
      </c>
      <c r="AG341" s="33" t="s">
        <v>4481</v>
      </c>
      <c r="AH341" s="15" t="s">
        <v>4483</v>
      </c>
      <c r="AL341" s="15" t="s">
        <v>4484</v>
      </c>
      <c r="AN341" s="15">
        <v>3639</v>
      </c>
      <c r="AO341" s="15" t="s">
        <v>4485</v>
      </c>
      <c r="AQ341" s="15" t="s">
        <v>4220</v>
      </c>
      <c r="AT341" s="15" t="s">
        <v>4486</v>
      </c>
      <c r="AU341" s="15" t="s">
        <v>4487</v>
      </c>
      <c r="AV341" s="15" t="s">
        <v>4487</v>
      </c>
      <c r="AW341" s="15" t="s">
        <v>4488</v>
      </c>
      <c r="AX341" s="15" t="s">
        <v>4488</v>
      </c>
      <c r="AY341" s="15">
        <f t="shared" si="11"/>
        <v>60</v>
      </c>
      <c r="AZ341" s="15" t="s">
        <v>2441</v>
      </c>
      <c r="BA341" s="15" t="s">
        <v>4237</v>
      </c>
      <c r="BB341" s="15" t="s">
        <v>4489</v>
      </c>
      <c r="BE341" s="15" t="s">
        <v>4238</v>
      </c>
      <c r="BJ341" s="15" t="s">
        <v>4490</v>
      </c>
      <c r="BN341" s="15" t="s">
        <v>511</v>
      </c>
      <c r="BP341" s="15" t="s">
        <v>346</v>
      </c>
      <c r="BR341" s="15" t="s">
        <v>3797</v>
      </c>
      <c r="BS341" s="15" t="s">
        <v>4491</v>
      </c>
      <c r="DH341" s="15" t="s">
        <v>4597</v>
      </c>
      <c r="DI341" s="15" t="s">
        <v>4597</v>
      </c>
    </row>
    <row r="342" spans="1:113" s="15" customFormat="1" ht="12.75" x14ac:dyDescent="0.2">
      <c r="A342" s="15" t="s">
        <v>109</v>
      </c>
      <c r="B342" s="16" t="s">
        <v>2287</v>
      </c>
      <c r="C342" s="15" t="s">
        <v>2288</v>
      </c>
      <c r="D342" s="15" t="s">
        <v>2475</v>
      </c>
      <c r="E342" s="15" t="s">
        <v>113</v>
      </c>
      <c r="F342" s="15" t="s">
        <v>2475</v>
      </c>
      <c r="G342" s="15" t="s">
        <v>114</v>
      </c>
      <c r="H342" s="15" t="s">
        <v>4536</v>
      </c>
      <c r="J342" s="18" t="s">
        <v>115</v>
      </c>
      <c r="W342" s="15">
        <v>384</v>
      </c>
      <c r="X342" s="15">
        <v>200</v>
      </c>
      <c r="Y342" s="15" t="s">
        <v>2458</v>
      </c>
      <c r="Z342" s="15" t="s">
        <v>2458</v>
      </c>
      <c r="AA342" s="34" t="s">
        <v>2476</v>
      </c>
      <c r="AB342" s="15" t="s">
        <v>4492</v>
      </c>
      <c r="AC342" s="15" t="s">
        <v>4492</v>
      </c>
      <c r="AD342" s="15" t="s">
        <v>4493</v>
      </c>
      <c r="AE342" s="15" t="s">
        <v>2311</v>
      </c>
      <c r="AF342" s="15" t="s">
        <v>4493</v>
      </c>
      <c r="AG342" s="33" t="s">
        <v>4492</v>
      </c>
      <c r="AH342" s="15" t="s">
        <v>4494</v>
      </c>
      <c r="AL342" s="15" t="s">
        <v>4495</v>
      </c>
      <c r="AN342" s="15">
        <v>3639</v>
      </c>
      <c r="AO342" s="15" t="s">
        <v>4496</v>
      </c>
      <c r="AQ342" s="15" t="s">
        <v>4220</v>
      </c>
      <c r="AT342" s="15" t="s">
        <v>4497</v>
      </c>
      <c r="AU342" s="15" t="s">
        <v>4498</v>
      </c>
      <c r="AV342" s="15" t="s">
        <v>4498</v>
      </c>
      <c r="AW342" s="15" t="s">
        <v>4499</v>
      </c>
      <c r="AX342" s="15" t="s">
        <v>4500</v>
      </c>
      <c r="AY342" s="15">
        <f t="shared" si="11"/>
        <v>57</v>
      </c>
      <c r="AZ342" s="15" t="s">
        <v>2441</v>
      </c>
      <c r="BA342" s="15" t="s">
        <v>4237</v>
      </c>
      <c r="BB342" s="15" t="s">
        <v>4501</v>
      </c>
      <c r="BE342" s="15" t="s">
        <v>4502</v>
      </c>
      <c r="BJ342" s="15" t="s">
        <v>4490</v>
      </c>
      <c r="BN342" s="15" t="s">
        <v>511</v>
      </c>
      <c r="BP342" s="15" t="s">
        <v>346</v>
      </c>
      <c r="BR342" s="15" t="s">
        <v>3797</v>
      </c>
      <c r="BS342" s="15" t="s">
        <v>4503</v>
      </c>
      <c r="DH342" s="15" t="s">
        <v>4597</v>
      </c>
      <c r="DI342" s="15" t="s">
        <v>4597</v>
      </c>
    </row>
    <row r="343" spans="1:113" s="15" customFormat="1" ht="12.75" x14ac:dyDescent="0.2">
      <c r="A343" s="15" t="s">
        <v>109</v>
      </c>
      <c r="B343" s="16" t="s">
        <v>2287</v>
      </c>
      <c r="C343" s="15" t="s">
        <v>2288</v>
      </c>
      <c r="D343" s="15" t="s">
        <v>2475</v>
      </c>
      <c r="E343" s="15" t="s">
        <v>113</v>
      </c>
      <c r="F343" s="15" t="s">
        <v>2475</v>
      </c>
      <c r="G343" s="15" t="s">
        <v>114</v>
      </c>
      <c r="H343" s="15" t="s">
        <v>4536</v>
      </c>
      <c r="J343" s="18" t="s">
        <v>115</v>
      </c>
      <c r="W343" s="15">
        <v>385</v>
      </c>
      <c r="X343" s="15">
        <v>201</v>
      </c>
      <c r="Y343" s="15" t="s">
        <v>2458</v>
      </c>
      <c r="Z343" s="15" t="s">
        <v>2458</v>
      </c>
      <c r="AA343" s="34" t="s">
        <v>2476</v>
      </c>
      <c r="AB343" s="15" t="s">
        <v>4504</v>
      </c>
      <c r="AC343" s="15" t="s">
        <v>4504</v>
      </c>
      <c r="AD343" s="15" t="s">
        <v>4505</v>
      </c>
      <c r="AE343" s="15" t="s">
        <v>2311</v>
      </c>
      <c r="AF343" s="15" t="s">
        <v>4505</v>
      </c>
      <c r="AG343" s="33" t="s">
        <v>4504</v>
      </c>
      <c r="AH343" s="15" t="s">
        <v>4506</v>
      </c>
      <c r="AL343" s="15" t="s">
        <v>4507</v>
      </c>
      <c r="AN343" s="15">
        <v>3639</v>
      </c>
      <c r="AO343" s="15" t="s">
        <v>4508</v>
      </c>
      <c r="AQ343" s="15" t="s">
        <v>4509</v>
      </c>
      <c r="AT343" s="16" t="s">
        <v>4510</v>
      </c>
      <c r="AU343" s="15" t="s">
        <v>4511</v>
      </c>
      <c r="AV343" s="15" t="s">
        <v>4511</v>
      </c>
      <c r="AW343" s="15" t="s">
        <v>4512</v>
      </c>
      <c r="AX343" s="15" t="s">
        <v>4513</v>
      </c>
      <c r="AY343" s="15">
        <f t="shared" si="11"/>
        <v>51</v>
      </c>
      <c r="AZ343" s="15" t="s">
        <v>4514</v>
      </c>
      <c r="BA343" s="15" t="s">
        <v>2529</v>
      </c>
      <c r="BE343" s="15" t="s">
        <v>4515</v>
      </c>
      <c r="BJ343" s="15" t="s">
        <v>4516</v>
      </c>
      <c r="BN343" s="15" t="s">
        <v>138</v>
      </c>
      <c r="BO343" s="16" t="s">
        <v>4517</v>
      </c>
      <c r="BP343" s="15" t="s">
        <v>140</v>
      </c>
      <c r="BR343" s="15" t="s">
        <v>4518</v>
      </c>
      <c r="BS343" s="15" t="s">
        <v>4519</v>
      </c>
      <c r="BX343" s="15" t="s">
        <v>4520</v>
      </c>
      <c r="DH343" s="15" t="s">
        <v>4597</v>
      </c>
      <c r="DI343" s="15" t="s">
        <v>4597</v>
      </c>
    </row>
    <row r="344" spans="1:113" s="15" customFormat="1" ht="12.75" x14ac:dyDescent="0.2">
      <c r="A344" s="15" t="s">
        <v>109</v>
      </c>
      <c r="B344" s="16" t="s">
        <v>2287</v>
      </c>
      <c r="C344" s="15" t="s">
        <v>2288</v>
      </c>
      <c r="D344" s="15" t="s">
        <v>2179</v>
      </c>
      <c r="E344" s="15" t="s">
        <v>113</v>
      </c>
      <c r="F344" s="15" t="s">
        <v>2179</v>
      </c>
      <c r="G344" s="15" t="s">
        <v>2180</v>
      </c>
      <c r="H344" s="15" t="s">
        <v>4536</v>
      </c>
      <c r="J344" s="18" t="s">
        <v>115</v>
      </c>
      <c r="W344" s="15">
        <v>186</v>
      </c>
      <c r="X344" s="15">
        <v>2</v>
      </c>
      <c r="Y344" s="15" t="s">
        <v>2308</v>
      </c>
      <c r="Z344" s="15" t="s">
        <v>2309</v>
      </c>
      <c r="AA344" s="15" t="s">
        <v>2309</v>
      </c>
      <c r="AB344" s="15" t="s">
        <v>2310</v>
      </c>
      <c r="AC344" s="15" t="s">
        <v>2310</v>
      </c>
      <c r="AD344" s="15" t="s">
        <v>2310</v>
      </c>
      <c r="AE344" s="15" t="s">
        <v>2311</v>
      </c>
      <c r="AF344" s="15" t="s">
        <v>2310</v>
      </c>
      <c r="AG344" s="15" t="s">
        <v>2310</v>
      </c>
      <c r="AH344" s="15" t="s">
        <v>2312</v>
      </c>
      <c r="AL344" s="15" t="s">
        <v>2313</v>
      </c>
      <c r="AN344" s="15">
        <v>1113</v>
      </c>
      <c r="AO344" s="15" t="s">
        <v>2314</v>
      </c>
      <c r="AQ344" s="15" t="s">
        <v>2315</v>
      </c>
      <c r="AT344" s="17" t="s">
        <v>2316</v>
      </c>
      <c r="AU344" s="15" t="s">
        <v>2317</v>
      </c>
      <c r="AV344" s="15" t="s">
        <v>2317</v>
      </c>
      <c r="AW344" s="17" t="s">
        <v>2318</v>
      </c>
      <c r="AX344" s="17" t="s">
        <v>2318</v>
      </c>
      <c r="AY344" s="15">
        <f t="shared" si="11"/>
        <v>39</v>
      </c>
      <c r="AZ344" s="17" t="s">
        <v>2319</v>
      </c>
      <c r="BA344" s="17" t="s">
        <v>2320</v>
      </c>
      <c r="BB344" s="17"/>
      <c r="BC344" s="17"/>
      <c r="BD344" s="17"/>
      <c r="BE344" s="17" t="s">
        <v>2321</v>
      </c>
      <c r="BF344" s="17"/>
      <c r="BG344" s="17"/>
      <c r="BH344" s="17"/>
      <c r="BI344" s="17"/>
      <c r="BJ344" s="17"/>
      <c r="BK344" s="17"/>
      <c r="BL344" s="17"/>
      <c r="BM344" s="17"/>
      <c r="BN344" s="17" t="s">
        <v>138</v>
      </c>
      <c r="BO344" s="17" t="s">
        <v>2322</v>
      </c>
      <c r="BP344" s="17" t="s">
        <v>346</v>
      </c>
      <c r="BQ344" s="17"/>
      <c r="BR344" s="17"/>
      <c r="BS344" s="15" t="s">
        <v>2323</v>
      </c>
      <c r="BT344" s="15" t="s">
        <v>2324</v>
      </c>
      <c r="DH344" s="15" t="s">
        <v>4597</v>
      </c>
      <c r="DI344" s="15" t="s">
        <v>4597</v>
      </c>
    </row>
    <row r="345" spans="1:113" s="15" customFormat="1" ht="12.75" x14ac:dyDescent="0.2">
      <c r="A345" s="15" t="s">
        <v>109</v>
      </c>
      <c r="B345" s="16" t="s">
        <v>2287</v>
      </c>
      <c r="C345" s="15" t="s">
        <v>2288</v>
      </c>
      <c r="D345" s="15" t="s">
        <v>2179</v>
      </c>
      <c r="E345" s="15" t="s">
        <v>113</v>
      </c>
      <c r="F345" s="15" t="s">
        <v>2179</v>
      </c>
      <c r="G345" s="15" t="s">
        <v>2180</v>
      </c>
      <c r="H345" s="15" t="s">
        <v>4536</v>
      </c>
      <c r="J345" s="18" t="s">
        <v>115</v>
      </c>
      <c r="W345" s="15">
        <v>187</v>
      </c>
      <c r="X345" s="15">
        <v>3</v>
      </c>
      <c r="Y345" s="15" t="s">
        <v>2308</v>
      </c>
      <c r="Z345" s="15" t="s">
        <v>2309</v>
      </c>
      <c r="AA345" s="15" t="s">
        <v>2309</v>
      </c>
      <c r="AB345" s="15" t="s">
        <v>2325</v>
      </c>
      <c r="AC345" s="15" t="s">
        <v>2325</v>
      </c>
      <c r="AD345" s="15" t="s">
        <v>2325</v>
      </c>
      <c r="AE345" s="15" t="s">
        <v>2311</v>
      </c>
      <c r="AF345" s="15" t="s">
        <v>2325</v>
      </c>
      <c r="AG345" s="15" t="s">
        <v>2325</v>
      </c>
      <c r="AH345" s="15" t="s">
        <v>2326</v>
      </c>
      <c r="AL345" s="15" t="s">
        <v>2327</v>
      </c>
      <c r="AN345" s="15">
        <v>1113</v>
      </c>
      <c r="AO345" s="15" t="s">
        <v>2328</v>
      </c>
      <c r="AQ345" s="15" t="s">
        <v>2315</v>
      </c>
      <c r="AT345" s="17" t="s">
        <v>2329</v>
      </c>
      <c r="AU345" s="15" t="s">
        <v>2330</v>
      </c>
      <c r="AV345" s="15" t="s">
        <v>2330</v>
      </c>
      <c r="AW345" s="17" t="s">
        <v>2331</v>
      </c>
      <c r="AX345" s="17" t="s">
        <v>2331</v>
      </c>
      <c r="AY345" s="15">
        <f t="shared" si="11"/>
        <v>39</v>
      </c>
      <c r="AZ345" s="17" t="s">
        <v>2319</v>
      </c>
      <c r="BA345" s="17" t="s">
        <v>2320</v>
      </c>
      <c r="BB345" s="17"/>
      <c r="BC345" s="17"/>
      <c r="BD345" s="17"/>
      <c r="BE345" s="17" t="s">
        <v>2332</v>
      </c>
      <c r="BF345" s="17"/>
      <c r="BG345" s="17"/>
      <c r="BH345" s="17"/>
      <c r="BI345" s="17"/>
      <c r="BJ345" s="17"/>
      <c r="BK345" s="17"/>
      <c r="BL345" s="17"/>
      <c r="BM345" s="17"/>
      <c r="BN345" s="17" t="s">
        <v>138</v>
      </c>
      <c r="BO345" s="17" t="s">
        <v>2322</v>
      </c>
      <c r="BP345" s="17" t="s">
        <v>346</v>
      </c>
      <c r="BQ345" s="17"/>
      <c r="BR345" s="17"/>
      <c r="BS345" s="15" t="s">
        <v>2333</v>
      </c>
      <c r="BT345" s="15" t="s">
        <v>2324</v>
      </c>
      <c r="DH345" s="15" t="s">
        <v>4597</v>
      </c>
      <c r="DI345" s="15" t="s">
        <v>4597</v>
      </c>
    </row>
    <row r="346" spans="1:113" s="15" customFormat="1" ht="12.75" x14ac:dyDescent="0.2">
      <c r="A346" s="15" t="s">
        <v>109</v>
      </c>
      <c r="B346" s="16" t="s">
        <v>2287</v>
      </c>
      <c r="C346" s="15" t="s">
        <v>2288</v>
      </c>
      <c r="D346" s="15" t="s">
        <v>2179</v>
      </c>
      <c r="E346" s="15" t="s">
        <v>113</v>
      </c>
      <c r="F346" s="15" t="s">
        <v>2179</v>
      </c>
      <c r="G346" s="15" t="s">
        <v>2180</v>
      </c>
      <c r="H346" s="15" t="s">
        <v>4536</v>
      </c>
      <c r="J346" s="18" t="s">
        <v>115</v>
      </c>
      <c r="W346" s="15">
        <v>188</v>
      </c>
      <c r="X346" s="15">
        <v>4</v>
      </c>
      <c r="Y346" s="15" t="s">
        <v>2308</v>
      </c>
      <c r="Z346" s="15" t="s">
        <v>2309</v>
      </c>
      <c r="AA346" s="15" t="s">
        <v>2309</v>
      </c>
      <c r="AB346" s="15" t="s">
        <v>2334</v>
      </c>
      <c r="AC346" s="15" t="s">
        <v>2334</v>
      </c>
      <c r="AD346" s="15" t="s">
        <v>2334</v>
      </c>
      <c r="AE346" s="15" t="s">
        <v>2311</v>
      </c>
      <c r="AF346" s="15" t="s">
        <v>2334</v>
      </c>
      <c r="AG346" s="15" t="s">
        <v>2334</v>
      </c>
      <c r="AH346" s="15" t="s">
        <v>2335</v>
      </c>
      <c r="AL346" s="15" t="s">
        <v>2336</v>
      </c>
      <c r="AN346" s="15">
        <v>1113</v>
      </c>
      <c r="AO346" s="15" t="s">
        <v>2337</v>
      </c>
      <c r="AQ346" s="15" t="s">
        <v>2315</v>
      </c>
      <c r="AT346" s="17" t="s">
        <v>2338</v>
      </c>
      <c r="AU346" s="15" t="s">
        <v>2339</v>
      </c>
      <c r="AV346" s="15" t="s">
        <v>2339</v>
      </c>
      <c r="AW346" s="17" t="s">
        <v>2340</v>
      </c>
      <c r="AX346" s="17" t="s">
        <v>2340</v>
      </c>
      <c r="AY346" s="15">
        <f t="shared" si="11"/>
        <v>39</v>
      </c>
      <c r="AZ346" s="17" t="s">
        <v>2319</v>
      </c>
      <c r="BA346" s="17" t="s">
        <v>2320</v>
      </c>
      <c r="BB346" s="17"/>
      <c r="BC346" s="17"/>
      <c r="BD346" s="17"/>
      <c r="BE346" s="17" t="s">
        <v>2341</v>
      </c>
      <c r="BF346" s="17"/>
      <c r="BG346" s="17"/>
      <c r="BH346" s="17"/>
      <c r="BI346" s="17"/>
      <c r="BJ346" s="17"/>
      <c r="BK346" s="17"/>
      <c r="BL346" s="17"/>
      <c r="BM346" s="17"/>
      <c r="BN346" s="17" t="s">
        <v>138</v>
      </c>
      <c r="BO346" s="17" t="s">
        <v>2322</v>
      </c>
      <c r="BP346" s="17" t="s">
        <v>346</v>
      </c>
      <c r="BQ346" s="17"/>
      <c r="BR346" s="17"/>
      <c r="BS346" s="15" t="s">
        <v>2342</v>
      </c>
      <c r="BT346" s="15" t="s">
        <v>2324</v>
      </c>
      <c r="DH346" s="15" t="s">
        <v>4597</v>
      </c>
      <c r="DI346" s="15" t="s">
        <v>4597</v>
      </c>
    </row>
    <row r="347" spans="1:113" s="15" customFormat="1" ht="12.75" x14ac:dyDescent="0.2">
      <c r="A347" s="15" t="s">
        <v>109</v>
      </c>
      <c r="B347" s="16" t="s">
        <v>2287</v>
      </c>
      <c r="C347" s="15" t="s">
        <v>2288</v>
      </c>
      <c r="D347" s="15" t="s">
        <v>2179</v>
      </c>
      <c r="E347" s="15" t="s">
        <v>113</v>
      </c>
      <c r="F347" s="15" t="s">
        <v>2179</v>
      </c>
      <c r="G347" s="15" t="s">
        <v>2180</v>
      </c>
      <c r="H347" s="15" t="s">
        <v>4536</v>
      </c>
      <c r="J347" s="18" t="s">
        <v>115</v>
      </c>
      <c r="W347" s="15">
        <v>189</v>
      </c>
      <c r="X347" s="15">
        <v>5</v>
      </c>
      <c r="Y347" s="15" t="s">
        <v>2308</v>
      </c>
      <c r="Z347" s="15" t="s">
        <v>2309</v>
      </c>
      <c r="AA347" s="15" t="s">
        <v>2309</v>
      </c>
      <c r="AB347" s="15" t="s">
        <v>2343</v>
      </c>
      <c r="AC347" s="15" t="s">
        <v>2343</v>
      </c>
      <c r="AD347" s="15" t="s">
        <v>2343</v>
      </c>
      <c r="AE347" s="15" t="s">
        <v>2311</v>
      </c>
      <c r="AF347" s="15" t="s">
        <v>2343</v>
      </c>
      <c r="AG347" s="15" t="s">
        <v>2343</v>
      </c>
      <c r="AH347" s="15" t="s">
        <v>2344</v>
      </c>
      <c r="AL347" s="15" t="s">
        <v>2345</v>
      </c>
      <c r="AN347" s="15">
        <v>1113</v>
      </c>
      <c r="AO347" s="15" t="s">
        <v>2346</v>
      </c>
      <c r="AQ347" s="15" t="s">
        <v>2315</v>
      </c>
      <c r="AT347" s="17" t="s">
        <v>2347</v>
      </c>
      <c r="AU347" s="15" t="s">
        <v>2348</v>
      </c>
      <c r="AV347" s="15" t="s">
        <v>2348</v>
      </c>
      <c r="AW347" s="17" t="s">
        <v>2349</v>
      </c>
      <c r="AX347" s="17" t="s">
        <v>2349</v>
      </c>
      <c r="AY347" s="15">
        <f t="shared" si="11"/>
        <v>39</v>
      </c>
      <c r="AZ347" s="17" t="s">
        <v>2319</v>
      </c>
      <c r="BA347" s="17" t="s">
        <v>2320</v>
      </c>
      <c r="BB347" s="17"/>
      <c r="BC347" s="17"/>
      <c r="BD347" s="17"/>
      <c r="BE347" s="17" t="s">
        <v>2350</v>
      </c>
      <c r="BF347" s="17"/>
      <c r="BG347" s="17"/>
      <c r="BH347" s="17"/>
      <c r="BI347" s="17"/>
      <c r="BJ347" s="17"/>
      <c r="BK347" s="17"/>
      <c r="BL347" s="17"/>
      <c r="BM347" s="17"/>
      <c r="BN347" s="17" t="s">
        <v>138</v>
      </c>
      <c r="BO347" s="17" t="s">
        <v>2322</v>
      </c>
      <c r="BP347" s="17" t="s">
        <v>346</v>
      </c>
      <c r="BQ347" s="17"/>
      <c r="BR347" s="17"/>
      <c r="BS347" s="15" t="s">
        <v>2351</v>
      </c>
      <c r="BT347" s="15" t="s">
        <v>2324</v>
      </c>
      <c r="DH347" s="15" t="s">
        <v>4597</v>
      </c>
      <c r="DI347" s="15" t="s">
        <v>4597</v>
      </c>
    </row>
    <row r="348" spans="1:113" s="15" customFormat="1" ht="12.75" x14ac:dyDescent="0.2">
      <c r="A348" s="15" t="s">
        <v>109</v>
      </c>
      <c r="B348" s="16" t="s">
        <v>2287</v>
      </c>
      <c r="C348" s="15" t="s">
        <v>2288</v>
      </c>
      <c r="D348" s="15" t="s">
        <v>2179</v>
      </c>
      <c r="E348" s="15" t="s">
        <v>113</v>
      </c>
      <c r="F348" s="15" t="s">
        <v>2179</v>
      </c>
      <c r="G348" s="15" t="s">
        <v>2180</v>
      </c>
      <c r="H348" s="15" t="s">
        <v>4536</v>
      </c>
      <c r="J348" s="18" t="s">
        <v>115</v>
      </c>
      <c r="W348" s="15">
        <v>190</v>
      </c>
      <c r="X348" s="15">
        <v>6</v>
      </c>
      <c r="Y348" s="15" t="s">
        <v>2308</v>
      </c>
      <c r="Z348" s="15" t="s">
        <v>2309</v>
      </c>
      <c r="AA348" s="15" t="s">
        <v>2309</v>
      </c>
      <c r="AB348" s="15" t="s">
        <v>2352</v>
      </c>
      <c r="AC348" s="15" t="s">
        <v>2352</v>
      </c>
      <c r="AD348" s="15" t="s">
        <v>2352</v>
      </c>
      <c r="AE348" s="15" t="s">
        <v>2311</v>
      </c>
      <c r="AF348" s="15" t="s">
        <v>2352</v>
      </c>
      <c r="AG348" s="15" t="s">
        <v>2352</v>
      </c>
      <c r="AH348" s="15" t="s">
        <v>2353</v>
      </c>
      <c r="AL348" s="15" t="s">
        <v>2354</v>
      </c>
      <c r="AN348" s="15">
        <v>1113</v>
      </c>
      <c r="AO348" s="15" t="s">
        <v>2355</v>
      </c>
      <c r="AQ348" s="15" t="s">
        <v>2315</v>
      </c>
      <c r="AT348" s="17" t="s">
        <v>2356</v>
      </c>
      <c r="AU348" s="15" t="s">
        <v>2357</v>
      </c>
      <c r="AV348" s="15" t="s">
        <v>2357</v>
      </c>
      <c r="AW348" s="17" t="s">
        <v>2358</v>
      </c>
      <c r="AX348" s="17" t="s">
        <v>2358</v>
      </c>
      <c r="AY348" s="15">
        <f t="shared" si="11"/>
        <v>39</v>
      </c>
      <c r="AZ348" s="17" t="s">
        <v>2319</v>
      </c>
      <c r="BA348" s="17" t="s">
        <v>2320</v>
      </c>
      <c r="BB348" s="17"/>
      <c r="BC348" s="17"/>
      <c r="BD348" s="17"/>
      <c r="BE348" s="17" t="s">
        <v>2359</v>
      </c>
      <c r="BF348" s="17"/>
      <c r="BG348" s="17"/>
      <c r="BH348" s="17"/>
      <c r="BI348" s="17"/>
      <c r="BJ348" s="17"/>
      <c r="BK348" s="17"/>
      <c r="BL348" s="17"/>
      <c r="BM348" s="17"/>
      <c r="BN348" s="17" t="s">
        <v>138</v>
      </c>
      <c r="BO348" s="17" t="s">
        <v>2322</v>
      </c>
      <c r="BP348" s="17" t="s">
        <v>346</v>
      </c>
      <c r="BQ348" s="17"/>
      <c r="BR348" s="17"/>
      <c r="BS348" s="15" t="s">
        <v>2360</v>
      </c>
      <c r="BT348" s="15" t="s">
        <v>2324</v>
      </c>
      <c r="DH348" s="15" t="s">
        <v>4597</v>
      </c>
      <c r="DI348" s="15" t="s">
        <v>4597</v>
      </c>
    </row>
    <row r="349" spans="1:113" s="15" customFormat="1" ht="12.75" x14ac:dyDescent="0.2">
      <c r="A349" s="15" t="s">
        <v>109</v>
      </c>
      <c r="B349" s="16" t="s">
        <v>2287</v>
      </c>
      <c r="C349" s="15" t="s">
        <v>2288</v>
      </c>
      <c r="D349" s="15" t="s">
        <v>2179</v>
      </c>
      <c r="E349" s="15" t="s">
        <v>113</v>
      </c>
      <c r="F349" s="15" t="s">
        <v>2179</v>
      </c>
      <c r="G349" s="15" t="s">
        <v>2180</v>
      </c>
      <c r="H349" s="15" t="s">
        <v>4536</v>
      </c>
      <c r="J349" s="18" t="s">
        <v>115</v>
      </c>
      <c r="W349" s="15">
        <v>191</v>
      </c>
      <c r="X349" s="15">
        <v>7</v>
      </c>
      <c r="Y349" s="15" t="s">
        <v>2308</v>
      </c>
      <c r="Z349" s="15" t="s">
        <v>2309</v>
      </c>
      <c r="AA349" s="15" t="s">
        <v>2309</v>
      </c>
      <c r="AB349" s="15" t="s">
        <v>2361</v>
      </c>
      <c r="AC349" s="15" t="s">
        <v>2361</v>
      </c>
      <c r="AD349" s="15" t="s">
        <v>2361</v>
      </c>
      <c r="AE349" s="15" t="s">
        <v>2311</v>
      </c>
      <c r="AF349" s="15" t="s">
        <v>2361</v>
      </c>
      <c r="AG349" s="15" t="s">
        <v>2361</v>
      </c>
      <c r="AH349" s="15" t="s">
        <v>2362</v>
      </c>
      <c r="AL349" s="15" t="s">
        <v>2363</v>
      </c>
      <c r="AN349" s="15">
        <v>1113</v>
      </c>
      <c r="AO349" s="15" t="s">
        <v>2364</v>
      </c>
      <c r="AQ349" s="15" t="s">
        <v>2315</v>
      </c>
      <c r="AT349" s="17" t="s">
        <v>2365</v>
      </c>
      <c r="AU349" s="15" t="s">
        <v>2366</v>
      </c>
      <c r="AV349" s="15" t="s">
        <v>2366</v>
      </c>
      <c r="AW349" s="17" t="s">
        <v>2367</v>
      </c>
      <c r="AX349" s="17" t="s">
        <v>2367</v>
      </c>
      <c r="AY349" s="15">
        <f t="shared" si="11"/>
        <v>39</v>
      </c>
      <c r="AZ349" s="17" t="s">
        <v>2319</v>
      </c>
      <c r="BA349" s="17" t="s">
        <v>2320</v>
      </c>
      <c r="BB349" s="17"/>
      <c r="BC349" s="17"/>
      <c r="BD349" s="17"/>
      <c r="BE349" s="17" t="s">
        <v>2368</v>
      </c>
      <c r="BF349" s="17"/>
      <c r="BG349" s="17"/>
      <c r="BH349" s="17"/>
      <c r="BI349" s="17"/>
      <c r="BJ349" s="17"/>
      <c r="BK349" s="17"/>
      <c r="BL349" s="17"/>
      <c r="BM349" s="17"/>
      <c r="BN349" s="17" t="s">
        <v>138</v>
      </c>
      <c r="BO349" s="17" t="s">
        <v>2322</v>
      </c>
      <c r="BP349" s="17" t="s">
        <v>346</v>
      </c>
      <c r="BQ349" s="17"/>
      <c r="BR349" s="17"/>
      <c r="BS349" s="15" t="s">
        <v>2369</v>
      </c>
      <c r="BT349" s="15" t="s">
        <v>2324</v>
      </c>
      <c r="DH349" s="15" t="s">
        <v>4597</v>
      </c>
      <c r="DI349" s="15" t="s">
        <v>4597</v>
      </c>
    </row>
    <row r="350" spans="1:113" s="15" customFormat="1" ht="12.75" x14ac:dyDescent="0.2">
      <c r="A350" s="15" t="s">
        <v>109</v>
      </c>
      <c r="B350" s="16" t="s">
        <v>2287</v>
      </c>
      <c r="C350" s="15" t="s">
        <v>2288</v>
      </c>
      <c r="D350" s="15" t="s">
        <v>2179</v>
      </c>
      <c r="E350" s="15" t="s">
        <v>113</v>
      </c>
      <c r="F350" s="15" t="s">
        <v>2179</v>
      </c>
      <c r="G350" s="15" t="s">
        <v>2180</v>
      </c>
      <c r="H350" s="15" t="s">
        <v>4536</v>
      </c>
      <c r="J350" s="18" t="s">
        <v>115</v>
      </c>
      <c r="W350" s="15">
        <v>192</v>
      </c>
      <c r="X350" s="15">
        <v>8</v>
      </c>
      <c r="Y350" s="15" t="s">
        <v>2308</v>
      </c>
      <c r="Z350" s="15" t="s">
        <v>2309</v>
      </c>
      <c r="AA350" s="15" t="s">
        <v>2309</v>
      </c>
      <c r="AB350" s="15" t="s">
        <v>2370</v>
      </c>
      <c r="AC350" s="15" t="s">
        <v>2370</v>
      </c>
      <c r="AD350" s="15" t="s">
        <v>2370</v>
      </c>
      <c r="AE350" s="15" t="s">
        <v>2311</v>
      </c>
      <c r="AF350" s="15" t="s">
        <v>2370</v>
      </c>
      <c r="AG350" s="15" t="s">
        <v>2370</v>
      </c>
      <c r="AH350" s="15" t="s">
        <v>2371</v>
      </c>
      <c r="AL350" s="15" t="s">
        <v>2372</v>
      </c>
      <c r="AN350" s="15">
        <v>1113</v>
      </c>
      <c r="AO350" s="15" t="s">
        <v>2373</v>
      </c>
      <c r="AQ350" s="15" t="s">
        <v>2315</v>
      </c>
      <c r="AT350" s="17" t="s">
        <v>2374</v>
      </c>
      <c r="AU350" s="15" t="s">
        <v>2375</v>
      </c>
      <c r="AV350" s="15" t="s">
        <v>2375</v>
      </c>
      <c r="AW350" s="17" t="s">
        <v>2376</v>
      </c>
      <c r="AX350" s="17" t="s">
        <v>2376</v>
      </c>
      <c r="AY350" s="15">
        <f t="shared" si="11"/>
        <v>57</v>
      </c>
      <c r="AZ350" s="17" t="s">
        <v>2319</v>
      </c>
      <c r="BA350" s="17" t="s">
        <v>2320</v>
      </c>
      <c r="BB350" s="17"/>
      <c r="BC350" s="17"/>
      <c r="BD350" s="17"/>
      <c r="BE350" s="17" t="s">
        <v>2321</v>
      </c>
      <c r="BF350" s="17"/>
      <c r="BG350" s="17"/>
      <c r="BH350" s="17"/>
      <c r="BI350" s="17"/>
      <c r="BJ350" s="17" t="s">
        <v>2377</v>
      </c>
      <c r="BK350" s="17"/>
      <c r="BL350" s="17"/>
      <c r="BM350" s="17"/>
      <c r="BN350" s="17" t="s">
        <v>138</v>
      </c>
      <c r="BO350" s="17" t="s">
        <v>2322</v>
      </c>
      <c r="BP350" s="17" t="s">
        <v>346</v>
      </c>
      <c r="BQ350" s="17"/>
      <c r="BR350" s="17"/>
      <c r="BS350" s="15" t="s">
        <v>2378</v>
      </c>
      <c r="BT350" s="15" t="s">
        <v>2324</v>
      </c>
      <c r="DH350" s="15" t="s">
        <v>4597</v>
      </c>
      <c r="DI350" s="15" t="s">
        <v>4597</v>
      </c>
    </row>
    <row r="351" spans="1:113" s="15" customFormat="1" ht="12.75" x14ac:dyDescent="0.2">
      <c r="A351" s="15" t="s">
        <v>109</v>
      </c>
      <c r="B351" s="16" t="s">
        <v>2287</v>
      </c>
      <c r="C351" s="15" t="s">
        <v>2288</v>
      </c>
      <c r="D351" s="15" t="s">
        <v>2179</v>
      </c>
      <c r="E351" s="15" t="s">
        <v>113</v>
      </c>
      <c r="F351" s="15" t="s">
        <v>2179</v>
      </c>
      <c r="G351" s="15" t="s">
        <v>2180</v>
      </c>
      <c r="H351" s="15" t="s">
        <v>4536</v>
      </c>
      <c r="J351" s="18" t="s">
        <v>115</v>
      </c>
      <c r="W351" s="15">
        <v>193</v>
      </c>
      <c r="X351" s="15">
        <v>9</v>
      </c>
      <c r="Y351" s="15" t="s">
        <v>2308</v>
      </c>
      <c r="Z351" s="15" t="s">
        <v>2309</v>
      </c>
      <c r="AA351" s="15" t="s">
        <v>2309</v>
      </c>
      <c r="AB351" s="15" t="s">
        <v>2379</v>
      </c>
      <c r="AC351" s="15" t="s">
        <v>2379</v>
      </c>
      <c r="AD351" s="15" t="s">
        <v>2379</v>
      </c>
      <c r="AE351" s="15" t="s">
        <v>2311</v>
      </c>
      <c r="AF351" s="15" t="s">
        <v>2379</v>
      </c>
      <c r="AG351" s="15" t="s">
        <v>2379</v>
      </c>
      <c r="AH351" s="15" t="s">
        <v>2380</v>
      </c>
      <c r="AL351" s="15" t="s">
        <v>2381</v>
      </c>
      <c r="AN351" s="15">
        <v>1113</v>
      </c>
      <c r="AO351" s="15" t="s">
        <v>2382</v>
      </c>
      <c r="AQ351" s="15" t="s">
        <v>2315</v>
      </c>
      <c r="AT351" s="17" t="s">
        <v>2383</v>
      </c>
      <c r="AU351" s="15" t="s">
        <v>2384</v>
      </c>
      <c r="AV351" s="15" t="s">
        <v>2384</v>
      </c>
      <c r="AW351" s="17" t="s">
        <v>2385</v>
      </c>
      <c r="AX351" s="17" t="s">
        <v>2385</v>
      </c>
      <c r="AY351" s="15">
        <f t="shared" si="11"/>
        <v>57</v>
      </c>
      <c r="AZ351" s="17" t="s">
        <v>2319</v>
      </c>
      <c r="BA351" s="17" t="s">
        <v>2320</v>
      </c>
      <c r="BB351" s="17"/>
      <c r="BC351" s="17"/>
      <c r="BD351" s="17"/>
      <c r="BE351" s="17" t="s">
        <v>2332</v>
      </c>
      <c r="BF351" s="17"/>
      <c r="BG351" s="17"/>
      <c r="BH351" s="17"/>
      <c r="BI351" s="17"/>
      <c r="BJ351" s="17" t="s">
        <v>2377</v>
      </c>
      <c r="BK351" s="17"/>
      <c r="BL351" s="17"/>
      <c r="BM351" s="17"/>
      <c r="BN351" s="17" t="s">
        <v>138</v>
      </c>
      <c r="BO351" s="17" t="s">
        <v>2322</v>
      </c>
      <c r="BP351" s="17" t="s">
        <v>346</v>
      </c>
      <c r="BQ351" s="17"/>
      <c r="BR351" s="17"/>
      <c r="BS351" s="15" t="s">
        <v>2386</v>
      </c>
      <c r="BT351" s="15" t="s">
        <v>2324</v>
      </c>
      <c r="DH351" s="15" t="s">
        <v>4597</v>
      </c>
      <c r="DI351" s="15" t="s">
        <v>4597</v>
      </c>
    </row>
    <row r="352" spans="1:113" s="15" customFormat="1" ht="12.75" x14ac:dyDescent="0.2">
      <c r="A352" s="15" t="s">
        <v>109</v>
      </c>
      <c r="B352" s="16" t="s">
        <v>2287</v>
      </c>
      <c r="C352" s="15" t="s">
        <v>2288</v>
      </c>
      <c r="D352" s="15" t="s">
        <v>2179</v>
      </c>
      <c r="E352" s="15" t="s">
        <v>113</v>
      </c>
      <c r="F352" s="15" t="s">
        <v>2179</v>
      </c>
      <c r="G352" s="15" t="s">
        <v>2180</v>
      </c>
      <c r="H352" s="15" t="s">
        <v>4536</v>
      </c>
      <c r="J352" s="18" t="s">
        <v>115</v>
      </c>
      <c r="W352" s="15">
        <v>194</v>
      </c>
      <c r="X352" s="15">
        <v>10</v>
      </c>
      <c r="Y352" s="15" t="s">
        <v>2308</v>
      </c>
      <c r="Z352" s="15" t="s">
        <v>2309</v>
      </c>
      <c r="AA352" s="15" t="s">
        <v>2309</v>
      </c>
      <c r="AB352" s="15" t="s">
        <v>2387</v>
      </c>
      <c r="AC352" s="15" t="s">
        <v>2387</v>
      </c>
      <c r="AD352" s="15" t="s">
        <v>2387</v>
      </c>
      <c r="AE352" s="15" t="s">
        <v>2311</v>
      </c>
      <c r="AF352" s="15" t="s">
        <v>2387</v>
      </c>
      <c r="AG352" s="15" t="s">
        <v>2387</v>
      </c>
      <c r="AH352" s="15" t="s">
        <v>2388</v>
      </c>
      <c r="AL352" s="15" t="s">
        <v>2389</v>
      </c>
      <c r="AN352" s="15">
        <v>1113</v>
      </c>
      <c r="AO352" s="15" t="s">
        <v>2390</v>
      </c>
      <c r="AQ352" s="15" t="s">
        <v>2315</v>
      </c>
      <c r="AT352" s="17" t="s">
        <v>2391</v>
      </c>
      <c r="AU352" s="15" t="s">
        <v>2392</v>
      </c>
      <c r="AV352" s="15" t="s">
        <v>2392</v>
      </c>
      <c r="AW352" s="17" t="s">
        <v>2393</v>
      </c>
      <c r="AX352" s="17" t="s">
        <v>2393</v>
      </c>
      <c r="AY352" s="15">
        <f t="shared" si="11"/>
        <v>57</v>
      </c>
      <c r="AZ352" s="17" t="s">
        <v>2319</v>
      </c>
      <c r="BA352" s="17" t="s">
        <v>2320</v>
      </c>
      <c r="BB352" s="17"/>
      <c r="BC352" s="17"/>
      <c r="BD352" s="17"/>
      <c r="BE352" s="17" t="s">
        <v>2341</v>
      </c>
      <c r="BF352" s="17"/>
      <c r="BG352" s="17"/>
      <c r="BH352" s="17"/>
      <c r="BI352" s="17"/>
      <c r="BJ352" s="17" t="s">
        <v>2377</v>
      </c>
      <c r="BK352" s="17"/>
      <c r="BL352" s="17"/>
      <c r="BM352" s="17"/>
      <c r="BN352" s="17" t="s">
        <v>138</v>
      </c>
      <c r="BO352" s="17" t="s">
        <v>2322</v>
      </c>
      <c r="BP352" s="17" t="s">
        <v>346</v>
      </c>
      <c r="BQ352" s="17"/>
      <c r="BR352" s="17"/>
      <c r="BS352" s="15" t="s">
        <v>2394</v>
      </c>
      <c r="BT352" s="15" t="s">
        <v>2324</v>
      </c>
      <c r="DH352" s="15" t="s">
        <v>4597</v>
      </c>
      <c r="DI352" s="15" t="s">
        <v>4597</v>
      </c>
    </row>
    <row r="353" spans="1:113" s="15" customFormat="1" ht="12.75" x14ac:dyDescent="0.2">
      <c r="A353" s="15" t="s">
        <v>109</v>
      </c>
      <c r="B353" s="16" t="s">
        <v>2287</v>
      </c>
      <c r="C353" s="15" t="s">
        <v>2288</v>
      </c>
      <c r="D353" s="15" t="s">
        <v>2179</v>
      </c>
      <c r="E353" s="15" t="s">
        <v>113</v>
      </c>
      <c r="F353" s="15" t="s">
        <v>2179</v>
      </c>
      <c r="G353" s="15" t="s">
        <v>2180</v>
      </c>
      <c r="H353" s="15" t="s">
        <v>4536</v>
      </c>
      <c r="J353" s="18" t="s">
        <v>115</v>
      </c>
      <c r="W353" s="15">
        <v>195</v>
      </c>
      <c r="X353" s="15">
        <v>11</v>
      </c>
      <c r="Y353" s="15" t="s">
        <v>2308</v>
      </c>
      <c r="Z353" s="15" t="s">
        <v>2309</v>
      </c>
      <c r="AA353" s="15" t="s">
        <v>2309</v>
      </c>
      <c r="AB353" s="15" t="s">
        <v>2395</v>
      </c>
      <c r="AC353" s="15" t="s">
        <v>2395</v>
      </c>
      <c r="AD353" s="15" t="s">
        <v>2395</v>
      </c>
      <c r="AE353" s="15" t="s">
        <v>2311</v>
      </c>
      <c r="AF353" s="15" t="s">
        <v>2395</v>
      </c>
      <c r="AG353" s="15" t="s">
        <v>2395</v>
      </c>
      <c r="AH353" s="15" t="s">
        <v>2396</v>
      </c>
      <c r="AL353" s="15" t="s">
        <v>2397</v>
      </c>
      <c r="AN353" s="15">
        <v>1113</v>
      </c>
      <c r="AO353" s="15" t="s">
        <v>2398</v>
      </c>
      <c r="AQ353" s="15" t="s">
        <v>2315</v>
      </c>
      <c r="AT353" s="17" t="s">
        <v>2399</v>
      </c>
      <c r="AU353" s="15" t="s">
        <v>2400</v>
      </c>
      <c r="AV353" s="15" t="s">
        <v>2400</v>
      </c>
      <c r="AW353" s="17" t="s">
        <v>2401</v>
      </c>
      <c r="AX353" s="17" t="s">
        <v>2401</v>
      </c>
      <c r="AY353" s="15">
        <f t="shared" si="11"/>
        <v>57</v>
      </c>
      <c r="AZ353" s="17" t="s">
        <v>2319</v>
      </c>
      <c r="BA353" s="17" t="s">
        <v>2320</v>
      </c>
      <c r="BB353" s="17"/>
      <c r="BC353" s="17"/>
      <c r="BD353" s="17"/>
      <c r="BE353" s="17" t="s">
        <v>2350</v>
      </c>
      <c r="BF353" s="17"/>
      <c r="BG353" s="17"/>
      <c r="BH353" s="17"/>
      <c r="BI353" s="17"/>
      <c r="BJ353" s="17" t="s">
        <v>2377</v>
      </c>
      <c r="BK353" s="17"/>
      <c r="BL353" s="17"/>
      <c r="BM353" s="17"/>
      <c r="BN353" s="17" t="s">
        <v>138</v>
      </c>
      <c r="BO353" s="17" t="s">
        <v>2322</v>
      </c>
      <c r="BP353" s="17" t="s">
        <v>346</v>
      </c>
      <c r="BQ353" s="17"/>
      <c r="BR353" s="17"/>
      <c r="BS353" s="15" t="s">
        <v>2402</v>
      </c>
      <c r="BT353" s="15" t="s">
        <v>2324</v>
      </c>
      <c r="DH353" s="15" t="s">
        <v>4597</v>
      </c>
      <c r="DI353" s="15" t="s">
        <v>4597</v>
      </c>
    </row>
    <row r="354" spans="1:113" s="15" customFormat="1" ht="12.75" x14ac:dyDescent="0.2">
      <c r="A354" s="15" t="s">
        <v>109</v>
      </c>
      <c r="B354" s="16" t="s">
        <v>2287</v>
      </c>
      <c r="C354" s="15" t="s">
        <v>2288</v>
      </c>
      <c r="D354" s="15" t="s">
        <v>2179</v>
      </c>
      <c r="E354" s="15" t="s">
        <v>113</v>
      </c>
      <c r="F354" s="15" t="s">
        <v>2179</v>
      </c>
      <c r="G354" s="15" t="s">
        <v>2180</v>
      </c>
      <c r="H354" s="15" t="s">
        <v>4536</v>
      </c>
      <c r="J354" s="18" t="s">
        <v>115</v>
      </c>
      <c r="W354" s="15">
        <v>196</v>
      </c>
      <c r="X354" s="15">
        <v>12</v>
      </c>
      <c r="Y354" s="15" t="s">
        <v>2308</v>
      </c>
      <c r="Z354" s="15" t="s">
        <v>2309</v>
      </c>
      <c r="AA354" s="15" t="s">
        <v>2309</v>
      </c>
      <c r="AB354" s="15" t="s">
        <v>2403</v>
      </c>
      <c r="AC354" s="15" t="s">
        <v>2403</v>
      </c>
      <c r="AD354" s="15" t="s">
        <v>2403</v>
      </c>
      <c r="AE354" s="15" t="s">
        <v>2311</v>
      </c>
      <c r="AF354" s="15" t="s">
        <v>2403</v>
      </c>
      <c r="AG354" s="15" t="s">
        <v>2403</v>
      </c>
      <c r="AH354" s="15" t="s">
        <v>2404</v>
      </c>
      <c r="AL354" s="15" t="s">
        <v>2405</v>
      </c>
      <c r="AN354" s="15">
        <v>1113</v>
      </c>
      <c r="AO354" s="15" t="s">
        <v>2406</v>
      </c>
      <c r="AQ354" s="15" t="s">
        <v>2315</v>
      </c>
      <c r="AT354" s="17" t="s">
        <v>2407</v>
      </c>
      <c r="AU354" s="15" t="s">
        <v>2408</v>
      </c>
      <c r="AV354" s="15" t="s">
        <v>2408</v>
      </c>
      <c r="AW354" s="17" t="s">
        <v>2409</v>
      </c>
      <c r="AX354" s="17" t="s">
        <v>2409</v>
      </c>
      <c r="AY354" s="15">
        <f t="shared" si="11"/>
        <v>57</v>
      </c>
      <c r="AZ354" s="17" t="s">
        <v>2319</v>
      </c>
      <c r="BA354" s="17" t="s">
        <v>2320</v>
      </c>
      <c r="BB354" s="17"/>
      <c r="BC354" s="17"/>
      <c r="BD354" s="17"/>
      <c r="BE354" s="17" t="s">
        <v>2359</v>
      </c>
      <c r="BF354" s="17"/>
      <c r="BG354" s="17"/>
      <c r="BH354" s="17"/>
      <c r="BI354" s="17"/>
      <c r="BJ354" s="17" t="s">
        <v>2377</v>
      </c>
      <c r="BK354" s="17"/>
      <c r="BL354" s="17"/>
      <c r="BM354" s="17"/>
      <c r="BN354" s="17" t="s">
        <v>138</v>
      </c>
      <c r="BO354" s="17" t="s">
        <v>2322</v>
      </c>
      <c r="BP354" s="17" t="s">
        <v>346</v>
      </c>
      <c r="BQ354" s="17"/>
      <c r="BR354" s="17"/>
      <c r="BS354" s="15" t="s">
        <v>2410</v>
      </c>
      <c r="BT354" s="15" t="s">
        <v>2324</v>
      </c>
      <c r="DH354" s="15" t="s">
        <v>4597</v>
      </c>
      <c r="DI354" s="15" t="s">
        <v>4597</v>
      </c>
    </row>
    <row r="355" spans="1:113" s="15" customFormat="1" ht="12.75" x14ac:dyDescent="0.2">
      <c r="A355" s="15" t="s">
        <v>109</v>
      </c>
      <c r="B355" s="16" t="s">
        <v>2287</v>
      </c>
      <c r="C355" s="15" t="s">
        <v>2288</v>
      </c>
      <c r="D355" s="15" t="s">
        <v>2179</v>
      </c>
      <c r="E355" s="15" t="s">
        <v>113</v>
      </c>
      <c r="F355" s="15" t="s">
        <v>2179</v>
      </c>
      <c r="G355" s="15" t="s">
        <v>2180</v>
      </c>
      <c r="H355" s="15" t="s">
        <v>4536</v>
      </c>
      <c r="J355" s="18" t="s">
        <v>115</v>
      </c>
      <c r="W355" s="15">
        <v>197</v>
      </c>
      <c r="X355" s="15">
        <v>13</v>
      </c>
      <c r="Y355" s="15" t="s">
        <v>2308</v>
      </c>
      <c r="Z355" s="15" t="s">
        <v>2309</v>
      </c>
      <c r="AA355" s="15" t="s">
        <v>2309</v>
      </c>
      <c r="AB355" s="15" t="s">
        <v>2411</v>
      </c>
      <c r="AC355" s="15" t="s">
        <v>2411</v>
      </c>
      <c r="AD355" s="15" t="s">
        <v>2411</v>
      </c>
      <c r="AE355" s="15" t="s">
        <v>2311</v>
      </c>
      <c r="AF355" s="15" t="s">
        <v>2411</v>
      </c>
      <c r="AG355" s="15" t="s">
        <v>2411</v>
      </c>
      <c r="AH355" s="15" t="s">
        <v>2412</v>
      </c>
      <c r="AL355" s="15" t="s">
        <v>2413</v>
      </c>
      <c r="AN355" s="15">
        <v>1113</v>
      </c>
      <c r="AO355" s="15" t="s">
        <v>2414</v>
      </c>
      <c r="AQ355" s="15" t="s">
        <v>2315</v>
      </c>
      <c r="AT355" s="17" t="s">
        <v>2415</v>
      </c>
      <c r="AU355" s="15" t="s">
        <v>2416</v>
      </c>
      <c r="AV355" s="15" t="s">
        <v>2416</v>
      </c>
      <c r="AW355" s="17" t="s">
        <v>2417</v>
      </c>
      <c r="AX355" s="17" t="s">
        <v>2417</v>
      </c>
      <c r="AY355" s="15">
        <f t="shared" si="11"/>
        <v>57</v>
      </c>
      <c r="AZ355" s="17" t="s">
        <v>2319</v>
      </c>
      <c r="BA355" s="17" t="s">
        <v>2320</v>
      </c>
      <c r="BB355" s="17"/>
      <c r="BC355" s="17"/>
      <c r="BD355" s="17"/>
      <c r="BE355" s="17" t="s">
        <v>2368</v>
      </c>
      <c r="BF355" s="17"/>
      <c r="BG355" s="17"/>
      <c r="BH355" s="17"/>
      <c r="BI355" s="17"/>
      <c r="BJ355" s="17" t="s">
        <v>2377</v>
      </c>
      <c r="BK355" s="17"/>
      <c r="BL355" s="17"/>
      <c r="BM355" s="17"/>
      <c r="BN355" s="17" t="s">
        <v>138</v>
      </c>
      <c r="BO355" s="17" t="s">
        <v>2322</v>
      </c>
      <c r="BP355" s="17" t="s">
        <v>346</v>
      </c>
      <c r="BQ355" s="17"/>
      <c r="BR355" s="17"/>
      <c r="BS355" s="15" t="s">
        <v>2418</v>
      </c>
      <c r="BT355" s="15" t="s">
        <v>2324</v>
      </c>
      <c r="DH355" s="15" t="s">
        <v>4597</v>
      </c>
      <c r="DI355" s="15" t="s">
        <v>4597</v>
      </c>
    </row>
    <row r="356" spans="1:113" s="15" customFormat="1" ht="12.75" x14ac:dyDescent="0.2">
      <c r="A356" s="15" t="s">
        <v>109</v>
      </c>
      <c r="B356" s="16" t="s">
        <v>2287</v>
      </c>
      <c r="C356" s="15" t="s">
        <v>2288</v>
      </c>
      <c r="D356" s="15" t="s">
        <v>2179</v>
      </c>
      <c r="E356" s="15" t="s">
        <v>113</v>
      </c>
      <c r="F356" s="15" t="s">
        <v>2179</v>
      </c>
      <c r="G356" s="15" t="s">
        <v>2180</v>
      </c>
      <c r="H356" s="15" t="s">
        <v>4536</v>
      </c>
      <c r="J356" s="18" t="s">
        <v>115</v>
      </c>
      <c r="W356" s="15">
        <v>198</v>
      </c>
      <c r="X356" s="15">
        <v>14</v>
      </c>
      <c r="Y356" s="15" t="s">
        <v>2308</v>
      </c>
      <c r="Z356" s="15" t="s">
        <v>2309</v>
      </c>
      <c r="AA356" s="15" t="s">
        <v>2309</v>
      </c>
      <c r="AB356" s="15" t="s">
        <v>2419</v>
      </c>
      <c r="AC356" s="15" t="s">
        <v>2419</v>
      </c>
      <c r="AD356" s="15" t="s">
        <v>2419</v>
      </c>
      <c r="AE356" s="15" t="s">
        <v>2311</v>
      </c>
      <c r="AF356" s="15" t="s">
        <v>2419</v>
      </c>
      <c r="AG356" s="15" t="s">
        <v>2419</v>
      </c>
      <c r="AH356" s="15" t="s">
        <v>2420</v>
      </c>
      <c r="AL356" s="15" t="s">
        <v>2421</v>
      </c>
      <c r="AN356" s="15">
        <v>1113</v>
      </c>
      <c r="AO356" s="15" t="s">
        <v>2422</v>
      </c>
      <c r="AQ356" s="15" t="s">
        <v>2423</v>
      </c>
      <c r="AT356" s="17" t="s">
        <v>2424</v>
      </c>
      <c r="AU356" s="15" t="s">
        <v>2425</v>
      </c>
      <c r="AV356" s="15" t="s">
        <v>2425</v>
      </c>
      <c r="AW356" s="17" t="s">
        <v>2426</v>
      </c>
      <c r="AX356" s="17" t="s">
        <v>2426</v>
      </c>
      <c r="AY356" s="15">
        <f t="shared" si="11"/>
        <v>34</v>
      </c>
      <c r="AZ356" s="17" t="s">
        <v>2427</v>
      </c>
      <c r="BA356" s="17" t="s">
        <v>926</v>
      </c>
      <c r="BB356" s="17" t="s">
        <v>2428</v>
      </c>
      <c r="BC356" s="17"/>
      <c r="BD356" s="17"/>
      <c r="BE356" s="17" t="s">
        <v>2429</v>
      </c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 t="s">
        <v>2430</v>
      </c>
      <c r="BR356" s="17" t="s">
        <v>2431</v>
      </c>
      <c r="BS356" s="15" t="s">
        <v>2432</v>
      </c>
      <c r="BT356" s="15" t="s">
        <v>2324</v>
      </c>
      <c r="DH356" s="15" t="s">
        <v>4597</v>
      </c>
      <c r="DI356" s="15" t="s">
        <v>4597</v>
      </c>
    </row>
    <row r="357" spans="1:113" s="15" customFormat="1" ht="12.75" x14ac:dyDescent="0.2">
      <c r="A357" s="15" t="s">
        <v>109</v>
      </c>
      <c r="B357" s="16" t="s">
        <v>2287</v>
      </c>
      <c r="C357" s="15" t="s">
        <v>2288</v>
      </c>
      <c r="D357" s="15" t="s">
        <v>2179</v>
      </c>
      <c r="E357" s="15" t="s">
        <v>113</v>
      </c>
      <c r="F357" s="15" t="s">
        <v>2179</v>
      </c>
      <c r="G357" s="15" t="s">
        <v>2180</v>
      </c>
      <c r="H357" s="15" t="s">
        <v>4536</v>
      </c>
      <c r="J357" s="18" t="s">
        <v>115</v>
      </c>
      <c r="W357" s="15">
        <v>199</v>
      </c>
      <c r="X357" s="15">
        <v>15</v>
      </c>
      <c r="Y357" s="15" t="s">
        <v>2308</v>
      </c>
      <c r="Z357" s="15" t="s">
        <v>2309</v>
      </c>
      <c r="AA357" s="15" t="s">
        <v>2309</v>
      </c>
      <c r="AB357" s="15" t="s">
        <v>2433</v>
      </c>
      <c r="AC357" s="15" t="s">
        <v>2433</v>
      </c>
      <c r="AD357" s="15" t="s">
        <v>2433</v>
      </c>
      <c r="AE357" s="15" t="s">
        <v>2311</v>
      </c>
      <c r="AF357" s="15" t="s">
        <v>2433</v>
      </c>
      <c r="AG357" s="15" t="s">
        <v>2433</v>
      </c>
      <c r="AH357" s="15" t="s">
        <v>2434</v>
      </c>
      <c r="AL357" s="15" t="s">
        <v>2435</v>
      </c>
      <c r="AN357" s="15">
        <v>1113</v>
      </c>
      <c r="AO357" s="15" t="s">
        <v>2436</v>
      </c>
      <c r="AQ357" s="15" t="s">
        <v>2437</v>
      </c>
      <c r="AT357" s="17" t="s">
        <v>2438</v>
      </c>
      <c r="AU357" s="15" t="s">
        <v>2439</v>
      </c>
      <c r="AV357" s="15" t="s">
        <v>2439</v>
      </c>
      <c r="AW357" s="17" t="s">
        <v>2440</v>
      </c>
      <c r="AX357" s="17" t="s">
        <v>2440</v>
      </c>
      <c r="AY357" s="15">
        <f t="shared" si="11"/>
        <v>41</v>
      </c>
      <c r="AZ357" s="17" t="s">
        <v>2441</v>
      </c>
      <c r="BA357" s="17" t="s">
        <v>926</v>
      </c>
      <c r="BB357" s="17" t="s">
        <v>131</v>
      </c>
      <c r="BC357" s="17" t="s">
        <v>374</v>
      </c>
      <c r="BD357" s="17"/>
      <c r="BE357" s="17" t="s">
        <v>2442</v>
      </c>
      <c r="BF357" s="17"/>
      <c r="BG357" s="17"/>
      <c r="BH357" s="17"/>
      <c r="BI357" s="17"/>
      <c r="BJ357" s="17" t="s">
        <v>2443</v>
      </c>
      <c r="BK357" s="17"/>
      <c r="BL357" s="17"/>
      <c r="BM357" s="17"/>
      <c r="BN357" s="17"/>
      <c r="BO357" s="17"/>
      <c r="BP357" s="17"/>
      <c r="BQ357" s="17" t="s">
        <v>2430</v>
      </c>
      <c r="BR357" s="17" t="s">
        <v>2444</v>
      </c>
      <c r="BS357" s="15" t="s">
        <v>2432</v>
      </c>
      <c r="BT357" s="15" t="s">
        <v>2324</v>
      </c>
      <c r="DH357" s="15" t="s">
        <v>4597</v>
      </c>
      <c r="DI357" s="15" t="s">
        <v>4597</v>
      </c>
    </row>
    <row r="358" spans="1:113" s="15" customFormat="1" ht="12.75" x14ac:dyDescent="0.2">
      <c r="A358" s="15" t="s">
        <v>109</v>
      </c>
      <c r="B358" s="16" t="s">
        <v>2287</v>
      </c>
      <c r="C358" s="15" t="s">
        <v>2288</v>
      </c>
      <c r="D358" s="15" t="s">
        <v>2179</v>
      </c>
      <c r="E358" s="15" t="s">
        <v>113</v>
      </c>
      <c r="F358" s="15" t="s">
        <v>2179</v>
      </c>
      <c r="G358" s="15" t="s">
        <v>2180</v>
      </c>
      <c r="H358" s="15" t="s">
        <v>4536</v>
      </c>
      <c r="J358" s="18" t="s">
        <v>115</v>
      </c>
      <c r="W358" s="15">
        <v>200</v>
      </c>
      <c r="X358" s="15">
        <v>16</v>
      </c>
      <c r="Y358" s="15" t="s">
        <v>2308</v>
      </c>
      <c r="Z358" s="15" t="s">
        <v>2309</v>
      </c>
      <c r="AA358" s="15" t="s">
        <v>2309</v>
      </c>
      <c r="AB358" s="15" t="s">
        <v>2445</v>
      </c>
      <c r="AC358" s="15" t="s">
        <v>2445</v>
      </c>
      <c r="AD358" s="15" t="s">
        <v>2445</v>
      </c>
      <c r="AE358" s="15" t="s">
        <v>2311</v>
      </c>
      <c r="AF358" s="15" t="s">
        <v>2445</v>
      </c>
      <c r="AG358" s="15" t="s">
        <v>2445</v>
      </c>
      <c r="AH358" s="15" t="s">
        <v>2446</v>
      </c>
      <c r="AL358" s="15" t="s">
        <v>2447</v>
      </c>
      <c r="AN358" s="15">
        <v>1113</v>
      </c>
      <c r="AO358" s="15" t="s">
        <v>2448</v>
      </c>
      <c r="AQ358" s="15" t="s">
        <v>2437</v>
      </c>
      <c r="AT358" s="17" t="s">
        <v>2449</v>
      </c>
      <c r="AU358" s="15" t="s">
        <v>2450</v>
      </c>
      <c r="AV358" s="15" t="s">
        <v>2450</v>
      </c>
      <c r="AW358" s="17" t="s">
        <v>2451</v>
      </c>
      <c r="AX358" s="17" t="s">
        <v>2451</v>
      </c>
      <c r="AY358" s="15">
        <f t="shared" si="11"/>
        <v>39</v>
      </c>
      <c r="AZ358" s="17" t="s">
        <v>2441</v>
      </c>
      <c r="BA358" s="17" t="s">
        <v>926</v>
      </c>
      <c r="BB358" s="17" t="s">
        <v>2452</v>
      </c>
      <c r="BC358" s="17"/>
      <c r="BD358" s="17"/>
      <c r="BE358" s="17" t="s">
        <v>2453</v>
      </c>
      <c r="BF358" s="17"/>
      <c r="BG358" s="17"/>
      <c r="BH358" s="17"/>
      <c r="BI358" s="17"/>
      <c r="BJ358" s="17" t="s">
        <v>2454</v>
      </c>
      <c r="BK358" s="17"/>
      <c r="BL358" s="17"/>
      <c r="BM358" s="17"/>
      <c r="BN358" s="17"/>
      <c r="BO358" s="17"/>
      <c r="BP358" s="17"/>
      <c r="BQ358" s="17" t="s">
        <v>2430</v>
      </c>
      <c r="BR358" s="17" t="s">
        <v>2455</v>
      </c>
      <c r="BS358" s="15" t="s">
        <v>2432</v>
      </c>
      <c r="BT358" s="15" t="s">
        <v>2324</v>
      </c>
      <c r="DH358" s="15" t="s">
        <v>4597</v>
      </c>
      <c r="DI358" s="15" t="s">
        <v>4597</v>
      </c>
    </row>
    <row r="359" spans="1:113" s="15" customFormat="1" ht="12.75" x14ac:dyDescent="0.2">
      <c r="A359" s="15" t="s">
        <v>109</v>
      </c>
      <c r="B359" s="16" t="s">
        <v>2287</v>
      </c>
      <c r="C359" s="15" t="s">
        <v>2288</v>
      </c>
      <c r="D359" s="15" t="s">
        <v>2475</v>
      </c>
      <c r="E359" s="15" t="s">
        <v>113</v>
      </c>
      <c r="F359" s="15" t="s">
        <v>2475</v>
      </c>
      <c r="G359" s="15" t="s">
        <v>114</v>
      </c>
      <c r="H359" s="15" t="s">
        <v>4536</v>
      </c>
      <c r="J359" s="18" t="s">
        <v>115</v>
      </c>
      <c r="W359" s="15">
        <v>386</v>
      </c>
      <c r="X359" s="15">
        <v>202</v>
      </c>
      <c r="Y359" s="15" t="s">
        <v>2458</v>
      </c>
      <c r="Z359" s="15" t="s">
        <v>2458</v>
      </c>
      <c r="AA359" s="34" t="s">
        <v>2476</v>
      </c>
      <c r="AB359" s="15" t="s">
        <v>4521</v>
      </c>
      <c r="AC359" s="15" t="s">
        <v>4521</v>
      </c>
      <c r="AD359" s="15" t="s">
        <v>4522</v>
      </c>
      <c r="AE359" s="15" t="s">
        <v>2311</v>
      </c>
      <c r="AF359" s="15" t="s">
        <v>4522</v>
      </c>
      <c r="AG359" s="33" t="s">
        <v>4521</v>
      </c>
      <c r="AH359" s="15" t="s">
        <v>4523</v>
      </c>
      <c r="AL359" s="15" t="s">
        <v>4524</v>
      </c>
      <c r="AN359" s="15">
        <v>3639</v>
      </c>
      <c r="AO359" s="15" t="s">
        <v>4525</v>
      </c>
      <c r="AQ359" s="15" t="s">
        <v>4526</v>
      </c>
      <c r="AT359" s="15" t="s">
        <v>4527</v>
      </c>
      <c r="AU359" s="15" t="s">
        <v>4528</v>
      </c>
      <c r="AV359" s="15" t="s">
        <v>4528</v>
      </c>
      <c r="AW359" s="15" t="s">
        <v>4529</v>
      </c>
      <c r="AX359" s="15" t="s">
        <v>4529</v>
      </c>
      <c r="AY359" s="15">
        <f t="shared" si="11"/>
        <v>55</v>
      </c>
      <c r="AZ359" s="15" t="s">
        <v>4530</v>
      </c>
      <c r="BA359" s="15" t="s">
        <v>926</v>
      </c>
      <c r="BI359" s="15" t="s">
        <v>4531</v>
      </c>
      <c r="BJ359" s="15" t="s">
        <v>4532</v>
      </c>
      <c r="BN359" s="15" t="s">
        <v>138</v>
      </c>
      <c r="BO359" s="15" t="s">
        <v>4533</v>
      </c>
      <c r="BP359" s="15" t="s">
        <v>346</v>
      </c>
      <c r="BR359" s="15" t="s">
        <v>4534</v>
      </c>
      <c r="BS359" s="15" t="s">
        <v>4535</v>
      </c>
      <c r="DH359" s="15" t="s">
        <v>4597</v>
      </c>
      <c r="DI359" s="15" t="s">
        <v>4597</v>
      </c>
    </row>
    <row r="360" spans="1:113" s="15" customFormat="1" ht="12.75" x14ac:dyDescent="0.2">
      <c r="A360" s="15" t="s">
        <v>109</v>
      </c>
      <c r="B360" s="16" t="s">
        <v>110</v>
      </c>
      <c r="C360" s="15" t="s">
        <v>111</v>
      </c>
      <c r="D360" s="15" t="s">
        <v>156</v>
      </c>
      <c r="E360" s="15" t="s">
        <v>113</v>
      </c>
      <c r="F360" s="15" t="s">
        <v>156</v>
      </c>
      <c r="G360" s="15" t="s">
        <v>114</v>
      </c>
      <c r="H360" s="15" t="s">
        <v>4536</v>
      </c>
      <c r="J360" s="18" t="s">
        <v>115</v>
      </c>
      <c r="W360" s="15">
        <v>3</v>
      </c>
      <c r="X360" s="15">
        <v>3</v>
      </c>
      <c r="Y360" s="15" t="s">
        <v>157</v>
      </c>
      <c r="Z360" s="15" t="s">
        <v>158</v>
      </c>
      <c r="AA360" s="15" t="s">
        <v>159</v>
      </c>
      <c r="AB360" s="15" t="s">
        <v>160</v>
      </c>
      <c r="AC360" s="15" t="s">
        <v>160</v>
      </c>
      <c r="AD360" s="19">
        <v>1083783</v>
      </c>
      <c r="AE360" s="15" t="s">
        <v>158</v>
      </c>
      <c r="AF360" s="15">
        <v>1083783</v>
      </c>
      <c r="AG360" s="15">
        <v>1083783</v>
      </c>
      <c r="AH360" s="15" t="s">
        <v>161</v>
      </c>
      <c r="AL360" s="15" t="s">
        <v>162</v>
      </c>
      <c r="AN360" s="15">
        <v>2341</v>
      </c>
      <c r="AO360" s="15" t="s">
        <v>163</v>
      </c>
      <c r="AQ360" s="20" t="s">
        <v>164</v>
      </c>
      <c r="AT360" s="17" t="s">
        <v>165</v>
      </c>
      <c r="AU360" s="17" t="s">
        <v>166</v>
      </c>
      <c r="AV360" s="17" t="s">
        <v>166</v>
      </c>
      <c r="AW360" s="17" t="s">
        <v>167</v>
      </c>
      <c r="AX360" s="17" t="s">
        <v>167</v>
      </c>
      <c r="AY360" s="21">
        <f t="shared" ref="AY360:AY387" si="12">LEN(SUBSTITUTE(AX360,", "," "))</f>
        <v>56</v>
      </c>
      <c r="AZ360" s="17" t="s">
        <v>168</v>
      </c>
      <c r="BA360" s="22" t="s">
        <v>169</v>
      </c>
      <c r="BB360" s="17"/>
      <c r="BC360" s="17" t="s">
        <v>170</v>
      </c>
      <c r="BD360" s="17"/>
      <c r="BE360" s="17"/>
      <c r="BF360" s="17"/>
      <c r="BG360" s="17"/>
      <c r="BH360" s="17"/>
      <c r="BI360" s="17"/>
      <c r="BJ360" s="17" t="s">
        <v>171</v>
      </c>
      <c r="BK360" s="17"/>
      <c r="BL360" s="17"/>
      <c r="BM360" s="17"/>
      <c r="BN360" s="17"/>
      <c r="BO360" s="17" t="s">
        <v>172</v>
      </c>
      <c r="BP360" s="17" t="s">
        <v>140</v>
      </c>
      <c r="BQ360" s="17"/>
      <c r="BR360" s="17"/>
      <c r="BS360" s="15" t="s">
        <v>173</v>
      </c>
      <c r="BU360" s="15" t="s">
        <v>70</v>
      </c>
      <c r="DH360" s="15" t="s">
        <v>4597</v>
      </c>
      <c r="DI360" s="15" t="s">
        <v>4597</v>
      </c>
    </row>
    <row r="361" spans="1:113" s="15" customFormat="1" ht="12.75" x14ac:dyDescent="0.2">
      <c r="A361" s="15" t="s">
        <v>109</v>
      </c>
      <c r="B361" s="16" t="s">
        <v>2287</v>
      </c>
      <c r="C361" s="15" t="s">
        <v>2288</v>
      </c>
      <c r="D361" s="15" t="s">
        <v>156</v>
      </c>
      <c r="E361" s="15" t="s">
        <v>113</v>
      </c>
      <c r="F361" s="15" t="s">
        <v>156</v>
      </c>
      <c r="G361" s="15" t="s">
        <v>114</v>
      </c>
      <c r="H361" s="15" t="s">
        <v>4536</v>
      </c>
      <c r="J361" s="18" t="s">
        <v>115</v>
      </c>
      <c r="W361" s="15">
        <v>201</v>
      </c>
      <c r="X361" s="15">
        <v>17</v>
      </c>
      <c r="Y361" s="15" t="s">
        <v>157</v>
      </c>
      <c r="Z361" s="15" t="s">
        <v>158</v>
      </c>
      <c r="AA361" s="15" t="s">
        <v>159</v>
      </c>
      <c r="AB361" s="15" t="s">
        <v>160</v>
      </c>
      <c r="AC361" s="15" t="s">
        <v>160</v>
      </c>
      <c r="AD361" s="19">
        <v>1083783</v>
      </c>
      <c r="AE361" s="15" t="s">
        <v>158</v>
      </c>
      <c r="AF361" s="15">
        <v>1083783</v>
      </c>
      <c r="AG361" s="15">
        <v>1083783</v>
      </c>
      <c r="AH361" s="15" t="s">
        <v>161</v>
      </c>
      <c r="AL361" s="15" t="s">
        <v>162</v>
      </c>
      <c r="AN361" s="15">
        <v>2341</v>
      </c>
      <c r="AO361" s="15" t="s">
        <v>163</v>
      </c>
      <c r="AQ361" s="20" t="s">
        <v>164</v>
      </c>
      <c r="AT361" s="17" t="s">
        <v>165</v>
      </c>
      <c r="AU361" s="17" t="s">
        <v>166</v>
      </c>
      <c r="AV361" s="17" t="s">
        <v>2456</v>
      </c>
      <c r="AW361" s="17" t="s">
        <v>167</v>
      </c>
      <c r="AX361" s="17" t="s">
        <v>167</v>
      </c>
      <c r="AY361" s="21">
        <f t="shared" si="12"/>
        <v>56</v>
      </c>
      <c r="AZ361" s="17" t="s">
        <v>168</v>
      </c>
      <c r="BA361" s="22" t="s">
        <v>169</v>
      </c>
      <c r="BB361" s="17"/>
      <c r="BC361" s="17" t="s">
        <v>170</v>
      </c>
      <c r="BD361" s="17"/>
      <c r="BE361" s="17"/>
      <c r="BF361" s="17"/>
      <c r="BG361" s="17"/>
      <c r="BH361" s="17"/>
      <c r="BI361" s="17"/>
      <c r="BJ361" s="17" t="s">
        <v>171</v>
      </c>
      <c r="BK361" s="17"/>
      <c r="BL361" s="17"/>
      <c r="BM361" s="17"/>
      <c r="BN361" s="17"/>
      <c r="BO361" s="17" t="s">
        <v>172</v>
      </c>
      <c r="BP361" s="17" t="s">
        <v>140</v>
      </c>
      <c r="BQ361" s="17"/>
      <c r="BR361" s="17"/>
      <c r="BS361" s="15" t="s">
        <v>173</v>
      </c>
      <c r="BU361" s="15" t="s">
        <v>70</v>
      </c>
      <c r="DH361" s="15" t="s">
        <v>4597</v>
      </c>
      <c r="DI361" s="15" t="s">
        <v>4597</v>
      </c>
    </row>
    <row r="362" spans="1:113" s="15" customFormat="1" ht="12.75" x14ac:dyDescent="0.2">
      <c r="A362" s="15" t="s">
        <v>109</v>
      </c>
      <c r="B362" s="16" t="s">
        <v>110</v>
      </c>
      <c r="C362" s="15" t="s">
        <v>111</v>
      </c>
      <c r="D362" s="15" t="s">
        <v>156</v>
      </c>
      <c r="E362" s="15" t="s">
        <v>113</v>
      </c>
      <c r="F362" s="15" t="s">
        <v>156</v>
      </c>
      <c r="G362" s="15" t="s">
        <v>114</v>
      </c>
      <c r="H362" s="15" t="s">
        <v>4536</v>
      </c>
      <c r="J362" s="18" t="s">
        <v>115</v>
      </c>
      <c r="W362" s="15">
        <v>4</v>
      </c>
      <c r="X362" s="15">
        <v>4</v>
      </c>
      <c r="Y362" s="15" t="s">
        <v>157</v>
      </c>
      <c r="Z362" s="15" t="s">
        <v>158</v>
      </c>
      <c r="AA362" s="15" t="s">
        <v>159</v>
      </c>
      <c r="AB362" s="15" t="s">
        <v>174</v>
      </c>
      <c r="AC362" s="15" t="s">
        <v>174</v>
      </c>
      <c r="AD362" s="19">
        <v>1083785</v>
      </c>
      <c r="AE362" s="15" t="s">
        <v>158</v>
      </c>
      <c r="AF362" s="15">
        <v>1083785</v>
      </c>
      <c r="AG362" s="15">
        <v>1083785</v>
      </c>
      <c r="AH362" s="15" t="s">
        <v>175</v>
      </c>
      <c r="AL362" s="15" t="s">
        <v>176</v>
      </c>
      <c r="AN362" s="15">
        <v>2341</v>
      </c>
      <c r="AO362" s="15" t="s">
        <v>177</v>
      </c>
      <c r="AQ362" s="20" t="s">
        <v>164</v>
      </c>
      <c r="AT362" s="17" t="s">
        <v>165</v>
      </c>
      <c r="AU362" s="17" t="s">
        <v>178</v>
      </c>
      <c r="AV362" s="17" t="s">
        <v>179</v>
      </c>
      <c r="AW362" s="17" t="s">
        <v>180</v>
      </c>
      <c r="AX362" s="17" t="s">
        <v>180</v>
      </c>
      <c r="AY362" s="21">
        <f t="shared" si="12"/>
        <v>56</v>
      </c>
      <c r="AZ362" s="17" t="s">
        <v>168</v>
      </c>
      <c r="BA362" s="22" t="s">
        <v>169</v>
      </c>
      <c r="BB362" s="17"/>
      <c r="BC362" s="17" t="s">
        <v>181</v>
      </c>
      <c r="BD362" s="17"/>
      <c r="BE362" s="17"/>
      <c r="BF362" s="17"/>
      <c r="BG362" s="17"/>
      <c r="BH362" s="17"/>
      <c r="BI362" s="17"/>
      <c r="BJ362" s="17" t="s">
        <v>171</v>
      </c>
      <c r="BK362" s="17"/>
      <c r="BL362" s="17"/>
      <c r="BM362" s="17"/>
      <c r="BN362" s="17"/>
      <c r="BO362" s="17" t="s">
        <v>172</v>
      </c>
      <c r="BP362" s="17" t="s">
        <v>140</v>
      </c>
      <c r="BQ362" s="17"/>
      <c r="BR362" s="17"/>
      <c r="BS362" s="15" t="s">
        <v>173</v>
      </c>
      <c r="BU362" s="15" t="s">
        <v>70</v>
      </c>
      <c r="DH362" s="15" t="s">
        <v>4597</v>
      </c>
      <c r="DI362" s="15" t="s">
        <v>4597</v>
      </c>
    </row>
    <row r="363" spans="1:113" s="15" customFormat="1" ht="12.75" x14ac:dyDescent="0.2">
      <c r="A363" s="15" t="s">
        <v>109</v>
      </c>
      <c r="B363" s="16" t="s">
        <v>2287</v>
      </c>
      <c r="C363" s="15" t="s">
        <v>2288</v>
      </c>
      <c r="D363" s="15" t="s">
        <v>156</v>
      </c>
      <c r="E363" s="15" t="s">
        <v>113</v>
      </c>
      <c r="F363" s="15" t="s">
        <v>156</v>
      </c>
      <c r="G363" s="15" t="s">
        <v>114</v>
      </c>
      <c r="H363" s="15" t="s">
        <v>4536</v>
      </c>
      <c r="J363" s="18" t="s">
        <v>115</v>
      </c>
      <c r="W363" s="15">
        <v>202</v>
      </c>
      <c r="X363" s="15">
        <v>18</v>
      </c>
      <c r="Y363" s="15" t="s">
        <v>157</v>
      </c>
      <c r="Z363" s="15" t="s">
        <v>158</v>
      </c>
      <c r="AA363" s="15" t="s">
        <v>159</v>
      </c>
      <c r="AB363" s="15" t="s">
        <v>174</v>
      </c>
      <c r="AC363" s="15" t="s">
        <v>174</v>
      </c>
      <c r="AD363" s="19">
        <v>1083785</v>
      </c>
      <c r="AE363" s="15" t="s">
        <v>158</v>
      </c>
      <c r="AF363" s="15">
        <v>1083785</v>
      </c>
      <c r="AG363" s="15">
        <v>1083785</v>
      </c>
      <c r="AH363" s="15" t="s">
        <v>175</v>
      </c>
      <c r="AL363" s="15" t="s">
        <v>176</v>
      </c>
      <c r="AN363" s="15">
        <v>2341</v>
      </c>
      <c r="AO363" s="15" t="s">
        <v>177</v>
      </c>
      <c r="AQ363" s="20" t="s">
        <v>164</v>
      </c>
      <c r="AT363" s="17" t="s">
        <v>165</v>
      </c>
      <c r="AU363" s="17" t="s">
        <v>178</v>
      </c>
      <c r="AV363" s="17" t="s">
        <v>179</v>
      </c>
      <c r="AW363" s="17" t="s">
        <v>180</v>
      </c>
      <c r="AX363" s="17" t="s">
        <v>180</v>
      </c>
      <c r="AY363" s="21">
        <f t="shared" si="12"/>
        <v>56</v>
      </c>
      <c r="AZ363" s="17" t="s">
        <v>168</v>
      </c>
      <c r="BA363" s="22" t="s">
        <v>169</v>
      </c>
      <c r="BB363" s="17"/>
      <c r="BC363" s="17" t="s">
        <v>181</v>
      </c>
      <c r="BD363" s="17"/>
      <c r="BE363" s="17"/>
      <c r="BF363" s="17"/>
      <c r="BG363" s="17"/>
      <c r="BH363" s="17"/>
      <c r="BI363" s="17"/>
      <c r="BJ363" s="17" t="s">
        <v>171</v>
      </c>
      <c r="BK363" s="17"/>
      <c r="BL363" s="17"/>
      <c r="BM363" s="17"/>
      <c r="BN363" s="17"/>
      <c r="BO363" s="17" t="s">
        <v>172</v>
      </c>
      <c r="BP363" s="17" t="s">
        <v>140</v>
      </c>
      <c r="BQ363" s="17"/>
      <c r="BR363" s="17"/>
      <c r="BS363" s="15" t="s">
        <v>173</v>
      </c>
      <c r="BU363" s="15" t="s">
        <v>70</v>
      </c>
      <c r="DH363" s="15" t="s">
        <v>4597</v>
      </c>
      <c r="DI363" s="15" t="s">
        <v>4597</v>
      </c>
    </row>
    <row r="364" spans="1:113" s="15" customFormat="1" ht="12.75" x14ac:dyDescent="0.2">
      <c r="A364" s="15" t="s">
        <v>109</v>
      </c>
      <c r="B364" s="16" t="s">
        <v>110</v>
      </c>
      <c r="C364" s="15" t="s">
        <v>111</v>
      </c>
      <c r="D364" s="15" t="s">
        <v>156</v>
      </c>
      <c r="E364" s="15" t="s">
        <v>113</v>
      </c>
      <c r="F364" s="15" t="s">
        <v>156</v>
      </c>
      <c r="G364" s="15" t="s">
        <v>114</v>
      </c>
      <c r="H364" s="15" t="s">
        <v>4536</v>
      </c>
      <c r="J364" s="18" t="s">
        <v>115</v>
      </c>
      <c r="W364" s="15">
        <v>6</v>
      </c>
      <c r="X364" s="15">
        <v>6</v>
      </c>
      <c r="Y364" s="15" t="s">
        <v>157</v>
      </c>
      <c r="Z364" s="15" t="s">
        <v>158</v>
      </c>
      <c r="AA364" s="15" t="s">
        <v>157</v>
      </c>
      <c r="AB364" s="15" t="s">
        <v>203</v>
      </c>
      <c r="AC364" s="15" t="s">
        <v>203</v>
      </c>
      <c r="AD364" s="19" t="s">
        <v>203</v>
      </c>
      <c r="AE364" s="15" t="s">
        <v>158</v>
      </c>
      <c r="AF364" s="15" t="s">
        <v>203</v>
      </c>
      <c r="AG364" s="15" t="s">
        <v>203</v>
      </c>
      <c r="AH364" s="15" t="s">
        <v>204</v>
      </c>
      <c r="AI364" s="15">
        <v>42312313</v>
      </c>
      <c r="AK364" s="15" t="s">
        <v>205</v>
      </c>
      <c r="AL364" s="15" t="s">
        <v>206</v>
      </c>
      <c r="AN364" s="15">
        <v>2341</v>
      </c>
      <c r="AO364" s="15" t="s">
        <v>207</v>
      </c>
      <c r="AQ364" s="20" t="s">
        <v>208</v>
      </c>
      <c r="AR364" s="15" t="s">
        <v>209</v>
      </c>
      <c r="AS364" s="23" t="s">
        <v>210</v>
      </c>
      <c r="AT364" s="17" t="s">
        <v>211</v>
      </c>
      <c r="AU364" s="17" t="s">
        <v>212</v>
      </c>
      <c r="AV364" s="17" t="s">
        <v>212</v>
      </c>
      <c r="AW364" s="17" t="s">
        <v>213</v>
      </c>
      <c r="AX364" s="17" t="s">
        <v>213</v>
      </c>
      <c r="AY364" s="21">
        <f t="shared" si="12"/>
        <v>51</v>
      </c>
      <c r="AZ364" s="17" t="s">
        <v>214</v>
      </c>
      <c r="BA364" s="24" t="s">
        <v>215</v>
      </c>
      <c r="BB364" s="17" t="s">
        <v>216</v>
      </c>
      <c r="BC364" s="17"/>
      <c r="BD364" s="17"/>
      <c r="BE364" s="17"/>
      <c r="BF364" s="17"/>
      <c r="BG364" s="17" t="s">
        <v>217</v>
      </c>
      <c r="BH364" s="17"/>
      <c r="BI364" s="17"/>
      <c r="BJ364" s="17"/>
      <c r="BK364" s="17"/>
      <c r="BL364" s="17"/>
      <c r="BM364" s="17"/>
      <c r="BN364" s="17"/>
      <c r="BO364" s="17" t="s">
        <v>218</v>
      </c>
      <c r="BP364" s="17" t="s">
        <v>140</v>
      </c>
      <c r="BQ364" s="17"/>
      <c r="BR364" s="17"/>
      <c r="BS364" s="15" t="s">
        <v>219</v>
      </c>
      <c r="DH364" s="15" t="s">
        <v>4597</v>
      </c>
      <c r="DI364" s="15" t="s">
        <v>4597</v>
      </c>
    </row>
    <row r="365" spans="1:113" s="15" customFormat="1" ht="12.75" x14ac:dyDescent="0.2">
      <c r="A365" s="15" t="s">
        <v>109</v>
      </c>
      <c r="B365" s="16" t="s">
        <v>110</v>
      </c>
      <c r="C365" s="15" t="s">
        <v>111</v>
      </c>
      <c r="D365" s="15" t="s">
        <v>156</v>
      </c>
      <c r="E365" s="15" t="s">
        <v>113</v>
      </c>
      <c r="F365" s="15" t="s">
        <v>156</v>
      </c>
      <c r="G365" s="15" t="s">
        <v>114</v>
      </c>
      <c r="H365" s="15" t="s">
        <v>4536</v>
      </c>
      <c r="J365" s="18" t="s">
        <v>115</v>
      </c>
      <c r="W365" s="15">
        <v>7</v>
      </c>
      <c r="X365" s="15">
        <v>7</v>
      </c>
      <c r="Y365" s="15" t="s">
        <v>157</v>
      </c>
      <c r="Z365" s="15" t="s">
        <v>158</v>
      </c>
      <c r="AA365" s="15" t="s">
        <v>157</v>
      </c>
      <c r="AB365" s="15" t="s">
        <v>220</v>
      </c>
      <c r="AC365" s="15" t="s">
        <v>220</v>
      </c>
      <c r="AD365" s="19" t="s">
        <v>220</v>
      </c>
      <c r="AE365" s="15" t="s">
        <v>158</v>
      </c>
      <c r="AF365" s="15" t="s">
        <v>220</v>
      </c>
      <c r="AG365" s="15" t="s">
        <v>220</v>
      </c>
      <c r="AH365" s="15" t="s">
        <v>221</v>
      </c>
      <c r="AL365" s="15" t="s">
        <v>222</v>
      </c>
      <c r="AN365" s="15">
        <v>2341</v>
      </c>
      <c r="AO365" s="15" t="s">
        <v>223</v>
      </c>
      <c r="AQ365" s="20" t="s">
        <v>224</v>
      </c>
      <c r="AT365" s="17" t="s">
        <v>225</v>
      </c>
      <c r="AU365" s="17" t="s">
        <v>226</v>
      </c>
      <c r="AV365" s="17" t="s">
        <v>226</v>
      </c>
      <c r="AW365" s="17" t="s">
        <v>227</v>
      </c>
      <c r="AX365" s="17" t="s">
        <v>227</v>
      </c>
      <c r="AY365" s="21">
        <f t="shared" si="12"/>
        <v>50</v>
      </c>
      <c r="AZ365" s="17" t="s">
        <v>228</v>
      </c>
      <c r="BA365" s="25" t="s">
        <v>229</v>
      </c>
      <c r="BB365" s="24" t="s">
        <v>230</v>
      </c>
      <c r="BC365" s="17"/>
      <c r="BD365" s="17"/>
      <c r="BE365" s="17" t="s">
        <v>231</v>
      </c>
      <c r="BF365" s="17"/>
      <c r="BG365" s="17"/>
      <c r="BH365" s="17"/>
      <c r="BI365" s="17"/>
      <c r="BJ365" s="17" t="s">
        <v>232</v>
      </c>
      <c r="BK365" s="17" t="s">
        <v>233</v>
      </c>
      <c r="BL365" s="17"/>
      <c r="BM365" s="17" t="s">
        <v>234</v>
      </c>
      <c r="BN365" s="17"/>
      <c r="BO365" s="17"/>
      <c r="BP365" s="17" t="s">
        <v>140</v>
      </c>
      <c r="BQ365" s="17"/>
      <c r="BR365" s="17"/>
      <c r="BS365" s="15" t="s">
        <v>235</v>
      </c>
      <c r="DH365" s="15" t="s">
        <v>4597</v>
      </c>
      <c r="DI365" s="15" t="s">
        <v>4597</v>
      </c>
    </row>
    <row r="366" spans="1:113" s="15" customFormat="1" ht="12.75" x14ac:dyDescent="0.2">
      <c r="A366" s="15" t="s">
        <v>109</v>
      </c>
      <c r="B366" s="16" t="s">
        <v>110</v>
      </c>
      <c r="C366" s="15" t="s">
        <v>111</v>
      </c>
      <c r="D366" s="15" t="s">
        <v>156</v>
      </c>
      <c r="E366" s="15" t="s">
        <v>113</v>
      </c>
      <c r="F366" s="15" t="s">
        <v>156</v>
      </c>
      <c r="G366" s="15" t="s">
        <v>114</v>
      </c>
      <c r="H366" s="15" t="s">
        <v>4536</v>
      </c>
      <c r="J366" s="18" t="s">
        <v>115</v>
      </c>
      <c r="W366" s="15">
        <v>8</v>
      </c>
      <c r="X366" s="15">
        <v>8</v>
      </c>
      <c r="Y366" s="15" t="s">
        <v>157</v>
      </c>
      <c r="Z366" s="15" t="s">
        <v>158</v>
      </c>
      <c r="AA366" s="15" t="s">
        <v>157</v>
      </c>
      <c r="AB366" s="15" t="s">
        <v>236</v>
      </c>
      <c r="AC366" s="15" t="s">
        <v>236</v>
      </c>
      <c r="AD366" s="19" t="s">
        <v>236</v>
      </c>
      <c r="AE366" s="15" t="s">
        <v>158</v>
      </c>
      <c r="AF366" s="15" t="s">
        <v>236</v>
      </c>
      <c r="AG366" s="15" t="s">
        <v>236</v>
      </c>
      <c r="AH366" s="15" t="s">
        <v>237</v>
      </c>
      <c r="AL366" s="15" t="s">
        <v>238</v>
      </c>
      <c r="AN366" s="15">
        <v>2341</v>
      </c>
      <c r="AO366" s="15" t="s">
        <v>239</v>
      </c>
      <c r="AQ366" s="20" t="s">
        <v>224</v>
      </c>
      <c r="AT366" s="17" t="s">
        <v>240</v>
      </c>
      <c r="AU366" s="17" t="s">
        <v>241</v>
      </c>
      <c r="AV366" s="17" t="s">
        <v>241</v>
      </c>
      <c r="AW366" s="17" t="s">
        <v>242</v>
      </c>
      <c r="AX366" s="17" t="s">
        <v>242</v>
      </c>
      <c r="AY366" s="21">
        <f t="shared" si="12"/>
        <v>52</v>
      </c>
      <c r="AZ366" s="17" t="s">
        <v>228</v>
      </c>
      <c r="BA366" s="25" t="s">
        <v>229</v>
      </c>
      <c r="BB366" s="24" t="s">
        <v>230</v>
      </c>
      <c r="BC366" s="17"/>
      <c r="BD366" s="17"/>
      <c r="BE366" s="17" t="s">
        <v>243</v>
      </c>
      <c r="BF366" s="17"/>
      <c r="BG366" s="17"/>
      <c r="BH366" s="17"/>
      <c r="BI366" s="17"/>
      <c r="BJ366" s="17" t="s">
        <v>232</v>
      </c>
      <c r="BK366" s="17" t="s">
        <v>233</v>
      </c>
      <c r="BL366" s="17"/>
      <c r="BM366" s="17" t="s">
        <v>234</v>
      </c>
      <c r="BN366" s="17"/>
      <c r="BO366" s="17"/>
      <c r="BP366" s="17" t="s">
        <v>140</v>
      </c>
      <c r="BQ366" s="17"/>
      <c r="BR366" s="17"/>
      <c r="BS366" s="15" t="s">
        <v>244</v>
      </c>
      <c r="DH366" s="15" t="s">
        <v>4597</v>
      </c>
      <c r="DI366" s="15" t="s">
        <v>4597</v>
      </c>
    </row>
    <row r="367" spans="1:113" s="15" customFormat="1" ht="12.75" x14ac:dyDescent="0.2">
      <c r="A367" s="15" t="s">
        <v>109</v>
      </c>
      <c r="B367" s="16" t="s">
        <v>110</v>
      </c>
      <c r="C367" s="15" t="s">
        <v>111</v>
      </c>
      <c r="D367" s="15" t="s">
        <v>156</v>
      </c>
      <c r="E367" s="15" t="s">
        <v>113</v>
      </c>
      <c r="F367" s="15" t="s">
        <v>156</v>
      </c>
      <c r="G367" s="15" t="s">
        <v>114</v>
      </c>
      <c r="H367" s="15" t="s">
        <v>4536</v>
      </c>
      <c r="J367" s="18" t="s">
        <v>115</v>
      </c>
      <c r="W367" s="15">
        <v>9</v>
      </c>
      <c r="X367" s="15">
        <v>9</v>
      </c>
      <c r="Y367" s="15" t="s">
        <v>157</v>
      </c>
      <c r="Z367" s="15" t="s">
        <v>158</v>
      </c>
      <c r="AA367" s="15" t="s">
        <v>157</v>
      </c>
      <c r="AB367" s="15" t="s">
        <v>245</v>
      </c>
      <c r="AC367" s="15" t="s">
        <v>245</v>
      </c>
      <c r="AD367" s="19" t="s">
        <v>245</v>
      </c>
      <c r="AE367" s="15" t="s">
        <v>158</v>
      </c>
      <c r="AF367" s="15" t="s">
        <v>245</v>
      </c>
      <c r="AG367" s="15" t="s">
        <v>245</v>
      </c>
      <c r="AH367" s="15" t="s">
        <v>246</v>
      </c>
      <c r="AL367" s="15" t="s">
        <v>247</v>
      </c>
      <c r="AN367" s="15">
        <v>2341</v>
      </c>
      <c r="AO367" s="15" t="s">
        <v>248</v>
      </c>
      <c r="AQ367" s="20" t="s">
        <v>249</v>
      </c>
      <c r="AT367" s="17" t="s">
        <v>250</v>
      </c>
      <c r="AU367" s="17" t="s">
        <v>251</v>
      </c>
      <c r="AV367" s="17" t="s">
        <v>251</v>
      </c>
      <c r="AW367" s="17" t="s">
        <v>252</v>
      </c>
      <c r="AX367" s="17" t="s">
        <v>252</v>
      </c>
      <c r="AY367" s="21">
        <f t="shared" si="12"/>
        <v>48</v>
      </c>
      <c r="AZ367" s="17" t="s">
        <v>253</v>
      </c>
      <c r="BA367" s="24" t="s">
        <v>254</v>
      </c>
      <c r="BB367" s="17"/>
      <c r="BC367" s="17"/>
      <c r="BD367" s="17"/>
      <c r="BE367" s="17"/>
      <c r="BF367" s="17"/>
      <c r="BG367" s="17"/>
      <c r="BH367" s="17"/>
      <c r="BI367" s="17"/>
      <c r="BJ367" s="17" t="s">
        <v>255</v>
      </c>
      <c r="BK367" s="17" t="s">
        <v>256</v>
      </c>
      <c r="BL367" s="17"/>
      <c r="BM367" s="17" t="s">
        <v>257</v>
      </c>
      <c r="BN367" s="17" t="s">
        <v>138</v>
      </c>
      <c r="BO367" s="17"/>
      <c r="BP367" s="17" t="s">
        <v>140</v>
      </c>
      <c r="BQ367" s="17" t="s">
        <v>258</v>
      </c>
      <c r="BR367" s="17"/>
      <c r="BS367" s="15" t="s">
        <v>259</v>
      </c>
      <c r="DH367" s="15" t="s">
        <v>4597</v>
      </c>
      <c r="DI367" s="15" t="s">
        <v>4597</v>
      </c>
    </row>
    <row r="368" spans="1:113" s="15" customFormat="1" ht="12.75" x14ac:dyDescent="0.2">
      <c r="A368" s="15" t="s">
        <v>109</v>
      </c>
      <c r="B368" s="16" t="s">
        <v>110</v>
      </c>
      <c r="C368" s="15" t="s">
        <v>111</v>
      </c>
      <c r="D368" s="15" t="s">
        <v>156</v>
      </c>
      <c r="E368" s="15" t="s">
        <v>113</v>
      </c>
      <c r="F368" s="15" t="s">
        <v>156</v>
      </c>
      <c r="G368" s="15" t="s">
        <v>114</v>
      </c>
      <c r="H368" s="15" t="s">
        <v>4536</v>
      </c>
      <c r="J368" s="18" t="s">
        <v>115</v>
      </c>
      <c r="W368" s="15">
        <v>10</v>
      </c>
      <c r="X368" s="15">
        <v>10</v>
      </c>
      <c r="Y368" s="15" t="s">
        <v>157</v>
      </c>
      <c r="Z368" s="15" t="s">
        <v>158</v>
      </c>
      <c r="AA368" s="15" t="s">
        <v>157</v>
      </c>
      <c r="AB368" s="15" t="s">
        <v>260</v>
      </c>
      <c r="AC368" s="15" t="s">
        <v>260</v>
      </c>
      <c r="AD368" s="19" t="s">
        <v>260</v>
      </c>
      <c r="AE368" s="15" t="s">
        <v>158</v>
      </c>
      <c r="AF368" s="15" t="s">
        <v>260</v>
      </c>
      <c r="AG368" s="15" t="s">
        <v>260</v>
      </c>
      <c r="AH368" s="15" t="s">
        <v>261</v>
      </c>
      <c r="AL368" s="15" t="s">
        <v>262</v>
      </c>
      <c r="AN368" s="15">
        <v>2341</v>
      </c>
      <c r="AO368" s="15" t="s">
        <v>263</v>
      </c>
      <c r="AQ368" s="20" t="s">
        <v>264</v>
      </c>
      <c r="AT368" s="17" t="s">
        <v>265</v>
      </c>
      <c r="AU368" s="17" t="s">
        <v>266</v>
      </c>
      <c r="AV368" s="17" t="s">
        <v>266</v>
      </c>
      <c r="AW368" s="17" t="s">
        <v>267</v>
      </c>
      <c r="AX368" s="17" t="s">
        <v>267</v>
      </c>
      <c r="AY368" s="21">
        <f t="shared" si="12"/>
        <v>40</v>
      </c>
      <c r="AZ368" s="17" t="s">
        <v>268</v>
      </c>
      <c r="BA368" s="17"/>
      <c r="BB368" s="17" t="s">
        <v>269</v>
      </c>
      <c r="BC368" s="17"/>
      <c r="BD368" s="17"/>
      <c r="BE368" s="17"/>
      <c r="BF368" s="17"/>
      <c r="BG368" s="17"/>
      <c r="BH368" s="17"/>
      <c r="BI368" s="17"/>
      <c r="BJ368" s="17" t="s">
        <v>270</v>
      </c>
      <c r="BK368" s="17"/>
      <c r="BL368" s="17"/>
      <c r="BM368" s="17"/>
      <c r="BN368" s="17" t="s">
        <v>138</v>
      </c>
      <c r="BO368" s="17"/>
      <c r="BP368" s="17" t="s">
        <v>140</v>
      </c>
      <c r="BQ368" s="17"/>
      <c r="BR368" s="17"/>
      <c r="BS368" s="15" t="s">
        <v>271</v>
      </c>
      <c r="DH368" s="15" t="s">
        <v>4597</v>
      </c>
      <c r="DI368" s="15" t="s">
        <v>4597</v>
      </c>
    </row>
    <row r="369" spans="1:113" s="15" customFormat="1" ht="12.75" x14ac:dyDescent="0.2">
      <c r="A369" s="15" t="s">
        <v>109</v>
      </c>
      <c r="B369" s="16" t="s">
        <v>110</v>
      </c>
      <c r="C369" s="15" t="s">
        <v>111</v>
      </c>
      <c r="D369" s="15" t="s">
        <v>156</v>
      </c>
      <c r="E369" s="15" t="s">
        <v>113</v>
      </c>
      <c r="F369" s="15" t="s">
        <v>156</v>
      </c>
      <c r="G369" s="15" t="s">
        <v>114</v>
      </c>
      <c r="H369" s="15" t="s">
        <v>4536</v>
      </c>
      <c r="J369" s="18" t="s">
        <v>115</v>
      </c>
      <c r="W369" s="15">
        <v>11</v>
      </c>
      <c r="X369" s="15">
        <v>11</v>
      </c>
      <c r="Y369" s="15" t="s">
        <v>157</v>
      </c>
      <c r="Z369" s="15" t="s">
        <v>158</v>
      </c>
      <c r="AA369" s="15" t="s">
        <v>157</v>
      </c>
      <c r="AB369" s="15" t="s">
        <v>272</v>
      </c>
      <c r="AC369" s="15" t="s">
        <v>272</v>
      </c>
      <c r="AD369" s="19" t="s">
        <v>272</v>
      </c>
      <c r="AE369" s="15" t="s">
        <v>158</v>
      </c>
      <c r="AF369" s="15" t="s">
        <v>272</v>
      </c>
      <c r="AG369" s="15" t="s">
        <v>272</v>
      </c>
      <c r="AH369" s="15" t="s">
        <v>273</v>
      </c>
      <c r="AL369" s="15" t="s">
        <v>274</v>
      </c>
      <c r="AN369" s="15">
        <v>2341</v>
      </c>
      <c r="AO369" s="15" t="s">
        <v>275</v>
      </c>
      <c r="AQ369" s="20" t="s">
        <v>276</v>
      </c>
      <c r="AT369" s="17" t="s">
        <v>277</v>
      </c>
      <c r="AU369" s="17" t="s">
        <v>278</v>
      </c>
      <c r="AV369" s="17" t="s">
        <v>278</v>
      </c>
      <c r="AW369" s="17" t="s">
        <v>279</v>
      </c>
      <c r="AX369" s="17" t="s">
        <v>280</v>
      </c>
      <c r="AY369" s="21">
        <f t="shared" si="12"/>
        <v>35</v>
      </c>
      <c r="AZ369" s="17" t="s">
        <v>281</v>
      </c>
      <c r="BA369" s="17" t="s">
        <v>282</v>
      </c>
      <c r="BB369" s="17" t="s">
        <v>283</v>
      </c>
      <c r="BC369" s="17"/>
      <c r="BD369" s="17"/>
      <c r="BE369" s="17"/>
      <c r="BF369" s="17"/>
      <c r="BG369" s="26" t="s">
        <v>284</v>
      </c>
      <c r="BH369" s="17"/>
      <c r="BI369" s="17"/>
      <c r="BJ369" s="17"/>
      <c r="BK369" s="17"/>
      <c r="BL369" s="17"/>
      <c r="BM369" s="17"/>
      <c r="BN369" s="17"/>
      <c r="BO369" s="17"/>
      <c r="BP369" s="17" t="s">
        <v>140</v>
      </c>
      <c r="BQ369" s="17"/>
      <c r="BR369" s="17"/>
      <c r="BS369" s="15" t="s">
        <v>285</v>
      </c>
      <c r="DH369" s="15" t="s">
        <v>4597</v>
      </c>
      <c r="DI369" s="15" t="s">
        <v>4597</v>
      </c>
    </row>
    <row r="370" spans="1:113" s="15" customFormat="1" ht="12.75" x14ac:dyDescent="0.2">
      <c r="A370" s="15" t="s">
        <v>109</v>
      </c>
      <c r="B370" s="16" t="s">
        <v>110</v>
      </c>
      <c r="C370" s="15" t="s">
        <v>111</v>
      </c>
      <c r="D370" s="15" t="s">
        <v>156</v>
      </c>
      <c r="E370" s="15" t="s">
        <v>113</v>
      </c>
      <c r="F370" s="15" t="s">
        <v>156</v>
      </c>
      <c r="G370" s="15" t="s">
        <v>114</v>
      </c>
      <c r="H370" s="15" t="s">
        <v>4536</v>
      </c>
      <c r="J370" s="18" t="s">
        <v>115</v>
      </c>
      <c r="W370" s="15">
        <v>12</v>
      </c>
      <c r="X370" s="15">
        <v>12</v>
      </c>
      <c r="Y370" s="15" t="s">
        <v>157</v>
      </c>
      <c r="Z370" s="15" t="s">
        <v>158</v>
      </c>
      <c r="AA370" s="15" t="s">
        <v>157</v>
      </c>
      <c r="AB370" s="15" t="s">
        <v>286</v>
      </c>
      <c r="AC370" s="15" t="s">
        <v>286</v>
      </c>
      <c r="AD370" s="19" t="s">
        <v>286</v>
      </c>
      <c r="AE370" s="15" t="s">
        <v>158</v>
      </c>
      <c r="AF370" s="15" t="s">
        <v>286</v>
      </c>
      <c r="AG370" s="15" t="s">
        <v>286</v>
      </c>
      <c r="AH370" s="15" t="s">
        <v>287</v>
      </c>
      <c r="AL370" s="15" t="s">
        <v>288</v>
      </c>
      <c r="AN370" s="15">
        <v>2341</v>
      </c>
      <c r="AO370" s="15" t="s">
        <v>289</v>
      </c>
      <c r="AQ370" s="20" t="s">
        <v>290</v>
      </c>
      <c r="AT370" s="17" t="s">
        <v>291</v>
      </c>
      <c r="AU370" s="17" t="s">
        <v>292</v>
      </c>
      <c r="AV370" s="17" t="s">
        <v>292</v>
      </c>
      <c r="AW370" s="17" t="s">
        <v>293</v>
      </c>
      <c r="AX370" s="17" t="s">
        <v>294</v>
      </c>
      <c r="AY370" s="21">
        <f t="shared" si="12"/>
        <v>51</v>
      </c>
      <c r="AZ370" s="17" t="s">
        <v>295</v>
      </c>
      <c r="BA370" s="17" t="s">
        <v>296</v>
      </c>
      <c r="BB370" s="17" t="s">
        <v>297</v>
      </c>
      <c r="BC370" s="17"/>
      <c r="BD370" s="17"/>
      <c r="BE370" s="17" t="s">
        <v>298</v>
      </c>
      <c r="BF370" s="17"/>
      <c r="BG370" s="17"/>
      <c r="BH370" s="17"/>
      <c r="BI370" s="17"/>
      <c r="BJ370" s="17" t="s">
        <v>299</v>
      </c>
      <c r="BK370" s="17"/>
      <c r="BL370" s="17"/>
      <c r="BM370" s="17" t="s">
        <v>201</v>
      </c>
      <c r="BN370" s="17" t="s">
        <v>138</v>
      </c>
      <c r="BO370" s="17" t="s">
        <v>300</v>
      </c>
      <c r="BP370" s="17" t="s">
        <v>140</v>
      </c>
      <c r="BQ370" s="17" t="s">
        <v>258</v>
      </c>
      <c r="BR370" s="17"/>
      <c r="BS370" s="15" t="s">
        <v>301</v>
      </c>
      <c r="DH370" s="15" t="s">
        <v>4597</v>
      </c>
      <c r="DI370" s="15" t="s">
        <v>4597</v>
      </c>
    </row>
    <row r="371" spans="1:113" s="15" customFormat="1" ht="12.75" x14ac:dyDescent="0.2">
      <c r="A371" s="15" t="s">
        <v>109</v>
      </c>
      <c r="B371" s="16" t="s">
        <v>110</v>
      </c>
      <c r="C371" s="15" t="s">
        <v>111</v>
      </c>
      <c r="D371" s="15" t="s">
        <v>156</v>
      </c>
      <c r="E371" s="15" t="s">
        <v>113</v>
      </c>
      <c r="F371" s="15" t="s">
        <v>156</v>
      </c>
      <c r="G371" s="15" t="s">
        <v>114</v>
      </c>
      <c r="H371" s="15" t="s">
        <v>4536</v>
      </c>
      <c r="J371" s="18" t="s">
        <v>115</v>
      </c>
      <c r="W371" s="15">
        <v>13</v>
      </c>
      <c r="X371" s="15">
        <v>13</v>
      </c>
      <c r="Y371" s="15" t="s">
        <v>157</v>
      </c>
      <c r="Z371" s="15" t="s">
        <v>158</v>
      </c>
      <c r="AA371" s="15" t="s">
        <v>157</v>
      </c>
      <c r="AB371" s="15" t="s">
        <v>302</v>
      </c>
      <c r="AC371" s="15" t="s">
        <v>302</v>
      </c>
      <c r="AD371" s="19" t="s">
        <v>302</v>
      </c>
      <c r="AE371" s="15" t="s">
        <v>158</v>
      </c>
      <c r="AF371" s="15" t="s">
        <v>302</v>
      </c>
      <c r="AG371" s="15" t="s">
        <v>302</v>
      </c>
      <c r="AH371" s="15" t="s">
        <v>303</v>
      </c>
      <c r="AL371" s="15" t="s">
        <v>304</v>
      </c>
      <c r="AN371" s="15">
        <v>2341</v>
      </c>
      <c r="AO371" s="15" t="s">
        <v>305</v>
      </c>
      <c r="AQ371" s="20" t="s">
        <v>290</v>
      </c>
      <c r="AT371" s="17" t="s">
        <v>306</v>
      </c>
      <c r="AU371" s="17" t="s">
        <v>307</v>
      </c>
      <c r="AV371" s="17" t="s">
        <v>307</v>
      </c>
      <c r="AW371" s="17" t="s">
        <v>308</v>
      </c>
      <c r="AX371" s="17" t="s">
        <v>309</v>
      </c>
      <c r="AY371" s="21">
        <f t="shared" si="12"/>
        <v>51</v>
      </c>
      <c r="AZ371" s="17" t="s">
        <v>310</v>
      </c>
      <c r="BA371" s="17" t="s">
        <v>296</v>
      </c>
      <c r="BB371" s="17" t="s">
        <v>297</v>
      </c>
      <c r="BC371" s="17"/>
      <c r="BD371" s="17"/>
      <c r="BE371" s="17" t="s">
        <v>298</v>
      </c>
      <c r="BF371" s="17"/>
      <c r="BG371" s="17"/>
      <c r="BH371" s="17"/>
      <c r="BI371" s="17"/>
      <c r="BJ371" s="17" t="s">
        <v>311</v>
      </c>
      <c r="BK371" s="17" t="s">
        <v>312</v>
      </c>
      <c r="BL371" s="17"/>
      <c r="BM371" s="17" t="s">
        <v>201</v>
      </c>
      <c r="BN371" s="17" t="s">
        <v>138</v>
      </c>
      <c r="BO371" s="17" t="s">
        <v>313</v>
      </c>
      <c r="BP371" s="17" t="s">
        <v>140</v>
      </c>
      <c r="BQ371" s="17" t="s">
        <v>258</v>
      </c>
      <c r="BR371" s="17"/>
      <c r="BS371" s="15" t="s">
        <v>314</v>
      </c>
      <c r="DH371" s="15" t="s">
        <v>4597</v>
      </c>
      <c r="DI371" s="15" t="s">
        <v>4597</v>
      </c>
    </row>
    <row r="372" spans="1:113" s="15" customFormat="1" ht="12.75" x14ac:dyDescent="0.2">
      <c r="A372" s="15" t="s">
        <v>109</v>
      </c>
      <c r="B372" s="16" t="s">
        <v>110</v>
      </c>
      <c r="C372" s="15" t="s">
        <v>111</v>
      </c>
      <c r="D372" s="15" t="s">
        <v>156</v>
      </c>
      <c r="E372" s="15" t="s">
        <v>113</v>
      </c>
      <c r="F372" s="15" t="s">
        <v>156</v>
      </c>
      <c r="G372" s="15" t="s">
        <v>114</v>
      </c>
      <c r="H372" s="15" t="s">
        <v>4536</v>
      </c>
      <c r="J372" s="18" t="s">
        <v>115</v>
      </c>
      <c r="W372" s="15">
        <v>14</v>
      </c>
      <c r="X372" s="15">
        <v>14</v>
      </c>
      <c r="Y372" s="15" t="s">
        <v>157</v>
      </c>
      <c r="Z372" s="15" t="s">
        <v>158</v>
      </c>
      <c r="AA372" s="15" t="s">
        <v>157</v>
      </c>
      <c r="AB372" s="15" t="s">
        <v>315</v>
      </c>
      <c r="AC372" s="15" t="s">
        <v>315</v>
      </c>
      <c r="AD372" s="19" t="s">
        <v>315</v>
      </c>
      <c r="AE372" s="15" t="s">
        <v>158</v>
      </c>
      <c r="AF372" s="15" t="s">
        <v>315</v>
      </c>
      <c r="AG372" s="15" t="s">
        <v>315</v>
      </c>
      <c r="AH372" s="15" t="s">
        <v>316</v>
      </c>
      <c r="AL372" s="15" t="s">
        <v>317</v>
      </c>
      <c r="AN372" s="15">
        <v>2341</v>
      </c>
      <c r="AO372" s="15" t="s">
        <v>318</v>
      </c>
      <c r="AQ372" s="20" t="s">
        <v>319</v>
      </c>
      <c r="AR372" s="15" t="s">
        <v>320</v>
      </c>
      <c r="AS372" s="23" t="s">
        <v>321</v>
      </c>
      <c r="AT372" s="17" t="s">
        <v>322</v>
      </c>
      <c r="AU372" s="17" t="s">
        <v>323</v>
      </c>
      <c r="AV372" s="17" t="s">
        <v>323</v>
      </c>
      <c r="AW372" s="17" t="s">
        <v>324</v>
      </c>
      <c r="AX372" s="17" t="s">
        <v>325</v>
      </c>
      <c r="AY372" s="21">
        <f t="shared" si="12"/>
        <v>57</v>
      </c>
      <c r="AZ372" s="17" t="s">
        <v>295</v>
      </c>
      <c r="BA372" s="17" t="s">
        <v>326</v>
      </c>
      <c r="BB372" s="17"/>
      <c r="BC372" s="17"/>
      <c r="BD372" s="17"/>
      <c r="BE372" s="17" t="s">
        <v>327</v>
      </c>
      <c r="BF372" s="17"/>
      <c r="BG372" s="17"/>
      <c r="BH372" s="17"/>
      <c r="BI372" s="17"/>
      <c r="BJ372" s="17" t="s">
        <v>328</v>
      </c>
      <c r="BK372" s="17"/>
      <c r="BL372" s="17"/>
      <c r="BM372" s="17" t="s">
        <v>201</v>
      </c>
      <c r="BN372" s="17" t="s">
        <v>138</v>
      </c>
      <c r="BO372" s="17"/>
      <c r="BP372" s="17" t="s">
        <v>140</v>
      </c>
      <c r="BQ372" s="17" t="s">
        <v>258</v>
      </c>
      <c r="BR372" s="17"/>
      <c r="BS372" s="15" t="s">
        <v>329</v>
      </c>
      <c r="DH372" s="15" t="s">
        <v>4597</v>
      </c>
      <c r="DI372" s="15" t="s">
        <v>4597</v>
      </c>
    </row>
    <row r="373" spans="1:113" s="15" customFormat="1" ht="12.75" x14ac:dyDescent="0.2">
      <c r="A373" s="15" t="s">
        <v>109</v>
      </c>
      <c r="B373" s="16" t="s">
        <v>110</v>
      </c>
      <c r="C373" s="15" t="s">
        <v>111</v>
      </c>
      <c r="D373" s="15" t="s">
        <v>156</v>
      </c>
      <c r="E373" s="15" t="s">
        <v>1212</v>
      </c>
      <c r="F373" s="15" t="s">
        <v>156</v>
      </c>
      <c r="G373" s="15" t="s">
        <v>114</v>
      </c>
      <c r="H373" s="15" t="s">
        <v>4536</v>
      </c>
      <c r="J373" s="18" t="s">
        <v>115</v>
      </c>
      <c r="W373" s="15">
        <v>15</v>
      </c>
      <c r="X373" s="15">
        <v>15</v>
      </c>
      <c r="Y373" s="15" t="s">
        <v>157</v>
      </c>
      <c r="Z373" s="15" t="s">
        <v>158</v>
      </c>
      <c r="AA373" s="15" t="s">
        <v>157</v>
      </c>
      <c r="AB373" s="15" t="s">
        <v>330</v>
      </c>
      <c r="AC373" s="15" t="s">
        <v>330</v>
      </c>
      <c r="AD373" s="19" t="s">
        <v>330</v>
      </c>
      <c r="AE373" s="15" t="s">
        <v>158</v>
      </c>
      <c r="AF373" s="15" t="s">
        <v>330</v>
      </c>
      <c r="AG373" s="15" t="s">
        <v>330</v>
      </c>
      <c r="AH373" s="15" t="s">
        <v>331</v>
      </c>
      <c r="AL373" s="15" t="s">
        <v>332</v>
      </c>
      <c r="AN373" s="15">
        <v>2341</v>
      </c>
      <c r="AO373" s="15" t="s">
        <v>333</v>
      </c>
      <c r="AQ373" s="20" t="s">
        <v>334</v>
      </c>
      <c r="AR373" s="15" t="s">
        <v>335</v>
      </c>
      <c r="AS373" s="23" t="s">
        <v>336</v>
      </c>
      <c r="AT373" s="17" t="s">
        <v>332</v>
      </c>
      <c r="AU373" s="17" t="s">
        <v>337</v>
      </c>
      <c r="AV373" s="17" t="s">
        <v>337</v>
      </c>
      <c r="AW373" s="17" t="s">
        <v>338</v>
      </c>
      <c r="AX373" s="17" t="s">
        <v>338</v>
      </c>
      <c r="AY373" s="21">
        <f t="shared" si="12"/>
        <v>60</v>
      </c>
      <c r="AZ373" s="17" t="s">
        <v>339</v>
      </c>
      <c r="BA373" s="17" t="s">
        <v>340</v>
      </c>
      <c r="BB373" s="17" t="s">
        <v>341</v>
      </c>
      <c r="BC373" s="17"/>
      <c r="BD373" s="17" t="s">
        <v>197</v>
      </c>
      <c r="BE373" s="17" t="s">
        <v>342</v>
      </c>
      <c r="BF373" s="17"/>
      <c r="BG373" s="17" t="s">
        <v>343</v>
      </c>
      <c r="BH373" s="17"/>
      <c r="BI373" s="17"/>
      <c r="BJ373" s="17"/>
      <c r="BK373" s="17" t="s">
        <v>344</v>
      </c>
      <c r="BL373" s="17"/>
      <c r="BM373" s="17" t="s">
        <v>345</v>
      </c>
      <c r="BN373" s="17"/>
      <c r="BO373" s="17"/>
      <c r="BP373" s="17" t="s">
        <v>346</v>
      </c>
      <c r="BQ373" s="17"/>
      <c r="BR373" s="17"/>
      <c r="BS373" s="17" t="s">
        <v>347</v>
      </c>
      <c r="DH373" s="15" t="s">
        <v>4597</v>
      </c>
      <c r="DI373" s="15" t="s">
        <v>4597</v>
      </c>
    </row>
    <row r="374" spans="1:113" s="15" customFormat="1" ht="12.75" x14ac:dyDescent="0.2">
      <c r="A374" s="15" t="s">
        <v>109</v>
      </c>
      <c r="B374" s="16" t="s">
        <v>110</v>
      </c>
      <c r="C374" s="15" t="s">
        <v>111</v>
      </c>
      <c r="D374" s="15" t="s">
        <v>156</v>
      </c>
      <c r="E374" s="15" t="s">
        <v>113</v>
      </c>
      <c r="F374" s="15" t="s">
        <v>156</v>
      </c>
      <c r="G374" s="15" t="s">
        <v>114</v>
      </c>
      <c r="H374" s="15" t="s">
        <v>4536</v>
      </c>
      <c r="J374" s="18" t="s">
        <v>115</v>
      </c>
      <c r="W374" s="15">
        <v>16</v>
      </c>
      <c r="X374" s="15">
        <v>16</v>
      </c>
      <c r="Y374" s="15" t="s">
        <v>157</v>
      </c>
      <c r="Z374" s="15" t="s">
        <v>158</v>
      </c>
      <c r="AA374" s="15" t="s">
        <v>157</v>
      </c>
      <c r="AB374" s="15" t="s">
        <v>348</v>
      </c>
      <c r="AC374" s="15" t="s">
        <v>348</v>
      </c>
      <c r="AD374" s="19" t="s">
        <v>348</v>
      </c>
      <c r="AE374" s="15" t="s">
        <v>158</v>
      </c>
      <c r="AF374" s="15" t="s">
        <v>348</v>
      </c>
      <c r="AG374" s="15" t="s">
        <v>348</v>
      </c>
      <c r="AH374" s="15" t="s">
        <v>349</v>
      </c>
      <c r="AL374" s="15" t="s">
        <v>350</v>
      </c>
      <c r="AN374" s="15">
        <v>2341</v>
      </c>
      <c r="AO374" s="15" t="s">
        <v>351</v>
      </c>
      <c r="AQ374" s="20" t="s">
        <v>352</v>
      </c>
      <c r="AR374" s="15" t="s">
        <v>353</v>
      </c>
      <c r="AS374" s="23" t="s">
        <v>354</v>
      </c>
      <c r="AT374" s="17" t="s">
        <v>355</v>
      </c>
      <c r="AU374" s="17" t="s">
        <v>356</v>
      </c>
      <c r="AV374" s="17" t="s">
        <v>356</v>
      </c>
      <c r="AW374" s="17" t="s">
        <v>357</v>
      </c>
      <c r="AX374" s="17" t="s">
        <v>358</v>
      </c>
      <c r="AY374" s="21">
        <f t="shared" si="12"/>
        <v>52</v>
      </c>
      <c r="AZ374" s="17" t="s">
        <v>359</v>
      </c>
      <c r="BA374" s="17" t="s">
        <v>360</v>
      </c>
      <c r="BB374" s="17" t="s">
        <v>361</v>
      </c>
      <c r="BC374" s="17"/>
      <c r="BD374" s="17" t="s">
        <v>362</v>
      </c>
      <c r="BE374" s="17"/>
      <c r="BF374" s="17"/>
      <c r="BG374" s="17"/>
      <c r="BH374" s="17"/>
      <c r="BI374" s="17"/>
      <c r="BJ374" s="17" t="s">
        <v>363</v>
      </c>
      <c r="BK374" s="17" t="s">
        <v>364</v>
      </c>
      <c r="BL374" s="17"/>
      <c r="BM374" s="17"/>
      <c r="BN374" s="17"/>
      <c r="BO374" s="17"/>
      <c r="BP374" s="17" t="s">
        <v>140</v>
      </c>
      <c r="BQ374" s="17" t="s">
        <v>258</v>
      </c>
      <c r="BR374" s="17"/>
      <c r="BS374" s="15" t="s">
        <v>365</v>
      </c>
      <c r="DH374" s="15" t="s">
        <v>4597</v>
      </c>
      <c r="DI374" s="15" t="s">
        <v>4597</v>
      </c>
    </row>
    <row r="375" spans="1:113" s="15" customFormat="1" ht="12.75" x14ac:dyDescent="0.2">
      <c r="A375" s="15" t="s">
        <v>109</v>
      </c>
      <c r="B375" s="16" t="s">
        <v>110</v>
      </c>
      <c r="C375" s="15" t="s">
        <v>111</v>
      </c>
      <c r="D375" s="15" t="s">
        <v>156</v>
      </c>
      <c r="E375" s="15" t="s">
        <v>113</v>
      </c>
      <c r="F375" s="15" t="s">
        <v>156</v>
      </c>
      <c r="G375" s="15" t="s">
        <v>114</v>
      </c>
      <c r="H375" s="15" t="s">
        <v>4536</v>
      </c>
      <c r="J375" s="18" t="s">
        <v>115</v>
      </c>
      <c r="W375" s="15">
        <v>17</v>
      </c>
      <c r="X375" s="15">
        <v>17</v>
      </c>
      <c r="Y375" s="15" t="s">
        <v>157</v>
      </c>
      <c r="Z375" s="15" t="s">
        <v>158</v>
      </c>
      <c r="AA375" s="15" t="s">
        <v>157</v>
      </c>
      <c r="AB375" s="15" t="s">
        <v>366</v>
      </c>
      <c r="AC375" s="15" t="s">
        <v>366</v>
      </c>
      <c r="AD375" s="19" t="s">
        <v>366</v>
      </c>
      <c r="AE375" s="15" t="s">
        <v>158</v>
      </c>
      <c r="AF375" s="15" t="s">
        <v>366</v>
      </c>
      <c r="AG375" s="15" t="s">
        <v>366</v>
      </c>
      <c r="AH375" s="15" t="s">
        <v>367</v>
      </c>
      <c r="AL375" s="15" t="s">
        <v>368</v>
      </c>
      <c r="AN375" s="15">
        <v>2341</v>
      </c>
      <c r="AO375" s="15" t="s">
        <v>369</v>
      </c>
      <c r="AQ375" s="20" t="s">
        <v>352</v>
      </c>
      <c r="AR375" s="15" t="s">
        <v>353</v>
      </c>
      <c r="AS375" s="23" t="s">
        <v>354</v>
      </c>
      <c r="AT375" s="17" t="s">
        <v>370</v>
      </c>
      <c r="AU375" s="17" t="s">
        <v>371</v>
      </c>
      <c r="AV375" s="17" t="s">
        <v>371</v>
      </c>
      <c r="AW375" s="17" t="s">
        <v>372</v>
      </c>
      <c r="AX375" s="17" t="s">
        <v>373</v>
      </c>
      <c r="AY375" s="21">
        <f t="shared" si="12"/>
        <v>56</v>
      </c>
      <c r="AZ375" s="17" t="s">
        <v>359</v>
      </c>
      <c r="BA375" s="17" t="s">
        <v>360</v>
      </c>
      <c r="BB375" s="17" t="s">
        <v>361</v>
      </c>
      <c r="BC375" s="17" t="s">
        <v>374</v>
      </c>
      <c r="BD375" s="17" t="s">
        <v>362</v>
      </c>
      <c r="BE375" s="17"/>
      <c r="BF375" s="17"/>
      <c r="BG375" s="17"/>
      <c r="BH375" s="17"/>
      <c r="BI375" s="17"/>
      <c r="BJ375" s="17" t="s">
        <v>363</v>
      </c>
      <c r="BK375" s="17" t="s">
        <v>364</v>
      </c>
      <c r="BL375" s="17"/>
      <c r="BM375" s="17"/>
      <c r="BN375" s="17"/>
      <c r="BO375" s="17"/>
      <c r="BP375" s="17" t="s">
        <v>140</v>
      </c>
      <c r="BQ375" s="17" t="s">
        <v>258</v>
      </c>
      <c r="BR375" s="17"/>
      <c r="BS375" s="15" t="s">
        <v>375</v>
      </c>
      <c r="DH375" s="15" t="s">
        <v>4597</v>
      </c>
      <c r="DI375" s="15" t="s">
        <v>4597</v>
      </c>
    </row>
    <row r="376" spans="1:113" s="15" customFormat="1" ht="12.75" x14ac:dyDescent="0.2">
      <c r="A376" s="15" t="s">
        <v>109</v>
      </c>
      <c r="B376" s="16" t="s">
        <v>110</v>
      </c>
      <c r="C376" s="15" t="s">
        <v>111</v>
      </c>
      <c r="D376" s="15" t="s">
        <v>156</v>
      </c>
      <c r="E376" s="15" t="s">
        <v>113</v>
      </c>
      <c r="F376" s="15" t="s">
        <v>156</v>
      </c>
      <c r="G376" s="15" t="s">
        <v>114</v>
      </c>
      <c r="H376" s="15" t="s">
        <v>4536</v>
      </c>
      <c r="J376" s="18" t="s">
        <v>115</v>
      </c>
      <c r="W376" s="15">
        <v>18</v>
      </c>
      <c r="X376" s="15">
        <v>18</v>
      </c>
      <c r="Y376" s="15" t="s">
        <v>157</v>
      </c>
      <c r="Z376" s="15" t="s">
        <v>158</v>
      </c>
      <c r="AA376" s="15" t="s">
        <v>157</v>
      </c>
      <c r="AB376" s="15" t="s">
        <v>376</v>
      </c>
      <c r="AC376" s="15" t="s">
        <v>376</v>
      </c>
      <c r="AD376" s="19" t="s">
        <v>376</v>
      </c>
      <c r="AE376" s="15" t="s">
        <v>158</v>
      </c>
      <c r="AF376" s="15" t="s">
        <v>376</v>
      </c>
      <c r="AG376" s="15" t="s">
        <v>376</v>
      </c>
      <c r="AH376" s="15" t="s">
        <v>377</v>
      </c>
      <c r="AL376" s="15" t="s">
        <v>378</v>
      </c>
      <c r="AN376" s="15">
        <v>2341</v>
      </c>
      <c r="AO376" s="15" t="s">
        <v>379</v>
      </c>
      <c r="AQ376" s="20" t="s">
        <v>352</v>
      </c>
      <c r="AR376" s="15" t="s">
        <v>353</v>
      </c>
      <c r="AS376" s="23" t="s">
        <v>354</v>
      </c>
      <c r="AT376" s="17" t="s">
        <v>380</v>
      </c>
      <c r="AU376" s="17" t="s">
        <v>381</v>
      </c>
      <c r="AV376" s="17" t="s">
        <v>381</v>
      </c>
      <c r="AW376" s="17" t="s">
        <v>382</v>
      </c>
      <c r="AX376" s="17" t="s">
        <v>383</v>
      </c>
      <c r="AY376" s="21">
        <f t="shared" si="12"/>
        <v>54</v>
      </c>
      <c r="AZ376" s="17" t="s">
        <v>359</v>
      </c>
      <c r="BA376" s="17" t="s">
        <v>360</v>
      </c>
      <c r="BB376" s="17" t="s">
        <v>361</v>
      </c>
      <c r="BC376" s="17"/>
      <c r="BD376" s="17" t="s">
        <v>384</v>
      </c>
      <c r="BE376" s="17"/>
      <c r="BF376" s="17"/>
      <c r="BG376" s="17"/>
      <c r="BH376" s="17"/>
      <c r="BI376" s="17"/>
      <c r="BJ376" s="17" t="s">
        <v>363</v>
      </c>
      <c r="BK376" s="17" t="s">
        <v>364</v>
      </c>
      <c r="BL376" s="17"/>
      <c r="BM376" s="17"/>
      <c r="BN376" s="17"/>
      <c r="BO376" s="17"/>
      <c r="BP376" s="17" t="s">
        <v>140</v>
      </c>
      <c r="BQ376" s="17" t="s">
        <v>258</v>
      </c>
      <c r="BR376" s="17"/>
      <c r="BS376" s="15" t="s">
        <v>385</v>
      </c>
      <c r="DH376" s="15" t="s">
        <v>4597</v>
      </c>
      <c r="DI376" s="15" t="s">
        <v>4597</v>
      </c>
    </row>
    <row r="377" spans="1:113" s="15" customFormat="1" ht="12.75" x14ac:dyDescent="0.2">
      <c r="A377" s="15" t="s">
        <v>109</v>
      </c>
      <c r="B377" s="16" t="s">
        <v>110</v>
      </c>
      <c r="C377" s="15" t="s">
        <v>111</v>
      </c>
      <c r="D377" s="15" t="s">
        <v>156</v>
      </c>
      <c r="E377" s="15" t="s">
        <v>113</v>
      </c>
      <c r="F377" s="15" t="s">
        <v>156</v>
      </c>
      <c r="G377" s="15" t="s">
        <v>114</v>
      </c>
      <c r="H377" s="15" t="s">
        <v>4536</v>
      </c>
      <c r="J377" s="18" t="s">
        <v>115</v>
      </c>
      <c r="W377" s="15">
        <v>19</v>
      </c>
      <c r="X377" s="15">
        <v>19</v>
      </c>
      <c r="Y377" s="15" t="s">
        <v>157</v>
      </c>
      <c r="Z377" s="15" t="s">
        <v>158</v>
      </c>
      <c r="AA377" s="15" t="s">
        <v>157</v>
      </c>
      <c r="AB377" s="15" t="s">
        <v>386</v>
      </c>
      <c r="AC377" s="15" t="s">
        <v>386</v>
      </c>
      <c r="AD377" s="19" t="s">
        <v>386</v>
      </c>
      <c r="AE377" s="15" t="s">
        <v>158</v>
      </c>
      <c r="AF377" s="15" t="s">
        <v>386</v>
      </c>
      <c r="AG377" s="15" t="s">
        <v>386</v>
      </c>
      <c r="AH377" s="15" t="s">
        <v>387</v>
      </c>
      <c r="AI377" s="15">
        <v>42181605</v>
      </c>
      <c r="AK377" s="15" t="s">
        <v>388</v>
      </c>
      <c r="AL377" s="15" t="s">
        <v>389</v>
      </c>
      <c r="AN377" s="15">
        <v>2341</v>
      </c>
      <c r="AO377" s="15" t="s">
        <v>390</v>
      </c>
      <c r="AQ377" s="20" t="s">
        <v>352</v>
      </c>
      <c r="AR377" s="15" t="s">
        <v>353</v>
      </c>
      <c r="AS377" s="23" t="s">
        <v>354</v>
      </c>
      <c r="AT377" s="17" t="s">
        <v>391</v>
      </c>
      <c r="AU377" s="17" t="s">
        <v>392</v>
      </c>
      <c r="AV377" s="17" t="s">
        <v>392</v>
      </c>
      <c r="AW377" s="17" t="s">
        <v>393</v>
      </c>
      <c r="AX377" s="17" t="s">
        <v>394</v>
      </c>
      <c r="AY377" s="21">
        <f t="shared" si="12"/>
        <v>59</v>
      </c>
      <c r="AZ377" s="17" t="s">
        <v>359</v>
      </c>
      <c r="BA377" s="17" t="s">
        <v>360</v>
      </c>
      <c r="BB377" s="17" t="s">
        <v>361</v>
      </c>
      <c r="BC377" s="17"/>
      <c r="BD377" s="17" t="s">
        <v>197</v>
      </c>
      <c r="BE377" s="17"/>
      <c r="BF377" s="17"/>
      <c r="BG377" s="17"/>
      <c r="BH377" s="17"/>
      <c r="BI377" s="17" t="s">
        <v>395</v>
      </c>
      <c r="BJ377" s="17" t="s">
        <v>363</v>
      </c>
      <c r="BK377" s="17" t="s">
        <v>364</v>
      </c>
      <c r="BL377" s="17"/>
      <c r="BM377" s="17"/>
      <c r="BN377" s="17"/>
      <c r="BO377" s="17"/>
      <c r="BP377" s="17" t="s">
        <v>140</v>
      </c>
      <c r="BQ377" s="17" t="s">
        <v>258</v>
      </c>
      <c r="BR377" s="17"/>
      <c r="BS377" s="15" t="s">
        <v>396</v>
      </c>
      <c r="DH377" s="15" t="s">
        <v>4597</v>
      </c>
      <c r="DI377" s="15" t="s">
        <v>4597</v>
      </c>
    </row>
    <row r="378" spans="1:113" s="15" customFormat="1" ht="12.75" x14ac:dyDescent="0.2">
      <c r="A378" s="15" t="s">
        <v>109</v>
      </c>
      <c r="B378" s="16" t="s">
        <v>110</v>
      </c>
      <c r="C378" s="15" t="s">
        <v>111</v>
      </c>
      <c r="D378" s="15" t="s">
        <v>156</v>
      </c>
      <c r="E378" s="15" t="s">
        <v>113</v>
      </c>
      <c r="F378" s="15" t="s">
        <v>156</v>
      </c>
      <c r="G378" s="15" t="s">
        <v>114</v>
      </c>
      <c r="H378" s="15" t="s">
        <v>4536</v>
      </c>
      <c r="J378" s="18" t="s">
        <v>115</v>
      </c>
      <c r="W378" s="15">
        <v>20</v>
      </c>
      <c r="X378" s="15">
        <v>20</v>
      </c>
      <c r="Y378" s="15" t="s">
        <v>157</v>
      </c>
      <c r="Z378" s="15" t="s">
        <v>158</v>
      </c>
      <c r="AA378" s="15" t="s">
        <v>157</v>
      </c>
      <c r="AB378" s="15" t="s">
        <v>397</v>
      </c>
      <c r="AC378" s="15" t="s">
        <v>397</v>
      </c>
      <c r="AD378" s="19" t="s">
        <v>397</v>
      </c>
      <c r="AE378" s="15" t="s">
        <v>158</v>
      </c>
      <c r="AF378" s="15" t="s">
        <v>397</v>
      </c>
      <c r="AG378" s="15" t="s">
        <v>397</v>
      </c>
      <c r="AH378" s="15" t="s">
        <v>398</v>
      </c>
      <c r="AL378" s="15" t="s">
        <v>399</v>
      </c>
      <c r="AN378" s="15">
        <v>2341</v>
      </c>
      <c r="AO378" s="15" t="s">
        <v>400</v>
      </c>
      <c r="AQ378" s="20" t="s">
        <v>401</v>
      </c>
      <c r="AT378" s="17" t="s">
        <v>402</v>
      </c>
      <c r="AU378" s="17" t="s">
        <v>403</v>
      </c>
      <c r="AV378" s="17" t="s">
        <v>403</v>
      </c>
      <c r="AW378" s="17" t="s">
        <v>404</v>
      </c>
      <c r="AX378" s="17" t="s">
        <v>405</v>
      </c>
      <c r="AY378" s="21">
        <f t="shared" si="12"/>
        <v>55</v>
      </c>
      <c r="AZ378" s="17" t="s">
        <v>406</v>
      </c>
      <c r="BA378" s="17" t="s">
        <v>407</v>
      </c>
      <c r="BB378" s="17" t="s">
        <v>408</v>
      </c>
      <c r="BC378" s="17"/>
      <c r="BD378" s="17"/>
      <c r="BE378" s="17" t="s">
        <v>409</v>
      </c>
      <c r="BF378" s="17"/>
      <c r="BG378" s="17"/>
      <c r="BH378" s="17" t="s">
        <v>410</v>
      </c>
      <c r="BI378" s="17"/>
      <c r="BJ378" s="17" t="s">
        <v>411</v>
      </c>
      <c r="BK378" s="17"/>
      <c r="BL378" s="17" t="s">
        <v>412</v>
      </c>
      <c r="BM378" s="17" t="s">
        <v>234</v>
      </c>
      <c r="BN378" s="17"/>
      <c r="BO378" s="17"/>
      <c r="BP378" s="17" t="s">
        <v>140</v>
      </c>
      <c r="BQ378" s="17"/>
      <c r="BR378" s="17"/>
      <c r="BS378" s="15" t="s">
        <v>413</v>
      </c>
      <c r="DH378" s="15" t="s">
        <v>4597</v>
      </c>
      <c r="DI378" s="15" t="s">
        <v>4597</v>
      </c>
    </row>
    <row r="379" spans="1:113" s="15" customFormat="1" ht="12.75" x14ac:dyDescent="0.2">
      <c r="A379" s="15" t="s">
        <v>109</v>
      </c>
      <c r="B379" s="16" t="s">
        <v>110</v>
      </c>
      <c r="C379" s="15" t="s">
        <v>111</v>
      </c>
      <c r="D379" s="15" t="s">
        <v>156</v>
      </c>
      <c r="E379" s="15" t="s">
        <v>113</v>
      </c>
      <c r="F379" s="15" t="s">
        <v>156</v>
      </c>
      <c r="G379" s="15" t="s">
        <v>114</v>
      </c>
      <c r="H379" s="15" t="s">
        <v>4536</v>
      </c>
      <c r="J379" s="18" t="s">
        <v>115</v>
      </c>
      <c r="W379" s="15">
        <v>21</v>
      </c>
      <c r="X379" s="15">
        <v>21</v>
      </c>
      <c r="Y379" s="15" t="s">
        <v>157</v>
      </c>
      <c r="Z379" s="15" t="s">
        <v>158</v>
      </c>
      <c r="AA379" s="15" t="s">
        <v>157</v>
      </c>
      <c r="AB379" s="15" t="s">
        <v>414</v>
      </c>
      <c r="AC379" s="15" t="s">
        <v>414</v>
      </c>
      <c r="AD379" s="19" t="s">
        <v>414</v>
      </c>
      <c r="AE379" s="15" t="s">
        <v>158</v>
      </c>
      <c r="AF379" s="15" t="s">
        <v>414</v>
      </c>
      <c r="AG379" s="15" t="s">
        <v>414</v>
      </c>
      <c r="AH379" s="15" t="s">
        <v>415</v>
      </c>
      <c r="AL379" s="15" t="s">
        <v>416</v>
      </c>
      <c r="AN379" s="15">
        <v>2341</v>
      </c>
      <c r="AO379" s="15" t="s">
        <v>417</v>
      </c>
      <c r="AQ379" s="20" t="s">
        <v>418</v>
      </c>
      <c r="AT379" s="17" t="s">
        <v>419</v>
      </c>
      <c r="AU379" s="17" t="s">
        <v>420</v>
      </c>
      <c r="AV379" s="17" t="s">
        <v>420</v>
      </c>
      <c r="AW379" s="17" t="s">
        <v>421</v>
      </c>
      <c r="AX379" s="17" t="s">
        <v>422</v>
      </c>
      <c r="AY379" s="21">
        <f t="shared" si="12"/>
        <v>59</v>
      </c>
      <c r="AZ379" s="17" t="s">
        <v>423</v>
      </c>
      <c r="BA379" s="17" t="s">
        <v>424</v>
      </c>
      <c r="BB379" s="17" t="s">
        <v>425</v>
      </c>
      <c r="BC379" s="17"/>
      <c r="BD379" s="17"/>
      <c r="BE379" s="17" t="s">
        <v>426</v>
      </c>
      <c r="BF379" s="17"/>
      <c r="BG379" s="17" t="s">
        <v>427</v>
      </c>
      <c r="BH379" s="17"/>
      <c r="BI379" s="17"/>
      <c r="BJ379" s="17" t="s">
        <v>428</v>
      </c>
      <c r="BK379" s="17" t="s">
        <v>429</v>
      </c>
      <c r="BL379" s="17"/>
      <c r="BM379" s="17" t="s">
        <v>234</v>
      </c>
      <c r="BN379" s="17"/>
      <c r="BO379" s="17" t="s">
        <v>430</v>
      </c>
      <c r="BP379" s="17" t="s">
        <v>140</v>
      </c>
      <c r="BQ379" s="17"/>
      <c r="BR379" s="17"/>
      <c r="BS379" s="15" t="s">
        <v>431</v>
      </c>
      <c r="DH379" s="15" t="s">
        <v>4597</v>
      </c>
      <c r="DI379" s="15" t="s">
        <v>4597</v>
      </c>
    </row>
    <row r="380" spans="1:113" s="15" customFormat="1" ht="12.75" x14ac:dyDescent="0.2">
      <c r="A380" s="15" t="s">
        <v>109</v>
      </c>
      <c r="B380" s="16" t="s">
        <v>110</v>
      </c>
      <c r="C380" s="15" t="s">
        <v>111</v>
      </c>
      <c r="D380" s="15" t="s">
        <v>156</v>
      </c>
      <c r="E380" s="15" t="s">
        <v>113</v>
      </c>
      <c r="F380" s="15" t="s">
        <v>156</v>
      </c>
      <c r="G380" s="15" t="s">
        <v>114</v>
      </c>
      <c r="H380" s="15" t="s">
        <v>4536</v>
      </c>
      <c r="J380" s="18" t="s">
        <v>115</v>
      </c>
      <c r="W380" s="15">
        <v>22</v>
      </c>
      <c r="X380" s="15">
        <v>22</v>
      </c>
      <c r="Y380" s="15" t="s">
        <v>157</v>
      </c>
      <c r="Z380" s="15" t="s">
        <v>158</v>
      </c>
      <c r="AA380" s="15" t="s">
        <v>157</v>
      </c>
      <c r="AB380" s="15" t="s">
        <v>432</v>
      </c>
      <c r="AC380" s="15" t="s">
        <v>432</v>
      </c>
      <c r="AD380" s="19" t="s">
        <v>432</v>
      </c>
      <c r="AE380" s="15" t="s">
        <v>158</v>
      </c>
      <c r="AF380" s="15" t="s">
        <v>432</v>
      </c>
      <c r="AG380" s="15" t="s">
        <v>432</v>
      </c>
      <c r="AH380" s="15" t="s">
        <v>433</v>
      </c>
      <c r="AI380" s="15">
        <v>48101905</v>
      </c>
      <c r="AK380" s="15" t="s">
        <v>434</v>
      </c>
      <c r="AL380" s="15" t="s">
        <v>435</v>
      </c>
      <c r="AN380" s="15">
        <v>2341</v>
      </c>
      <c r="AO380" s="15" t="s">
        <v>436</v>
      </c>
      <c r="AQ380" s="20" t="s">
        <v>437</v>
      </c>
      <c r="AT380" s="17" t="s">
        <v>438</v>
      </c>
      <c r="AU380" s="17" t="s">
        <v>439</v>
      </c>
      <c r="AV380" s="17" t="s">
        <v>439</v>
      </c>
      <c r="AW380" s="17" t="s">
        <v>440</v>
      </c>
      <c r="AX380" s="17" t="s">
        <v>440</v>
      </c>
      <c r="AY380" s="21">
        <f t="shared" si="12"/>
        <v>44</v>
      </c>
      <c r="AZ380" s="17" t="s">
        <v>441</v>
      </c>
      <c r="BA380" s="17" t="s">
        <v>442</v>
      </c>
      <c r="BB380" s="17"/>
      <c r="BC380" s="17"/>
      <c r="BD380" s="17"/>
      <c r="BE380" s="17"/>
      <c r="BF380" s="17"/>
      <c r="BG380" s="17" t="s">
        <v>443</v>
      </c>
      <c r="BH380" s="17"/>
      <c r="BI380" s="17"/>
      <c r="BJ380" s="17"/>
      <c r="BK380" s="17" t="s">
        <v>444</v>
      </c>
      <c r="BL380" s="17"/>
      <c r="BM380" s="17" t="s">
        <v>445</v>
      </c>
      <c r="BN380" s="17"/>
      <c r="BO380" s="17"/>
      <c r="BP380" s="17" t="s">
        <v>346</v>
      </c>
      <c r="BQ380" s="17" t="s">
        <v>258</v>
      </c>
      <c r="BR380" s="17"/>
      <c r="BS380" s="15" t="s">
        <v>446</v>
      </c>
      <c r="DH380" s="15" t="s">
        <v>4597</v>
      </c>
      <c r="DI380" s="15" t="s">
        <v>4597</v>
      </c>
    </row>
    <row r="381" spans="1:113" s="15" customFormat="1" ht="12.75" x14ac:dyDescent="0.2">
      <c r="A381" s="15" t="s">
        <v>109</v>
      </c>
      <c r="B381" s="16" t="s">
        <v>110</v>
      </c>
      <c r="C381" s="15" t="s">
        <v>111</v>
      </c>
      <c r="D381" s="15" t="s">
        <v>156</v>
      </c>
      <c r="E381" s="15" t="s">
        <v>113</v>
      </c>
      <c r="F381" s="15" t="s">
        <v>156</v>
      </c>
      <c r="G381" s="15" t="s">
        <v>114</v>
      </c>
      <c r="H381" s="15" t="s">
        <v>4536</v>
      </c>
      <c r="J381" s="18" t="s">
        <v>115</v>
      </c>
      <c r="W381" s="15">
        <v>23</v>
      </c>
      <c r="X381" s="15">
        <v>23</v>
      </c>
      <c r="Y381" s="15" t="s">
        <v>157</v>
      </c>
      <c r="Z381" s="15" t="s">
        <v>158</v>
      </c>
      <c r="AA381" s="15" t="s">
        <v>157</v>
      </c>
      <c r="AB381" s="15" t="s">
        <v>447</v>
      </c>
      <c r="AC381" s="15" t="s">
        <v>447</v>
      </c>
      <c r="AD381" s="19" t="s">
        <v>447</v>
      </c>
      <c r="AE381" s="15" t="s">
        <v>158</v>
      </c>
      <c r="AF381" s="15" t="s">
        <v>447</v>
      </c>
      <c r="AG381" s="15" t="s">
        <v>447</v>
      </c>
      <c r="AH381" s="15" t="s">
        <v>448</v>
      </c>
      <c r="AL381" s="15" t="s">
        <v>449</v>
      </c>
      <c r="AN381" s="15">
        <v>2341</v>
      </c>
      <c r="AO381" s="15" t="s">
        <v>450</v>
      </c>
      <c r="AQ381" s="20" t="s">
        <v>451</v>
      </c>
      <c r="AR381" s="15" t="s">
        <v>452</v>
      </c>
      <c r="AS381" s="23" t="s">
        <v>453</v>
      </c>
      <c r="AT381" s="17" t="s">
        <v>454</v>
      </c>
      <c r="AU381" s="17" t="s">
        <v>455</v>
      </c>
      <c r="AV381" s="17" t="s">
        <v>455</v>
      </c>
      <c r="AW381" s="17" t="s">
        <v>456</v>
      </c>
      <c r="AX381" s="17" t="s">
        <v>456</v>
      </c>
      <c r="AY381" s="21">
        <f t="shared" si="12"/>
        <v>33</v>
      </c>
      <c r="AZ381" s="17" t="s">
        <v>457</v>
      </c>
      <c r="BA381" s="17" t="s">
        <v>458</v>
      </c>
      <c r="BB381" s="17" t="s">
        <v>459</v>
      </c>
      <c r="BC381" s="17" t="s">
        <v>181</v>
      </c>
      <c r="BD381" s="17"/>
      <c r="BE381" s="17"/>
      <c r="BF381" s="17"/>
      <c r="BG381" s="17"/>
      <c r="BH381" s="17"/>
      <c r="BI381" s="17"/>
      <c r="BJ381" s="17" t="s">
        <v>460</v>
      </c>
      <c r="BK381" s="17"/>
      <c r="BL381" s="17"/>
      <c r="BM381" s="17" t="s">
        <v>461</v>
      </c>
      <c r="BN381" s="17"/>
      <c r="BO381" s="17"/>
      <c r="BP381" s="17" t="s">
        <v>140</v>
      </c>
      <c r="BQ381" s="17"/>
      <c r="BR381" s="17"/>
      <c r="BS381" s="15" t="s">
        <v>462</v>
      </c>
      <c r="DH381" s="15" t="s">
        <v>4597</v>
      </c>
      <c r="DI381" s="15" t="s">
        <v>4597</v>
      </c>
    </row>
    <row r="382" spans="1:113" s="15" customFormat="1" ht="12.75" x14ac:dyDescent="0.2">
      <c r="A382" s="15" t="s">
        <v>109</v>
      </c>
      <c r="B382" s="16" t="s">
        <v>110</v>
      </c>
      <c r="C382" s="15" t="s">
        <v>111</v>
      </c>
      <c r="D382" s="15" t="s">
        <v>156</v>
      </c>
      <c r="E382" s="15" t="s">
        <v>1337</v>
      </c>
      <c r="F382" s="15" t="s">
        <v>156</v>
      </c>
      <c r="G382" s="15" t="s">
        <v>114</v>
      </c>
      <c r="H382" s="15" t="s">
        <v>4536</v>
      </c>
      <c r="J382" s="18" t="s">
        <v>115</v>
      </c>
      <c r="W382" s="15">
        <v>24</v>
      </c>
      <c r="X382" s="15">
        <v>24</v>
      </c>
      <c r="Y382" s="15" t="s">
        <v>157</v>
      </c>
      <c r="Z382" s="15" t="s">
        <v>158</v>
      </c>
      <c r="AA382" s="15" t="s">
        <v>157</v>
      </c>
      <c r="AB382" s="15" t="s">
        <v>463</v>
      </c>
      <c r="AC382" s="15" t="s">
        <v>463</v>
      </c>
      <c r="AD382" s="19" t="s">
        <v>463</v>
      </c>
      <c r="AE382" s="15" t="s">
        <v>158</v>
      </c>
      <c r="AF382" s="15" t="s">
        <v>463</v>
      </c>
      <c r="AG382" s="15" t="s">
        <v>463</v>
      </c>
      <c r="AH382" s="15" t="s">
        <v>464</v>
      </c>
      <c r="AL382" s="15" t="s">
        <v>465</v>
      </c>
      <c r="AN382" s="15">
        <v>2341</v>
      </c>
      <c r="AO382" s="15" t="s">
        <v>466</v>
      </c>
      <c r="AQ382" s="20" t="s">
        <v>467</v>
      </c>
      <c r="AR382" s="15" t="s">
        <v>468</v>
      </c>
      <c r="AS382" s="23" t="s">
        <v>469</v>
      </c>
      <c r="AT382" s="17" t="s">
        <v>470</v>
      </c>
      <c r="AU382" s="17" t="s">
        <v>471</v>
      </c>
      <c r="AV382" s="17" t="s">
        <v>471</v>
      </c>
      <c r="AW382" s="17" t="s">
        <v>472</v>
      </c>
      <c r="AX382" s="17" t="s">
        <v>472</v>
      </c>
      <c r="AY382" s="21">
        <f t="shared" si="12"/>
        <v>54</v>
      </c>
      <c r="AZ382" s="17" t="s">
        <v>473</v>
      </c>
      <c r="BA382" s="17" t="s">
        <v>215</v>
      </c>
      <c r="BB382" s="17" t="s">
        <v>474</v>
      </c>
      <c r="BC382" s="17"/>
      <c r="BD382" s="17"/>
      <c r="BE382" s="17"/>
      <c r="BF382" s="17"/>
      <c r="BG382" s="26" t="s">
        <v>475</v>
      </c>
      <c r="BH382" s="17"/>
      <c r="BI382" s="17"/>
      <c r="BJ382" s="17" t="s">
        <v>476</v>
      </c>
      <c r="BK382" s="17"/>
      <c r="BL382" s="17"/>
      <c r="BM382" s="17"/>
      <c r="BN382" s="17" t="s">
        <v>477</v>
      </c>
      <c r="BO382" s="17" t="s">
        <v>478</v>
      </c>
      <c r="BP382" s="17" t="s">
        <v>140</v>
      </c>
      <c r="BQ382" s="17"/>
      <c r="BR382" s="17"/>
      <c r="BS382" s="15" t="s">
        <v>479</v>
      </c>
      <c r="DH382" s="15" t="s">
        <v>4597</v>
      </c>
      <c r="DI382" s="15" t="s">
        <v>4597</v>
      </c>
    </row>
    <row r="383" spans="1:113" s="15" customFormat="1" ht="12.75" x14ac:dyDescent="0.2">
      <c r="A383" s="15" t="s">
        <v>109</v>
      </c>
      <c r="B383" s="16" t="s">
        <v>110</v>
      </c>
      <c r="C383" s="15" t="s">
        <v>111</v>
      </c>
      <c r="D383" s="15" t="s">
        <v>156</v>
      </c>
      <c r="E383" s="15" t="s">
        <v>1212</v>
      </c>
      <c r="F383" s="15" t="s">
        <v>156</v>
      </c>
      <c r="G383" s="15" t="s">
        <v>114</v>
      </c>
      <c r="H383" s="15" t="s">
        <v>4536</v>
      </c>
      <c r="J383" s="18" t="s">
        <v>115</v>
      </c>
      <c r="W383" s="15">
        <v>25</v>
      </c>
      <c r="X383" s="15">
        <v>25</v>
      </c>
      <c r="Y383" s="15" t="s">
        <v>157</v>
      </c>
      <c r="Z383" s="15" t="s">
        <v>158</v>
      </c>
      <c r="AA383" s="15" t="s">
        <v>157</v>
      </c>
      <c r="AB383" s="15" t="s">
        <v>480</v>
      </c>
      <c r="AC383" s="15" t="s">
        <v>480</v>
      </c>
      <c r="AD383" s="19" t="s">
        <v>480</v>
      </c>
      <c r="AE383" s="15" t="s">
        <v>158</v>
      </c>
      <c r="AF383" s="15" t="s">
        <v>480</v>
      </c>
      <c r="AG383" s="15" t="s">
        <v>480</v>
      </c>
      <c r="AH383" s="15" t="s">
        <v>481</v>
      </c>
      <c r="AL383" s="15" t="s">
        <v>482</v>
      </c>
      <c r="AN383" s="15">
        <v>2341</v>
      </c>
      <c r="AO383" s="15" t="s">
        <v>483</v>
      </c>
      <c r="AQ383" s="20" t="s">
        <v>484</v>
      </c>
      <c r="AR383" s="15" t="s">
        <v>485</v>
      </c>
      <c r="AS383" s="23" t="s">
        <v>486</v>
      </c>
      <c r="AT383" s="17" t="s">
        <v>482</v>
      </c>
      <c r="AU383" s="17" t="s">
        <v>487</v>
      </c>
      <c r="AV383" s="17" t="s">
        <v>487</v>
      </c>
      <c r="AW383" s="17" t="s">
        <v>488</v>
      </c>
      <c r="AX383" s="17" t="s">
        <v>488</v>
      </c>
      <c r="AY383" s="21">
        <f t="shared" si="12"/>
        <v>40</v>
      </c>
      <c r="AZ383" s="17" t="s">
        <v>489</v>
      </c>
      <c r="BA383" s="17" t="s">
        <v>407</v>
      </c>
      <c r="BB383" s="17"/>
      <c r="BC383" s="17" t="s">
        <v>490</v>
      </c>
      <c r="BD383" s="17"/>
      <c r="BE383" s="17"/>
      <c r="BF383" s="17"/>
      <c r="BG383" s="17"/>
      <c r="BH383" s="17"/>
      <c r="BI383" s="17"/>
      <c r="BJ383" s="17" t="s">
        <v>491</v>
      </c>
      <c r="BK383" s="17" t="s">
        <v>492</v>
      </c>
      <c r="BL383" s="17"/>
      <c r="BM383" s="17" t="s">
        <v>461</v>
      </c>
      <c r="BN383" s="17"/>
      <c r="BO383" s="17"/>
      <c r="BP383" s="17"/>
      <c r="BQ383" s="17"/>
      <c r="BR383" s="17"/>
      <c r="BS383" s="17" t="s">
        <v>347</v>
      </c>
      <c r="DH383" s="15" t="s">
        <v>4597</v>
      </c>
      <c r="DI383" s="15" t="s">
        <v>4597</v>
      </c>
    </row>
    <row r="384" spans="1:113" s="15" customFormat="1" ht="12.75" x14ac:dyDescent="0.2">
      <c r="A384" s="15" t="s">
        <v>109</v>
      </c>
      <c r="B384" s="16" t="s">
        <v>493</v>
      </c>
      <c r="C384" s="15" t="s">
        <v>494</v>
      </c>
      <c r="D384" s="15" t="s">
        <v>156</v>
      </c>
      <c r="E384" s="15" t="s">
        <v>1212</v>
      </c>
      <c r="F384" s="15" t="s">
        <v>156</v>
      </c>
      <c r="G384" s="15" t="s">
        <v>114</v>
      </c>
      <c r="H384" s="15" t="s">
        <v>4536</v>
      </c>
      <c r="J384" s="18" t="s">
        <v>115</v>
      </c>
      <c r="W384" s="15">
        <v>182</v>
      </c>
      <c r="X384" s="15">
        <v>157</v>
      </c>
      <c r="Y384" s="15" t="s">
        <v>2259</v>
      </c>
      <c r="Z384" s="15" t="s">
        <v>2260</v>
      </c>
      <c r="AA384" s="15" t="s">
        <v>2259</v>
      </c>
      <c r="AB384" s="15" t="s">
        <v>2261</v>
      </c>
      <c r="AC384" s="15" t="s">
        <v>2261</v>
      </c>
      <c r="AD384" s="19" t="s">
        <v>2261</v>
      </c>
      <c r="AE384" s="15" t="s">
        <v>2260</v>
      </c>
      <c r="AF384" s="15" t="s">
        <v>2261</v>
      </c>
      <c r="AG384" s="15" t="s">
        <v>2261</v>
      </c>
      <c r="AH384" s="15" t="s">
        <v>2262</v>
      </c>
      <c r="AL384" s="15" t="s">
        <v>2263</v>
      </c>
      <c r="AN384" s="15">
        <v>2681</v>
      </c>
      <c r="AO384" s="15" t="s">
        <v>2264</v>
      </c>
      <c r="AQ384" s="29" t="s">
        <v>2265</v>
      </c>
      <c r="AT384" s="17" t="s">
        <v>2266</v>
      </c>
      <c r="AU384" s="17" t="s">
        <v>2267</v>
      </c>
      <c r="AV384" s="17" t="s">
        <v>2267</v>
      </c>
      <c r="AW384" s="17" t="s">
        <v>2268</v>
      </c>
      <c r="AX384" s="17" t="s">
        <v>2268</v>
      </c>
      <c r="AY384" s="21">
        <f t="shared" si="12"/>
        <v>33</v>
      </c>
      <c r="AZ384" s="17" t="s">
        <v>2269</v>
      </c>
      <c r="BA384" s="30" t="s">
        <v>2270</v>
      </c>
      <c r="BB384" s="17"/>
      <c r="BC384" s="17" t="s">
        <v>181</v>
      </c>
      <c r="BD384" s="17"/>
      <c r="BE384" s="17"/>
      <c r="BF384" s="17"/>
      <c r="BG384" s="17"/>
      <c r="BH384" s="17"/>
      <c r="BI384" s="17"/>
      <c r="BJ384" s="17"/>
      <c r="BK384" s="17" t="s">
        <v>2271</v>
      </c>
      <c r="BL384" s="17"/>
      <c r="BM384" s="17"/>
      <c r="BN384" s="17"/>
      <c r="BO384" s="17" t="s">
        <v>2272</v>
      </c>
      <c r="BP384" s="17"/>
      <c r="BQ384" s="17"/>
      <c r="BR384" s="17"/>
      <c r="BS384" s="17" t="s">
        <v>347</v>
      </c>
      <c r="DH384" s="15" t="s">
        <v>4597</v>
      </c>
      <c r="DI384" s="15" t="s">
        <v>4597</v>
      </c>
    </row>
    <row r="385" spans="1:113" s="15" customFormat="1" ht="12.75" x14ac:dyDescent="0.2">
      <c r="A385" s="15" t="s">
        <v>109</v>
      </c>
      <c r="B385" s="16" t="s">
        <v>493</v>
      </c>
      <c r="C385" s="15" t="s">
        <v>494</v>
      </c>
      <c r="D385" s="15" t="s">
        <v>156</v>
      </c>
      <c r="E385" s="15" t="s">
        <v>1212</v>
      </c>
      <c r="F385" s="15" t="s">
        <v>156</v>
      </c>
      <c r="G385" s="15" t="s">
        <v>114</v>
      </c>
      <c r="H385" s="15" t="s">
        <v>4536</v>
      </c>
      <c r="J385" s="18" t="s">
        <v>115</v>
      </c>
      <c r="W385" s="15">
        <v>183</v>
      </c>
      <c r="X385" s="15">
        <v>158</v>
      </c>
      <c r="Y385" s="15" t="s">
        <v>2259</v>
      </c>
      <c r="Z385" s="15" t="s">
        <v>2260</v>
      </c>
      <c r="AA385" s="15" t="s">
        <v>2259</v>
      </c>
      <c r="AB385" s="15" t="s">
        <v>2273</v>
      </c>
      <c r="AC385" s="15" t="s">
        <v>2273</v>
      </c>
      <c r="AD385" s="19" t="s">
        <v>2273</v>
      </c>
      <c r="AE385" s="15" t="s">
        <v>2260</v>
      </c>
      <c r="AF385" s="15" t="s">
        <v>2273</v>
      </c>
      <c r="AG385" s="15" t="s">
        <v>2273</v>
      </c>
      <c r="AH385" s="15" t="s">
        <v>2274</v>
      </c>
      <c r="AL385" s="15" t="s">
        <v>2275</v>
      </c>
      <c r="AN385" s="15">
        <v>2681</v>
      </c>
      <c r="AO385" s="15" t="s">
        <v>2276</v>
      </c>
      <c r="AQ385" s="29" t="s">
        <v>2265</v>
      </c>
      <c r="AT385" s="17" t="s">
        <v>2277</v>
      </c>
      <c r="AU385" s="17" t="s">
        <v>2278</v>
      </c>
      <c r="AV385" s="17" t="s">
        <v>2278</v>
      </c>
      <c r="AW385" s="17" t="s">
        <v>2279</v>
      </c>
      <c r="AX385" s="17" t="s">
        <v>2279</v>
      </c>
      <c r="AY385" s="21">
        <f t="shared" si="12"/>
        <v>34</v>
      </c>
      <c r="AZ385" s="17" t="s">
        <v>2269</v>
      </c>
      <c r="BA385" s="30" t="s">
        <v>2270</v>
      </c>
      <c r="BB385" s="17"/>
      <c r="BC385" s="17" t="s">
        <v>1146</v>
      </c>
      <c r="BD385" s="17"/>
      <c r="BE385" s="17"/>
      <c r="BF385" s="17"/>
      <c r="BG385" s="17"/>
      <c r="BH385" s="17"/>
      <c r="BI385" s="17"/>
      <c r="BJ385" s="17"/>
      <c r="BK385" s="17" t="s">
        <v>2271</v>
      </c>
      <c r="BL385" s="17"/>
      <c r="BM385" s="17"/>
      <c r="BN385" s="17"/>
      <c r="BO385" s="17" t="s">
        <v>2272</v>
      </c>
      <c r="BP385" s="17"/>
      <c r="BQ385" s="17"/>
      <c r="BR385" s="17"/>
      <c r="BS385" s="17" t="s">
        <v>347</v>
      </c>
      <c r="DH385" s="15" t="s">
        <v>4597</v>
      </c>
      <c r="DI385" s="15" t="s">
        <v>4597</v>
      </c>
    </row>
    <row r="386" spans="1:113" s="15" customFormat="1" ht="12.75" x14ac:dyDescent="0.2">
      <c r="A386" s="15" t="s">
        <v>109</v>
      </c>
      <c r="B386" s="16" t="s">
        <v>493</v>
      </c>
      <c r="C386" s="15" t="s">
        <v>494</v>
      </c>
      <c r="D386" s="15" t="s">
        <v>156</v>
      </c>
      <c r="E386" s="15" t="s">
        <v>1212</v>
      </c>
      <c r="F386" s="15" t="s">
        <v>156</v>
      </c>
      <c r="G386" s="15" t="s">
        <v>114</v>
      </c>
      <c r="H386" s="15" t="s">
        <v>4536</v>
      </c>
      <c r="J386" s="18" t="s">
        <v>115</v>
      </c>
      <c r="W386" s="15">
        <v>184</v>
      </c>
      <c r="X386" s="15">
        <v>159</v>
      </c>
      <c r="Y386" s="15" t="s">
        <v>2259</v>
      </c>
      <c r="Z386" s="15" t="s">
        <v>2260</v>
      </c>
      <c r="AA386" s="15" t="s">
        <v>2259</v>
      </c>
      <c r="AB386" s="15" t="s">
        <v>2280</v>
      </c>
      <c r="AC386" s="15" t="s">
        <v>2280</v>
      </c>
      <c r="AD386" s="19" t="s">
        <v>2280</v>
      </c>
      <c r="AE386" s="15" t="s">
        <v>2260</v>
      </c>
      <c r="AF386" s="15" t="s">
        <v>2280</v>
      </c>
      <c r="AG386" s="15" t="s">
        <v>2280</v>
      </c>
      <c r="AH386" s="15" t="s">
        <v>2281</v>
      </c>
      <c r="AL386" s="15" t="s">
        <v>2282</v>
      </c>
      <c r="AN386" s="15">
        <v>2681</v>
      </c>
      <c r="AO386" s="15" t="s">
        <v>2283</v>
      </c>
      <c r="AQ386" s="29" t="s">
        <v>2265</v>
      </c>
      <c r="AT386" s="17" t="s">
        <v>2284</v>
      </c>
      <c r="AU386" s="17" t="s">
        <v>2285</v>
      </c>
      <c r="AV386" s="17" t="s">
        <v>2285</v>
      </c>
      <c r="AW386" s="17" t="s">
        <v>2286</v>
      </c>
      <c r="AX386" s="17" t="s">
        <v>2286</v>
      </c>
      <c r="AY386" s="21">
        <f t="shared" si="12"/>
        <v>33</v>
      </c>
      <c r="AZ386" s="17" t="s">
        <v>2269</v>
      </c>
      <c r="BA386" s="30" t="s">
        <v>2270</v>
      </c>
      <c r="BB386" s="17"/>
      <c r="BC386" s="17" t="s">
        <v>170</v>
      </c>
      <c r="BD386" s="17"/>
      <c r="BE386" s="17"/>
      <c r="BF386" s="17"/>
      <c r="BG386" s="17"/>
      <c r="BH386" s="17"/>
      <c r="BI386" s="17"/>
      <c r="BJ386" s="17"/>
      <c r="BK386" s="17" t="s">
        <v>2271</v>
      </c>
      <c r="BL386" s="17"/>
      <c r="BM386" s="17"/>
      <c r="BN386" s="17"/>
      <c r="BO386" s="17" t="s">
        <v>2272</v>
      </c>
      <c r="BP386" s="17"/>
      <c r="BQ386" s="17"/>
      <c r="BR386" s="17"/>
      <c r="BS386" s="17" t="s">
        <v>347</v>
      </c>
      <c r="DH386" s="15" t="s">
        <v>4597</v>
      </c>
      <c r="DI386" s="15" t="s">
        <v>4597</v>
      </c>
    </row>
    <row r="387" spans="1:113" s="15" customFormat="1" ht="12.75" x14ac:dyDescent="0.2">
      <c r="A387" s="15" t="s">
        <v>109</v>
      </c>
      <c r="B387" s="16" t="s">
        <v>110</v>
      </c>
      <c r="C387" s="15" t="s">
        <v>111</v>
      </c>
      <c r="D387" s="15" t="s">
        <v>156</v>
      </c>
      <c r="E387" s="15" t="s">
        <v>113</v>
      </c>
      <c r="F387" s="15" t="s">
        <v>156</v>
      </c>
      <c r="G387" s="15" t="s">
        <v>114</v>
      </c>
      <c r="H387" s="15" t="s">
        <v>4536</v>
      </c>
      <c r="J387" s="18" t="s">
        <v>115</v>
      </c>
      <c r="W387" s="15">
        <v>5</v>
      </c>
      <c r="X387" s="15">
        <v>5</v>
      </c>
      <c r="Y387" s="15" t="s">
        <v>157</v>
      </c>
      <c r="Z387" s="15" t="s">
        <v>158</v>
      </c>
      <c r="AA387" s="15" t="s">
        <v>182</v>
      </c>
      <c r="AB387" s="15" t="s">
        <v>183</v>
      </c>
      <c r="AC387" s="15">
        <v>1850</v>
      </c>
      <c r="AD387" s="19">
        <v>1850</v>
      </c>
      <c r="AE387" s="15" t="s">
        <v>184</v>
      </c>
      <c r="AF387" s="15">
        <v>1850</v>
      </c>
      <c r="AG387" s="15">
        <v>1850</v>
      </c>
      <c r="AH387" s="15" t="s">
        <v>185</v>
      </c>
      <c r="AI387" s="15">
        <v>42271709</v>
      </c>
      <c r="AK387" s="15" t="s">
        <v>186</v>
      </c>
      <c r="AL387" s="15" t="s">
        <v>187</v>
      </c>
      <c r="AN387" s="15">
        <v>2341</v>
      </c>
      <c r="AO387" s="15" t="s">
        <v>188</v>
      </c>
      <c r="AQ387" s="20" t="s">
        <v>189</v>
      </c>
      <c r="AT387" s="17" t="s">
        <v>190</v>
      </c>
      <c r="AU387" s="17" t="s">
        <v>191</v>
      </c>
      <c r="AV387" s="17" t="s">
        <v>191</v>
      </c>
      <c r="AW387" s="17" t="s">
        <v>192</v>
      </c>
      <c r="AX387" s="17" t="s">
        <v>193</v>
      </c>
      <c r="AY387" s="21">
        <f t="shared" si="12"/>
        <v>60</v>
      </c>
      <c r="AZ387" s="17" t="s">
        <v>194</v>
      </c>
      <c r="BA387" s="17" t="s">
        <v>195</v>
      </c>
      <c r="BB387" s="17" t="s">
        <v>196</v>
      </c>
      <c r="BC387" s="17"/>
      <c r="BD387" s="17" t="s">
        <v>197</v>
      </c>
      <c r="BE387" s="17" t="s">
        <v>198</v>
      </c>
      <c r="BF387" s="17"/>
      <c r="BG387" s="17"/>
      <c r="BH387" s="17"/>
      <c r="BI387" s="17"/>
      <c r="BJ387" s="17" t="s">
        <v>199</v>
      </c>
      <c r="BK387" s="17" t="s">
        <v>200</v>
      </c>
      <c r="BL387" s="17"/>
      <c r="BM387" s="17" t="s">
        <v>201</v>
      </c>
      <c r="BN387" s="17"/>
      <c r="BO387" s="17"/>
      <c r="BP387" s="17"/>
      <c r="BQ387" s="17"/>
      <c r="BR387" s="17"/>
      <c r="BS387" s="15" t="s">
        <v>202</v>
      </c>
      <c r="DH387" s="15" t="s">
        <v>4597</v>
      </c>
      <c r="DI387" s="15" t="s">
        <v>4597</v>
      </c>
    </row>
  </sheetData>
  <sortState ref="A2:DG387">
    <sortCondition ref="AE2:AE387"/>
    <sortCondition ref="AG2:AG3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2023-08-20T16:09:30Z</dcterms:created>
  <dcterms:modified xsi:type="dcterms:W3CDTF">2023-08-21T08:52:48Z</dcterms:modified>
</cp:coreProperties>
</file>